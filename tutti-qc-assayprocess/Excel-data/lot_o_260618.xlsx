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788" firstSheet="0" activeTab="0" autoFilterDateGrouping="1"/>
  </bookViews>
  <sheets>
    <sheet name="說明" sheetId="1" state="visible" r:id="rId1"/>
    <sheet name="出貨確認明細" sheetId="2" state="visible" r:id="rId2"/>
    <sheet name="全批次數據" sheetId="3" state="visible" r:id="rId3"/>
    <sheet name="CS-real彙整" sheetId="4" state="visible" r:id="rId4"/>
    <sheet name="Control" sheetId="5" state="visible" r:id="rId5"/>
    <sheet name="Canine" sheetId="6" state="visible" r:id="rId6"/>
    <sheet name="Feline" sheetId="7" state="visible" r:id="rId7"/>
    <sheet name="Equine" sheetId="8" state="visible" r:id="rId8"/>
    <sheet name="Vet 定值" sheetId="9" state="visible" r:id="rId9"/>
    <sheet name="參照" sheetId="10" state="visible" r:id="rId10"/>
    <sheet name="Equation" sheetId="11" state="visible" r:id="rId11"/>
  </sheets>
  <externalReferences>
    <externalReference r:id="rId12"/>
  </externalReferences>
  <definedNames>
    <definedName name="_xlnm._FilterDatabase" localSheetId="2" hidden="1">'全批次數據'!$A$1:$LD$134</definedName>
  </definedNames>
  <calcPr calcId="191028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"/>
    <numFmt numFmtId="166" formatCode="0.0_ "/>
    <numFmt numFmtId="167" formatCode="0.0_);[Red]\(0.0\)"/>
    <numFmt numFmtId="168" formatCode="0.00_ "/>
    <numFmt numFmtId="169" formatCode="0_ "/>
  </numFmts>
  <fonts count="41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b val="1"/>
      <color theme="1"/>
      <sz val="12"/>
      <scheme val="minor"/>
    </font>
    <font>
      <name val="新細明體"/>
      <charset val="136"/>
      <family val="3"/>
      <sz val="9"/>
      <scheme val="minor"/>
    </font>
    <font>
      <name val="Microsoft JhengHei"/>
      <charset val="136"/>
      <family val="2"/>
      <color theme="1"/>
      <sz val="12"/>
    </font>
    <font>
      <name val="新細明體"/>
      <charset val="136"/>
      <family val="2"/>
      <sz val="9"/>
      <scheme val="minor"/>
    </font>
    <font>
      <name val="Calibri"/>
      <family val="2"/>
      <color theme="1"/>
      <sz val="12"/>
    </font>
    <font>
      <name val="Calibri"/>
      <family val="2"/>
      <b val="1"/>
      <color theme="1"/>
      <sz val="16"/>
    </font>
    <font>
      <name val="微軟正黑體"/>
      <charset val="136"/>
      <family val="2"/>
      <b val="1"/>
      <color rgb="FFFF0000"/>
      <sz val="16"/>
    </font>
    <font>
      <name val="Calibri"/>
      <family val="2"/>
      <b val="1"/>
      <color rgb="FFFF0000"/>
      <sz val="16"/>
    </font>
    <font>
      <name val="Calibri"/>
      <family val="2"/>
      <b val="1"/>
      <color theme="1"/>
      <sz val="12"/>
    </font>
    <font>
      <name val="新細明體"/>
      <charset val="136"/>
      <family val="2"/>
      <b val="1"/>
      <color theme="1"/>
      <sz val="12"/>
    </font>
    <font>
      <name val="Calibri"/>
      <family val="2"/>
      <b val="1"/>
      <sz val="12"/>
    </font>
    <font>
      <name val="微軟正黑體"/>
      <charset val="136"/>
      <family val="2"/>
      <b val="1"/>
      <sz val="12"/>
    </font>
    <font>
      <name val="Calibri"/>
      <family val="2"/>
      <b val="1"/>
      <sz val="16"/>
    </font>
    <font>
      <name val="Calibri"/>
      <family val="2"/>
      <b val="1"/>
      <sz val="14"/>
    </font>
    <font>
      <name val="Microsoft JhengHei"/>
      <family val="2"/>
      <color theme="1"/>
      <sz val="12"/>
    </font>
    <font>
      <name val="新細明體"/>
      <family val="2"/>
      <color theme="1"/>
      <sz val="11"/>
      <scheme val="minor"/>
    </font>
    <font>
      <name val="Calibri"/>
      <family val="2"/>
      <sz val="12"/>
    </font>
    <font>
      <name val="微軟正黑體"/>
      <charset val="136"/>
      <family val="2"/>
      <sz val="12"/>
    </font>
    <font>
      <name val="Calibri"/>
      <family val="2"/>
      <color rgb="FFFF0000"/>
      <sz val="12"/>
    </font>
    <font>
      <name val="微軟正黑體"/>
      <charset val="136"/>
      <family val="2"/>
      <color rgb="FFFF0000"/>
      <sz val="12"/>
    </font>
    <font>
      <name val="新細明體"/>
      <charset val="136"/>
      <family val="1"/>
      <sz val="9"/>
    </font>
    <font>
      <name val="Calibri"/>
      <family val="2"/>
      <b val="1"/>
      <color rgb="FFFF0000"/>
      <sz val="12"/>
    </font>
    <font>
      <name val="細明體"/>
      <charset val="136"/>
      <family val="2"/>
      <color theme="1"/>
      <sz val="12"/>
    </font>
    <font>
      <name val="Calibri"/>
      <family val="2"/>
      <color theme="0" tint="-0.1499984740745262"/>
      <sz val="12"/>
    </font>
    <font>
      <name val="Calibri"/>
      <family val="2"/>
      <color theme="0" tint="-0.3499862666707358"/>
      <sz val="12"/>
    </font>
    <font>
      <name val="Microsoft JhengHei"/>
      <family val="2"/>
      <b val="1"/>
      <color theme="1"/>
      <sz val="12"/>
    </font>
    <font>
      <name val="微軟正黑體"/>
      <charset val="136"/>
      <family val="2"/>
      <b val="1"/>
      <color rgb="FFFF0000"/>
      <sz val="12"/>
    </font>
    <font>
      <name val="Microsoft JhengHei"/>
      <family val="2"/>
      <b val="1"/>
      <color rgb="FFFF0000"/>
      <sz val="12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細明體"/>
      <charset val="136"/>
      <family val="3"/>
      <color indexed="81"/>
      <sz val="9"/>
    </font>
    <font>
      <name val="新細明體"/>
      <charset val="136"/>
      <family val="1"/>
      <color theme="1"/>
      <sz val="12"/>
    </font>
    <font>
      <name val="新細明體"/>
      <charset val="136"/>
      <family val="1"/>
      <color rgb="FF000000"/>
      <sz val="12"/>
    </font>
    <font>
      <name val="Calibri"/>
      <family val="2"/>
      <color rgb="FF000000"/>
      <sz val="12"/>
    </font>
    <font>
      <name val="新細明體"/>
      <charset val="136"/>
      <family val="1"/>
      <color theme="1"/>
      <sz val="12"/>
      <scheme val="minor"/>
    </font>
    <font>
      <name val="新細明體"/>
      <charset val="136"/>
      <family val="1"/>
      <color theme="1"/>
      <sz val="14"/>
      <scheme val="minor"/>
    </font>
    <font>
      <name val="新細明體"/>
      <charset val="136"/>
      <family val="1"/>
      <color theme="1"/>
      <sz val="11"/>
      <scheme val="minor"/>
    </font>
    <font>
      <name val="細明體"/>
      <charset val="136"/>
      <family val="3"/>
      <b val="1"/>
      <color indexed="81"/>
      <sz val="16"/>
    </font>
  </fonts>
  <fills count="27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5C7C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8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 applyAlignment="1">
      <alignment vertical="center"/>
    </xf>
    <xf numFmtId="9" fontId="2" fillId="0" borderId="0" applyAlignment="1">
      <alignment vertical="center"/>
    </xf>
    <xf numFmtId="0" fontId="2" fillId="0" borderId="0" applyAlignment="1">
      <alignment vertical="center"/>
    </xf>
    <xf numFmtId="0" fontId="18" fillId="0" borderId="0"/>
    <xf numFmtId="9" fontId="2" fillId="0" borderId="0" applyAlignment="1">
      <alignment vertical="center"/>
    </xf>
    <xf numFmtId="9" fontId="18" fillId="0" borderId="0" applyAlignment="1">
      <alignment vertical="center"/>
    </xf>
  </cellStyleXfs>
  <cellXfs count="713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2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3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7" pivotButton="0" quotePrefix="0" xfId="0"/>
    <xf numFmtId="0" fontId="0" fillId="0" borderId="3" applyAlignment="1" pivotButton="0" quotePrefix="0" xfId="0">
      <alignment wrapText="1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5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14" fontId="5" fillId="0" borderId="0" applyAlignment="1" pivotButton="0" quotePrefix="0" xfId="1">
      <alignment vertical="center"/>
    </xf>
    <xf numFmtId="14" fontId="2" fillId="0" borderId="0" applyAlignment="1" pivotButton="0" quotePrefix="0" xfId="1">
      <alignment vertical="center"/>
    </xf>
    <xf numFmtId="0" fontId="2" fillId="0" borderId="0" applyAlignment="1" pivotButton="0" quotePrefix="0" xfId="1">
      <alignment vertical="center"/>
    </xf>
    <xf numFmtId="164" fontId="0" fillId="4" borderId="0" applyAlignment="1" pivotButton="0" quotePrefix="0" xfId="2">
      <alignment vertical="center"/>
    </xf>
    <xf numFmtId="165" fontId="2" fillId="0" borderId="0" applyAlignment="1" pivotButton="0" quotePrefix="0" xfId="1">
      <alignment vertical="center"/>
    </xf>
    <xf numFmtId="9" fontId="2" fillId="0" borderId="0" applyAlignment="1" pivotButton="0" quotePrefix="0" xfId="1">
      <alignment vertical="center"/>
    </xf>
    <xf numFmtId="166" fontId="2" fillId="0" borderId="0" applyAlignment="1" pivotButton="0" quotePrefix="0" xfId="1">
      <alignment vertical="center"/>
    </xf>
    <xf numFmtId="164" fontId="2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3">
      <alignment vertical="center"/>
    </xf>
    <xf numFmtId="0" fontId="17" fillId="0" borderId="0" applyAlignment="1" pivotButton="0" quotePrefix="0" xfId="3">
      <alignment vertical="center"/>
    </xf>
    <xf numFmtId="0" fontId="11" fillId="0" borderId="20" applyAlignment="1" pivotButton="0" quotePrefix="0" xfId="4">
      <alignment horizontal="left" vertical="center"/>
    </xf>
    <xf numFmtId="0" fontId="11" fillId="2" borderId="22" applyAlignment="1" pivotButton="0" quotePrefix="0" xfId="4">
      <alignment horizontal="center" vertical="center"/>
    </xf>
    <xf numFmtId="0" fontId="11" fillId="2" borderId="23" applyAlignment="1" pivotButton="0" quotePrefix="0" xfId="4">
      <alignment horizontal="center" vertical="center"/>
    </xf>
    <xf numFmtId="0" fontId="11" fillId="2" borderId="24" applyAlignment="1" pivotButton="0" quotePrefix="0" xfId="4">
      <alignment horizontal="center" vertical="center"/>
    </xf>
    <xf numFmtId="0" fontId="11" fillId="2" borderId="14" applyAlignment="1" pivotButton="0" quotePrefix="0" xfId="4">
      <alignment horizontal="center" vertical="center"/>
    </xf>
    <xf numFmtId="0" fontId="11" fillId="2" borderId="13" applyAlignment="1" pivotButton="0" quotePrefix="0" xfId="4">
      <alignment horizontal="center" vertical="center"/>
    </xf>
    <xf numFmtId="0" fontId="11" fillId="16" borderId="22" applyAlignment="1" pivotButton="0" quotePrefix="0" xfId="4">
      <alignment horizontal="center" vertical="center"/>
    </xf>
    <xf numFmtId="0" fontId="11" fillId="16" borderId="23" applyAlignment="1" pivotButton="0" quotePrefix="0" xfId="4">
      <alignment horizontal="center" vertical="center"/>
    </xf>
    <xf numFmtId="0" fontId="11" fillId="0" borderId="24" applyAlignment="1" pivotButton="0" quotePrefix="0" xfId="4">
      <alignment horizontal="center" vertical="center"/>
    </xf>
    <xf numFmtId="0" fontId="11" fillId="0" borderId="14" applyAlignment="1" pivotButton="0" quotePrefix="0" xfId="4">
      <alignment horizontal="center" vertical="center"/>
    </xf>
    <xf numFmtId="0" fontId="13" fillId="12" borderId="25" applyAlignment="1" pivotButton="0" quotePrefix="0" xfId="3">
      <alignment horizontal="center" vertical="center"/>
    </xf>
    <xf numFmtId="0" fontId="13" fillId="12" borderId="26" applyAlignment="1" pivotButton="0" quotePrefix="0" xfId="3">
      <alignment horizontal="center" vertical="center"/>
    </xf>
    <xf numFmtId="0" fontId="13" fillId="12" borderId="27" applyAlignment="1" pivotButton="0" quotePrefix="0" xfId="3">
      <alignment horizontal="center" vertical="center"/>
    </xf>
    <xf numFmtId="0" fontId="13" fillId="12" borderId="28" applyAlignment="1" pivotButton="0" quotePrefix="0" xfId="3">
      <alignment horizontal="center" vertical="center"/>
    </xf>
    <xf numFmtId="0" fontId="13" fillId="12" borderId="29" applyAlignment="1" pivotButton="0" quotePrefix="0" xfId="3">
      <alignment horizontal="center" vertical="center"/>
    </xf>
    <xf numFmtId="0" fontId="7" fillId="0" borderId="30" applyAlignment="1" pivotButton="0" quotePrefix="0" xfId="3">
      <alignment vertical="center"/>
    </xf>
    <xf numFmtId="0" fontId="7" fillId="0" borderId="31" applyAlignment="1" pivotButton="0" quotePrefix="0" xfId="4">
      <alignment horizontal="left" vertical="center"/>
    </xf>
    <xf numFmtId="165" fontId="19" fillId="0" borderId="32" applyAlignment="1" pivotButton="0" quotePrefix="0" xfId="4">
      <alignment horizontal="center" vertical="center"/>
    </xf>
    <xf numFmtId="165" fontId="19" fillId="0" borderId="33" applyAlignment="1" pivotButton="0" quotePrefix="0" xfId="4">
      <alignment horizontal="center" vertical="center"/>
    </xf>
    <xf numFmtId="165" fontId="19" fillId="0" borderId="34" applyAlignment="1" pivotButton="0" quotePrefix="0" xfId="4">
      <alignment horizontal="center" vertical="center"/>
    </xf>
    <xf numFmtId="165" fontId="19" fillId="0" borderId="35" applyAlignment="1" pivotButton="0" quotePrefix="0" xfId="4">
      <alignment horizontal="center" vertical="center"/>
    </xf>
    <xf numFmtId="165" fontId="19" fillId="0" borderId="36" applyAlignment="1" pivotButton="0" quotePrefix="0" xfId="4">
      <alignment horizontal="center" vertical="center"/>
    </xf>
    <xf numFmtId="165" fontId="19" fillId="0" borderId="37" applyAlignment="1" pivotButton="0" quotePrefix="0" xfId="4">
      <alignment horizontal="center" vertical="center"/>
    </xf>
    <xf numFmtId="167" fontId="19" fillId="0" borderId="32" applyAlignment="1" pivotButton="0" quotePrefix="0" xfId="4">
      <alignment horizontal="center" vertical="center"/>
    </xf>
    <xf numFmtId="167" fontId="19" fillId="0" borderId="33" applyAlignment="1" pivotButton="0" quotePrefix="0" xfId="4">
      <alignment horizontal="center" vertical="center"/>
    </xf>
    <xf numFmtId="167" fontId="19" fillId="0" borderId="38" applyAlignment="1" pivotButton="0" quotePrefix="0" xfId="4">
      <alignment horizontal="center" vertical="center"/>
    </xf>
    <xf numFmtId="165" fontId="19" fillId="0" borderId="39" applyAlignment="1" pivotButton="0" quotePrefix="0" xfId="4">
      <alignment horizontal="center" vertical="center"/>
    </xf>
    <xf numFmtId="0" fontId="19" fillId="0" borderId="40" applyAlignment="1" pivotButton="0" quotePrefix="0" xfId="4">
      <alignment horizontal="center" vertical="center"/>
    </xf>
    <xf numFmtId="0" fontId="19" fillId="0" borderId="30" applyAlignment="1" pivotButton="0" quotePrefix="0" xfId="4">
      <alignment horizontal="center" vertical="center"/>
    </xf>
    <xf numFmtId="0" fontId="19" fillId="0" borderId="41" applyAlignment="1" pivotButton="0" quotePrefix="0" xfId="4">
      <alignment horizontal="center" vertical="center"/>
    </xf>
    <xf numFmtId="166" fontId="19" fillId="0" borderId="40" applyAlignment="1" pivotButton="0" quotePrefix="0" xfId="4">
      <alignment horizontal="center" vertical="center"/>
    </xf>
    <xf numFmtId="166" fontId="19" fillId="0" borderId="30" applyAlignment="1" pivotButton="0" quotePrefix="0" xfId="4">
      <alignment horizontal="center" vertical="center"/>
    </xf>
    <xf numFmtId="166" fontId="19" fillId="0" borderId="41" applyAlignment="1" pivotButton="0" quotePrefix="0" xfId="4">
      <alignment horizontal="center" vertical="center"/>
    </xf>
    <xf numFmtId="165" fontId="19" fillId="0" borderId="42" applyAlignment="1" pivotButton="0" quotePrefix="0" xfId="4">
      <alignment horizontal="center" vertical="center"/>
    </xf>
    <xf numFmtId="165" fontId="7" fillId="16" borderId="32" applyAlignment="1" pivotButton="0" quotePrefix="0" xfId="4">
      <alignment horizontal="center" vertical="center"/>
    </xf>
    <xf numFmtId="165" fontId="7" fillId="16" borderId="33" applyAlignment="1" pivotButton="0" quotePrefix="0" xfId="4">
      <alignment horizontal="center" vertical="center"/>
    </xf>
    <xf numFmtId="0" fontId="19" fillId="0" borderId="33" applyAlignment="1" pivotButton="0" quotePrefix="0" xfId="4">
      <alignment horizontal="center" vertical="center"/>
    </xf>
    <xf numFmtId="0" fontId="19" fillId="0" borderId="34" applyAlignment="1" pivotButton="0" quotePrefix="0" xfId="4">
      <alignment horizontal="center" vertical="center"/>
    </xf>
    <xf numFmtId="0" fontId="7" fillId="0" borderId="43" applyAlignment="1" pivotButton="0" quotePrefix="0" xfId="3">
      <alignment horizontal="center" vertical="center"/>
    </xf>
    <xf numFmtId="165" fontId="13" fillId="0" borderId="30" applyAlignment="1" pivotButton="0" quotePrefix="0" xfId="3">
      <alignment horizontal="center" vertical="center"/>
    </xf>
    <xf numFmtId="165" fontId="13" fillId="0" borderId="41" applyAlignment="1" pivotButton="0" quotePrefix="0" xfId="3">
      <alignment horizontal="center" vertical="center"/>
    </xf>
    <xf numFmtId="164" fontId="19" fillId="0" borderId="42" applyAlignment="1" pivotButton="0" quotePrefix="0" xfId="5">
      <alignment horizontal="center" vertical="center"/>
    </xf>
    <xf numFmtId="164" fontId="19" fillId="0" borderId="33" applyAlignment="1" pivotButton="0" quotePrefix="0" xfId="5">
      <alignment horizontal="center" vertical="center"/>
    </xf>
    <xf numFmtId="164" fontId="19" fillId="0" borderId="38" applyAlignment="1" pivotButton="0" quotePrefix="0" xfId="5">
      <alignment horizontal="center" vertical="center"/>
    </xf>
    <xf numFmtId="0" fontId="7" fillId="0" borderId="44" applyAlignment="1" pivotButton="0" quotePrefix="0" xfId="4">
      <alignment horizontal="left" vertical="center"/>
    </xf>
    <xf numFmtId="1" fontId="19" fillId="0" borderId="40" applyAlignment="1" pivotButton="0" quotePrefix="0" xfId="4">
      <alignment horizontal="center" vertical="center"/>
    </xf>
    <xf numFmtId="1" fontId="19" fillId="0" borderId="42" applyAlignment="1" pivotButton="0" quotePrefix="0" xfId="4">
      <alignment horizontal="center" vertical="center"/>
    </xf>
    <xf numFmtId="1" fontId="19" fillId="0" borderId="33" applyAlignment="1" pivotButton="0" quotePrefix="0" xfId="4">
      <alignment horizontal="center" vertical="center"/>
    </xf>
    <xf numFmtId="1" fontId="19" fillId="0" borderId="38" applyAlignment="1" pivotButton="0" quotePrefix="0" xfId="4">
      <alignment horizontal="center" vertical="center"/>
    </xf>
    <xf numFmtId="1" fontId="19" fillId="0" borderId="45" applyAlignment="1" pivotButton="0" quotePrefix="0" xfId="4">
      <alignment horizontal="center" vertical="center"/>
    </xf>
    <xf numFmtId="1" fontId="7" fillId="16" borderId="32" applyAlignment="1" pivotButton="0" quotePrefix="0" xfId="4">
      <alignment horizontal="center" vertical="center"/>
    </xf>
    <xf numFmtId="1" fontId="7" fillId="16" borderId="33" applyAlignment="1" pivotButton="0" quotePrefix="0" xfId="4">
      <alignment horizontal="center" vertical="center"/>
    </xf>
    <xf numFmtId="1" fontId="13" fillId="0" borderId="30" applyAlignment="1" pivotButton="0" quotePrefix="0" xfId="3">
      <alignment horizontal="center" vertical="center"/>
    </xf>
    <xf numFmtId="1" fontId="13" fillId="0" borderId="41" applyAlignment="1" pivotButton="0" quotePrefix="0" xfId="3">
      <alignment horizontal="center" vertical="center"/>
    </xf>
    <xf numFmtId="164" fontId="19" fillId="0" borderId="30" applyAlignment="1" pivotButton="0" quotePrefix="0" xfId="5">
      <alignment horizontal="center" vertical="center"/>
    </xf>
    <xf numFmtId="164" fontId="19" fillId="0" borderId="41" applyAlignment="1" pivotButton="0" quotePrefix="0" xfId="5">
      <alignment horizontal="center" vertical="center"/>
    </xf>
    <xf numFmtId="0" fontId="19" fillId="0" borderId="44" applyAlignment="1" pivotButton="0" quotePrefix="0" xfId="4">
      <alignment horizontal="left" vertical="center"/>
    </xf>
    <xf numFmtId="1" fontId="19" fillId="0" borderId="30" applyAlignment="1" pivotButton="0" quotePrefix="0" xfId="4">
      <alignment horizontal="center" vertical="center"/>
    </xf>
    <xf numFmtId="1" fontId="19" fillId="0" borderId="41" applyAlignment="1" pivotButton="0" quotePrefix="0" xfId="4">
      <alignment horizontal="center" vertical="center"/>
    </xf>
    <xf numFmtId="1" fontId="19" fillId="0" borderId="32" applyAlignment="1" pivotButton="0" quotePrefix="0" xfId="4">
      <alignment horizontal="center" vertical="center"/>
    </xf>
    <xf numFmtId="0" fontId="19" fillId="0" borderId="46" applyAlignment="1" pivotButton="0" quotePrefix="0" xfId="4">
      <alignment horizontal="center" vertical="center"/>
    </xf>
    <xf numFmtId="1" fontId="19" fillId="0" borderId="46" applyAlignment="1" pivotButton="0" quotePrefix="0" xfId="4">
      <alignment horizontal="center" vertical="center"/>
    </xf>
    <xf numFmtId="1" fontId="19" fillId="16" borderId="40" applyAlignment="1" pivotButton="0" quotePrefix="0" xfId="4">
      <alignment horizontal="center" vertical="center"/>
    </xf>
    <xf numFmtId="1" fontId="19" fillId="16" borderId="30" applyAlignment="1" pivotButton="0" quotePrefix="0" xfId="4">
      <alignment horizontal="center" vertical="center"/>
    </xf>
    <xf numFmtId="0" fontId="19" fillId="0" borderId="44" applyAlignment="1" pivotButton="0" quotePrefix="0" xfId="3">
      <alignment horizontal="center" vertical="center"/>
    </xf>
    <xf numFmtId="0" fontId="19" fillId="0" borderId="43" applyAlignment="1" pivotButton="0" quotePrefix="0" xfId="3">
      <alignment horizontal="center" vertical="center"/>
    </xf>
    <xf numFmtId="1" fontId="24" fillId="3" borderId="30" applyAlignment="1" pivotButton="0" quotePrefix="0" xfId="4">
      <alignment horizontal="center" vertical="center"/>
    </xf>
    <xf numFmtId="165" fontId="19" fillId="0" borderId="30" applyAlignment="1" pivotButton="0" quotePrefix="0" xfId="4">
      <alignment horizontal="center" vertical="center"/>
    </xf>
    <xf numFmtId="165" fontId="19" fillId="0" borderId="46" applyAlignment="1" pivotButton="0" quotePrefix="0" xfId="4">
      <alignment horizontal="center" vertical="center"/>
    </xf>
    <xf numFmtId="165" fontId="19" fillId="0" borderId="31" applyAlignment="1" pivotButton="0" quotePrefix="0" xfId="4">
      <alignment horizontal="center" vertical="center"/>
    </xf>
    <xf numFmtId="165" fontId="19" fillId="0" borderId="47" applyAlignment="1" pivotButton="0" quotePrefix="0" xfId="4">
      <alignment horizontal="center" vertical="center"/>
    </xf>
    <xf numFmtId="165" fontId="19" fillId="0" borderId="41" applyAlignment="1" pivotButton="0" quotePrefix="0" xfId="4">
      <alignment horizontal="center" vertical="center"/>
    </xf>
    <xf numFmtId="165" fontId="19" fillId="16" borderId="40" applyAlignment="1" pivotButton="0" quotePrefix="0" xfId="4">
      <alignment horizontal="center" vertical="center"/>
    </xf>
    <xf numFmtId="165" fontId="19" fillId="16" borderId="30" applyAlignment="1" pivotButton="0" quotePrefix="0" xfId="4">
      <alignment horizontal="center" vertical="center"/>
    </xf>
    <xf numFmtId="0" fontId="13" fillId="0" borderId="30" applyAlignment="1" pivotButton="0" quotePrefix="0" xfId="3">
      <alignment horizontal="center" vertical="center"/>
    </xf>
    <xf numFmtId="0" fontId="13" fillId="0" borderId="41" applyAlignment="1" pivotButton="0" quotePrefix="0" xfId="3">
      <alignment horizontal="center" vertical="center"/>
    </xf>
    <xf numFmtId="0" fontId="19" fillId="0" borderId="45" applyAlignment="1" pivotButton="0" quotePrefix="0" xfId="4">
      <alignment horizontal="center" vertical="center"/>
    </xf>
    <xf numFmtId="165" fontId="19" fillId="0" borderId="38" applyAlignment="1" pivotButton="0" quotePrefix="0" xfId="4">
      <alignment horizontal="center" vertical="center"/>
    </xf>
    <xf numFmtId="0" fontId="19" fillId="0" borderId="48" applyAlignment="1" pivotButton="0" quotePrefix="0" xfId="4">
      <alignment horizontal="left" vertical="center"/>
    </xf>
    <xf numFmtId="2" fontId="24" fillId="3" borderId="40" applyAlignment="1" pivotButton="0" quotePrefix="0" xfId="4">
      <alignment horizontal="center" vertical="center"/>
    </xf>
    <xf numFmtId="2" fontId="24" fillId="3" borderId="30" applyAlignment="1" pivotButton="0" quotePrefix="0" xfId="4">
      <alignment horizontal="center" vertical="center"/>
    </xf>
    <xf numFmtId="2" fontId="24" fillId="3" borderId="41" applyAlignment="1" pivotButton="0" quotePrefix="0" xfId="4">
      <alignment horizontal="center" vertical="center"/>
    </xf>
    <xf numFmtId="2" fontId="19" fillId="0" borderId="40" applyAlignment="1" pivotButton="0" quotePrefix="0" xfId="4">
      <alignment horizontal="center" vertical="center"/>
    </xf>
    <xf numFmtId="2" fontId="19" fillId="0" borderId="30" applyAlignment="1" pivotButton="0" quotePrefix="0" xfId="4">
      <alignment horizontal="center" vertical="center"/>
    </xf>
    <xf numFmtId="2" fontId="19" fillId="0" borderId="41" applyAlignment="1" pivotButton="0" quotePrefix="0" xfId="4">
      <alignment horizontal="center" vertical="center"/>
    </xf>
    <xf numFmtId="2" fontId="19" fillId="0" borderId="32" applyAlignment="1" pivotButton="0" quotePrefix="0" xfId="4">
      <alignment horizontal="center" vertical="center"/>
    </xf>
    <xf numFmtId="2" fontId="19" fillId="0" borderId="42" applyAlignment="1" pivotButton="0" quotePrefix="0" xfId="4">
      <alignment horizontal="center" vertical="center"/>
    </xf>
    <xf numFmtId="2" fontId="19" fillId="0" borderId="46" applyAlignment="1" pivotButton="0" quotePrefix="0" xfId="4">
      <alignment horizontal="center" vertical="center"/>
    </xf>
    <xf numFmtId="2" fontId="13" fillId="0" borderId="30" applyAlignment="1" pivotButton="0" quotePrefix="0" xfId="3">
      <alignment horizontal="center" vertical="center"/>
    </xf>
    <xf numFmtId="165" fontId="24" fillId="3" borderId="40" applyAlignment="1" pivotButton="0" quotePrefix="0" xfId="4">
      <alignment horizontal="center" vertical="center"/>
    </xf>
    <xf numFmtId="165" fontId="24" fillId="3" borderId="30" applyAlignment="1" pivotButton="0" quotePrefix="0" xfId="4">
      <alignment horizontal="center" vertical="center"/>
    </xf>
    <xf numFmtId="165" fontId="24" fillId="3" borderId="41" applyAlignment="1" pivotButton="0" quotePrefix="0" xfId="4">
      <alignment horizontal="center" vertical="center"/>
    </xf>
    <xf numFmtId="168" fontId="19" fillId="0" borderId="30" applyAlignment="1" pivotButton="0" quotePrefix="0" xfId="5">
      <alignment horizontal="center" vertical="center"/>
    </xf>
    <xf numFmtId="1" fontId="24" fillId="3" borderId="33" applyAlignment="1" pivotButton="0" quotePrefix="0" xfId="4">
      <alignment horizontal="center" vertical="center"/>
    </xf>
    <xf numFmtId="0" fontId="19" fillId="0" borderId="32" applyAlignment="1" pivotButton="0" quotePrefix="0" xfId="4">
      <alignment horizontal="center" vertical="center"/>
    </xf>
    <xf numFmtId="0" fontId="19" fillId="0" borderId="38" applyAlignment="1" pivotButton="0" quotePrefix="0" xfId="4">
      <alignment horizontal="center" vertical="center"/>
    </xf>
    <xf numFmtId="0" fontId="19" fillId="0" borderId="42" applyAlignment="1" pivotButton="0" quotePrefix="0" xfId="4">
      <alignment horizontal="center" vertical="center"/>
    </xf>
    <xf numFmtId="165" fontId="19" fillId="0" borderId="40" applyAlignment="1" pivotButton="0" quotePrefix="0" xfId="4">
      <alignment horizontal="center" vertical="center"/>
    </xf>
    <xf numFmtId="165" fontId="19" fillId="0" borderId="45" applyAlignment="1" pivotButton="0" quotePrefix="0" xfId="4">
      <alignment horizontal="center" vertical="center"/>
    </xf>
    <xf numFmtId="1" fontId="19" fillId="0" borderId="34" applyAlignment="1" pivotButton="0" quotePrefix="0" xfId="4">
      <alignment horizontal="center" vertical="center"/>
    </xf>
    <xf numFmtId="2" fontId="13" fillId="0" borderId="41" applyAlignment="1" pivotButton="0" quotePrefix="0" xfId="3">
      <alignment horizontal="center" vertical="center"/>
    </xf>
    <xf numFmtId="0" fontId="7" fillId="0" borderId="48" applyAlignment="1" pivotButton="0" quotePrefix="0" xfId="4">
      <alignment horizontal="left" vertical="center"/>
    </xf>
    <xf numFmtId="0" fontId="26" fillId="0" borderId="0" applyAlignment="1" pivotButton="0" quotePrefix="0" xfId="3">
      <alignment vertical="center"/>
    </xf>
    <xf numFmtId="0" fontId="19" fillId="0" borderId="30" applyAlignment="1" pivotButton="0" quotePrefix="0" xfId="3">
      <alignment vertical="center"/>
    </xf>
    <xf numFmtId="0" fontId="19" fillId="0" borderId="44" applyAlignment="1" pivotButton="0" quotePrefix="0" xfId="4">
      <alignment horizontal="left"/>
    </xf>
    <xf numFmtId="165" fontId="7" fillId="16" borderId="40" applyAlignment="1" pivotButton="0" quotePrefix="0" xfId="4">
      <alignment horizontal="center" vertical="center"/>
    </xf>
    <xf numFmtId="165" fontId="7" fillId="16" borderId="30" applyAlignment="1" pivotButton="0" quotePrefix="0" xfId="4">
      <alignment horizontal="center" vertical="center"/>
    </xf>
    <xf numFmtId="1" fontId="19" fillId="0" borderId="43" applyAlignment="1" pivotButton="0" quotePrefix="0" xfId="3">
      <alignment horizontal="center" vertical="center"/>
    </xf>
    <xf numFmtId="0" fontId="27" fillId="0" borderId="49" applyAlignment="1" pivotButton="0" quotePrefix="0" xfId="3">
      <alignment vertical="center"/>
    </xf>
    <xf numFmtId="0" fontId="19" fillId="0" borderId="43" applyAlignment="1" pivotButton="0" quotePrefix="0" xfId="3">
      <alignment horizontal="center"/>
    </xf>
    <xf numFmtId="0" fontId="27" fillId="0" borderId="0" applyAlignment="1" pivotButton="0" quotePrefix="0" xfId="3">
      <alignment vertical="center"/>
    </xf>
    <xf numFmtId="0" fontId="19" fillId="0" borderId="48" applyAlignment="1" pivotButton="0" quotePrefix="0" xfId="4">
      <alignment horizontal="left"/>
    </xf>
    <xf numFmtId="1" fontId="19" fillId="0" borderId="40" applyAlignment="1" pivotButton="0" quotePrefix="0" xfId="3">
      <alignment horizontal="center" vertical="center"/>
    </xf>
    <xf numFmtId="1" fontId="19" fillId="0" borderId="30" applyAlignment="1" pivotButton="0" quotePrefix="0" xfId="3">
      <alignment horizontal="center" vertical="center"/>
    </xf>
    <xf numFmtId="1" fontId="19" fillId="0" borderId="50" applyAlignment="1" pivotButton="0" quotePrefix="0" xfId="4">
      <alignment horizontal="center" vertical="center"/>
    </xf>
    <xf numFmtId="1" fontId="19" fillId="0" borderId="41" applyAlignment="1" pivotButton="0" quotePrefix="0" xfId="3">
      <alignment horizontal="center" vertical="center"/>
    </xf>
    <xf numFmtId="1" fontId="19" fillId="0" borderId="49" applyAlignment="1" pivotButton="0" quotePrefix="0" xfId="4">
      <alignment horizontal="center" vertical="center"/>
    </xf>
    <xf numFmtId="1" fontId="19" fillId="0" borderId="51" applyAlignment="1" pivotButton="0" quotePrefix="0" xfId="4">
      <alignment horizontal="center" vertical="center"/>
    </xf>
    <xf numFmtId="1" fontId="19" fillId="0" borderId="52" applyAlignment="1" pivotButton="0" quotePrefix="0" xfId="4">
      <alignment horizontal="center" vertical="center"/>
    </xf>
    <xf numFmtId="1" fontId="19" fillId="0" borderId="0" applyAlignment="1" pivotButton="0" quotePrefix="0" xfId="4">
      <alignment horizontal="center" vertical="center"/>
    </xf>
    <xf numFmtId="1" fontId="19" fillId="0" borderId="26" applyAlignment="1" pivotButton="0" quotePrefix="0" xfId="4">
      <alignment horizontal="center" vertical="center"/>
    </xf>
    <xf numFmtId="1" fontId="19" fillId="0" borderId="53" applyAlignment="1" pivotButton="0" quotePrefix="0" xfId="4">
      <alignment horizontal="center" vertical="center"/>
    </xf>
    <xf numFmtId="1" fontId="19" fillId="0" borderId="54" applyAlignment="1" pivotButton="0" quotePrefix="0" xfId="4">
      <alignment horizontal="center" vertical="center"/>
    </xf>
    <xf numFmtId="165" fontId="7" fillId="16" borderId="48" applyAlignment="1" pivotButton="0" quotePrefix="0" xfId="4">
      <alignment horizontal="center" vertical="center"/>
    </xf>
    <xf numFmtId="165" fontId="7" fillId="16" borderId="55" applyAlignment="1" pivotButton="0" quotePrefix="0" xfId="4">
      <alignment horizontal="center" vertical="center"/>
    </xf>
    <xf numFmtId="165" fontId="19" fillId="0" borderId="50" applyAlignment="1" pivotButton="0" quotePrefix="0" xfId="4">
      <alignment horizontal="center" vertical="center"/>
    </xf>
    <xf numFmtId="165" fontId="19" fillId="0" borderId="51" applyAlignment="1" pivotButton="0" quotePrefix="0" xfId="4">
      <alignment horizontal="center" vertical="center"/>
    </xf>
    <xf numFmtId="0" fontId="24" fillId="0" borderId="0" applyAlignment="1" pivotButton="0" quotePrefix="0" xfId="3">
      <alignment vertical="center"/>
    </xf>
    <xf numFmtId="0" fontId="24" fillId="0" borderId="30" applyAlignment="1" pivotButton="0" quotePrefix="0" xfId="3">
      <alignment vertical="center"/>
    </xf>
    <xf numFmtId="0" fontId="21" fillId="0" borderId="56" applyAlignment="1" pivotButton="0" quotePrefix="0" xfId="4">
      <alignment horizontal="left" vertical="center"/>
    </xf>
    <xf numFmtId="1" fontId="19" fillId="0" borderId="57" applyAlignment="1" pivotButton="0" quotePrefix="0" xfId="4">
      <alignment horizontal="center" vertical="center"/>
    </xf>
    <xf numFmtId="1" fontId="19" fillId="0" borderId="58" applyAlignment="1" pivotButton="0" quotePrefix="0" xfId="4">
      <alignment horizontal="center" vertical="center"/>
    </xf>
    <xf numFmtId="0" fontId="19" fillId="0" borderId="59" applyAlignment="1" pivotButton="0" quotePrefix="0" xfId="4">
      <alignment horizontal="center" vertical="center"/>
    </xf>
    <xf numFmtId="0" fontId="19" fillId="0" borderId="60" applyAlignment="1" pivotButton="0" quotePrefix="0" xfId="4">
      <alignment horizontal="center" vertical="center"/>
    </xf>
    <xf numFmtId="1" fontId="19" fillId="0" borderId="61" applyAlignment="1" pivotButton="0" quotePrefix="0" xfId="4">
      <alignment horizontal="center" vertical="center"/>
    </xf>
    <xf numFmtId="1" fontId="7" fillId="16" borderId="56" applyAlignment="1" pivotButton="0" quotePrefix="0" xfId="4">
      <alignment horizontal="center" vertical="center"/>
    </xf>
    <xf numFmtId="1" fontId="7" fillId="16" borderId="62" applyAlignment="1" pivotButton="0" quotePrefix="0" xfId="4">
      <alignment horizontal="center" vertical="center"/>
    </xf>
    <xf numFmtId="0" fontId="13" fillId="0" borderId="30" applyAlignment="1" pivotButton="0" quotePrefix="0" xfId="3">
      <alignment vertical="center"/>
    </xf>
    <xf numFmtId="0" fontId="13" fillId="0" borderId="41" applyAlignment="1" pivotButton="0" quotePrefix="0" xfId="3">
      <alignment vertical="center"/>
    </xf>
    <xf numFmtId="0" fontId="21" fillId="0" borderId="0" applyAlignment="1" pivotButton="0" quotePrefix="0" xfId="3">
      <alignment horizontal="left" vertical="center"/>
    </xf>
    <xf numFmtId="1" fontId="7" fillId="17" borderId="0" applyAlignment="1" pivotButton="0" quotePrefix="0" xfId="3">
      <alignment horizontal="center" vertical="center"/>
    </xf>
    <xf numFmtId="1" fontId="19" fillId="17" borderId="0" applyAlignment="1" pivotButton="0" quotePrefix="0" xfId="3">
      <alignment horizontal="center" vertical="center"/>
    </xf>
    <xf numFmtId="0" fontId="19" fillId="17" borderId="0" applyAlignment="1" pivotButton="0" quotePrefix="0" xfId="3">
      <alignment horizontal="center" vertical="center"/>
    </xf>
    <xf numFmtId="1" fontId="19" fillId="0" borderId="0" applyAlignment="1" pivotButton="0" quotePrefix="0" xfId="3">
      <alignment horizontal="center" vertical="center"/>
    </xf>
    <xf numFmtId="0" fontId="19" fillId="0" borderId="0" applyAlignment="1" pivotButton="0" quotePrefix="0" xfId="3">
      <alignment horizontal="center" vertical="center"/>
    </xf>
    <xf numFmtId="1" fontId="7" fillId="16" borderId="0" applyAlignment="1" pivotButton="0" quotePrefix="0" xfId="3">
      <alignment horizontal="center" vertical="center"/>
    </xf>
    <xf numFmtId="0" fontId="13" fillId="0" borderId="0" applyAlignment="1" pivotButton="0" quotePrefix="0" xfId="3">
      <alignment horizontal="center" vertical="center"/>
    </xf>
    <xf numFmtId="0" fontId="13" fillId="0" borderId="0" applyAlignment="1" pivotButton="0" quotePrefix="0" xfId="3">
      <alignment vertical="center"/>
    </xf>
    <xf numFmtId="164" fontId="19" fillId="0" borderId="0" applyAlignment="1" pivotButton="0" quotePrefix="0" xfId="5">
      <alignment horizontal="center" vertical="center"/>
    </xf>
    <xf numFmtId="0" fontId="7" fillId="0" borderId="0" applyAlignment="1" pivotButton="0" quotePrefix="0" xfId="3">
      <alignment horizontal="left" vertical="center"/>
    </xf>
    <xf numFmtId="1" fontId="11" fillId="2" borderId="35" applyAlignment="1" pivotButton="0" quotePrefix="0" xfId="4">
      <alignment horizontal="center" vertical="center"/>
    </xf>
    <xf numFmtId="1" fontId="13" fillId="2" borderId="36" applyAlignment="1" pivotButton="0" quotePrefix="0" xfId="4">
      <alignment horizontal="center" vertical="center"/>
    </xf>
    <xf numFmtId="1" fontId="19" fillId="0" borderId="35" applyAlignment="1" pivotButton="0" quotePrefix="0" xfId="4">
      <alignment horizontal="center" vertical="center"/>
    </xf>
    <xf numFmtId="1" fontId="19" fillId="0" borderId="36" applyAlignment="1" pivotButton="0" quotePrefix="0" xfId="4">
      <alignment horizontal="center" vertical="center"/>
    </xf>
    <xf numFmtId="165" fontId="19" fillId="0" borderId="63" applyAlignment="1" pivotButton="0" quotePrefix="0" xfId="4">
      <alignment horizontal="center" vertical="center"/>
    </xf>
    <xf numFmtId="1" fontId="19" fillId="0" borderId="64" applyAlignment="1" pivotButton="0" quotePrefix="0" xfId="4">
      <alignment horizontal="center" vertical="center"/>
    </xf>
    <xf numFmtId="165" fontId="7" fillId="16" borderId="35" applyAlignment="1" pivotButton="0" quotePrefix="0" xfId="4">
      <alignment horizontal="center" vertical="center"/>
    </xf>
    <xf numFmtId="165" fontId="7" fillId="16" borderId="36" applyAlignment="1" pivotButton="0" quotePrefix="0" xfId="4">
      <alignment horizontal="center" vertical="center"/>
    </xf>
    <xf numFmtId="0" fontId="19" fillId="0" borderId="0" applyAlignment="1" pivotButton="0" quotePrefix="0" xfId="3">
      <alignment vertical="center"/>
    </xf>
    <xf numFmtId="1" fontId="7" fillId="0" borderId="57" applyAlignment="1" pivotButton="0" quotePrefix="0" xfId="4">
      <alignment horizontal="center" vertical="center"/>
    </xf>
    <xf numFmtId="1" fontId="19" fillId="0" borderId="59" applyAlignment="1" pivotButton="0" quotePrefix="0" xfId="4">
      <alignment horizontal="center" vertical="center"/>
    </xf>
    <xf numFmtId="165" fontId="19" fillId="0" borderId="59" applyAlignment="1" pivotButton="0" quotePrefix="0" xfId="4">
      <alignment horizontal="center" vertical="center"/>
    </xf>
    <xf numFmtId="165" fontId="19" fillId="0" borderId="60" applyAlignment="1" pivotButton="0" quotePrefix="0" xfId="4">
      <alignment horizontal="center" vertical="center"/>
    </xf>
    <xf numFmtId="165" fontId="19" fillId="0" borderId="62" applyAlignment="1" pivotButton="0" quotePrefix="0" xfId="4">
      <alignment horizontal="center" vertical="center"/>
    </xf>
    <xf numFmtId="165" fontId="7" fillId="16" borderId="57" applyAlignment="1" pivotButton="0" quotePrefix="0" xfId="4">
      <alignment horizontal="center" vertical="center"/>
    </xf>
    <xf numFmtId="165" fontId="7" fillId="16" borderId="59" applyAlignment="1" pivotButton="0" quotePrefix="0" xfId="4">
      <alignment horizontal="center" vertical="center"/>
    </xf>
    <xf numFmtId="0" fontId="11" fillId="2" borderId="35" applyAlignment="1" pivotButton="0" quotePrefix="0" xfId="4">
      <alignment horizontal="center" vertical="center"/>
    </xf>
    <xf numFmtId="0" fontId="11" fillId="2" borderId="36" applyAlignment="1" pivotButton="0" quotePrefix="0" xfId="4">
      <alignment horizontal="center" vertical="center"/>
    </xf>
    <xf numFmtId="0" fontId="13" fillId="2" borderId="64" applyAlignment="1" pivotButton="0" quotePrefix="0" xfId="4">
      <alignment horizontal="center" vertical="center"/>
    </xf>
    <xf numFmtId="0" fontId="13" fillId="2" borderId="36" applyAlignment="1" pivotButton="0" quotePrefix="0" xfId="4">
      <alignment horizontal="center" vertical="center"/>
    </xf>
    <xf numFmtId="0" fontId="13" fillId="2" borderId="63" applyAlignment="1" pivotButton="0" quotePrefix="0" xfId="4">
      <alignment horizontal="center" vertical="center"/>
    </xf>
    <xf numFmtId="0" fontId="13" fillId="2" borderId="37" applyAlignment="1" pivotButton="0" quotePrefix="0" xfId="4">
      <alignment horizontal="center" vertical="center"/>
    </xf>
    <xf numFmtId="0" fontId="11" fillId="2" borderId="64" applyAlignment="1" pivotButton="0" quotePrefix="0" xfId="4">
      <alignment horizontal="center" vertical="center"/>
    </xf>
    <xf numFmtId="0" fontId="19" fillId="0" borderId="35" applyAlignment="1" pivotButton="0" quotePrefix="0" xfId="4">
      <alignment horizontal="center" vertical="center"/>
    </xf>
    <xf numFmtId="0" fontId="19" fillId="0" borderId="36" applyAlignment="1" pivotButton="0" quotePrefix="0" xfId="4">
      <alignment horizontal="center" vertical="center"/>
    </xf>
    <xf numFmtId="0" fontId="19" fillId="0" borderId="37" applyAlignment="1" pivotButton="0" quotePrefix="0" xfId="4">
      <alignment horizontal="center" vertical="center"/>
    </xf>
    <xf numFmtId="0" fontId="24" fillId="3" borderId="57" applyAlignment="1" pivotButton="0" quotePrefix="0" xfId="4">
      <alignment horizontal="center" vertical="center"/>
    </xf>
    <xf numFmtId="0" fontId="24" fillId="3" borderId="59" applyAlignment="1" pivotButton="0" quotePrefix="0" xfId="4">
      <alignment horizontal="center" vertical="center"/>
    </xf>
    <xf numFmtId="0" fontId="19" fillId="0" borderId="61" applyAlignment="1" pivotButton="0" quotePrefix="0" xfId="4">
      <alignment horizontal="center" vertical="center"/>
    </xf>
    <xf numFmtId="0" fontId="19" fillId="0" borderId="66" applyAlignment="1" pivotButton="0" quotePrefix="0" xfId="4">
      <alignment horizontal="center" vertical="center"/>
    </xf>
    <xf numFmtId="0" fontId="19" fillId="0" borderId="67" applyAlignment="1" pivotButton="0" quotePrefix="0" xfId="4">
      <alignment horizontal="center" vertical="center"/>
    </xf>
    <xf numFmtId="1" fontId="19" fillId="0" borderId="62" applyAlignment="1" pivotButton="0" quotePrefix="0" xfId="4">
      <alignment horizontal="center" vertical="center"/>
    </xf>
    <xf numFmtId="1" fontId="19" fillId="0" borderId="60" applyAlignment="1" pivotButton="0" quotePrefix="0" xfId="4">
      <alignment horizontal="center" vertical="center"/>
    </xf>
    <xf numFmtId="0" fontId="19" fillId="0" borderId="57" applyAlignment="1" pivotButton="0" quotePrefix="0" xfId="4">
      <alignment horizontal="center" vertical="center"/>
    </xf>
    <xf numFmtId="1" fontId="11" fillId="0" borderId="35" applyAlignment="1" pivotButton="0" quotePrefix="0" xfId="4">
      <alignment horizontal="center" vertical="center"/>
    </xf>
    <xf numFmtId="1" fontId="11" fillId="0" borderId="36" applyAlignment="1" pivotButton="0" quotePrefix="0" xfId="4">
      <alignment horizontal="center" vertical="center"/>
    </xf>
    <xf numFmtId="164" fontId="19" fillId="0" borderId="36" applyAlignment="1" pivotButton="0" quotePrefix="0" xfId="6">
      <alignment horizontal="center" vertical="center"/>
    </xf>
    <xf numFmtId="0" fontId="11" fillId="0" borderId="35" applyAlignment="1" pivotButton="0" quotePrefix="0" xfId="4">
      <alignment horizontal="center" vertical="center"/>
    </xf>
    <xf numFmtId="0" fontId="11" fillId="0" borderId="36" applyAlignment="1" pivotButton="0" quotePrefix="0" xfId="4">
      <alignment horizontal="center" vertical="center"/>
    </xf>
    <xf numFmtId="0" fontId="19" fillId="0" borderId="63" applyAlignment="1" pivotButton="0" quotePrefix="0" xfId="4">
      <alignment horizontal="center" vertical="center"/>
    </xf>
    <xf numFmtId="0" fontId="11" fillId="0" borderId="64" applyAlignment="1" pivotButton="0" quotePrefix="0" xfId="4">
      <alignment horizontal="center" vertical="center"/>
    </xf>
    <xf numFmtId="0" fontId="19" fillId="0" borderId="62" applyAlignment="1" pivotButton="0" quotePrefix="0" xfId="4">
      <alignment horizontal="center" vertical="center"/>
    </xf>
    <xf numFmtId="0" fontId="7" fillId="0" borderId="68" applyAlignment="1" pivotButton="0" quotePrefix="0" xfId="4">
      <alignment horizontal="left" vertical="center"/>
    </xf>
    <xf numFmtId="1" fontId="24" fillId="12" borderId="35" applyAlignment="1" pivotButton="0" quotePrefix="0" xfId="4">
      <alignment horizontal="center" vertical="center"/>
    </xf>
    <xf numFmtId="1" fontId="24" fillId="12" borderId="36" applyAlignment="1" pivotButton="0" quotePrefix="0" xfId="4">
      <alignment horizontal="center" vertical="center"/>
    </xf>
    <xf numFmtId="1" fontId="24" fillId="12" borderId="64" applyAlignment="1" pivotButton="0" quotePrefix="0" xfId="4">
      <alignment horizontal="center" vertical="center"/>
    </xf>
    <xf numFmtId="1" fontId="24" fillId="2" borderId="35" applyAlignment="1" pivotButton="0" quotePrefix="0" xfId="4">
      <alignment horizontal="center" vertical="center"/>
    </xf>
    <xf numFmtId="1" fontId="24" fillId="2" borderId="36" applyAlignment="1" pivotButton="0" quotePrefix="0" xfId="4">
      <alignment horizontal="center" vertical="center"/>
    </xf>
    <xf numFmtId="1" fontId="24" fillId="2" borderId="64" applyAlignment="1" pivotButton="0" quotePrefix="0" xfId="4">
      <alignment horizontal="center" vertical="center"/>
    </xf>
    <xf numFmtId="0" fontId="19" fillId="0" borderId="64" applyAlignment="1" pivotButton="0" quotePrefix="0" xfId="4">
      <alignment horizontal="center" vertical="center"/>
    </xf>
    <xf numFmtId="0" fontId="13" fillId="19" borderId="44" applyAlignment="1" pivotButton="0" quotePrefix="0" xfId="3">
      <alignment horizontal="left" vertical="center"/>
    </xf>
    <xf numFmtId="0" fontId="24" fillId="20" borderId="40" applyAlignment="1" pivotButton="0" quotePrefix="0" xfId="4">
      <alignment horizontal="center" vertical="center"/>
    </xf>
    <xf numFmtId="0" fontId="24" fillId="20" borderId="30" applyAlignment="1" pivotButton="0" quotePrefix="0" xfId="4">
      <alignment horizontal="center" vertical="center"/>
    </xf>
    <xf numFmtId="0" fontId="19" fillId="0" borderId="69" applyAlignment="1" pivotButton="0" quotePrefix="0" xfId="4">
      <alignment horizontal="center" vertical="center"/>
    </xf>
    <xf numFmtId="0" fontId="11" fillId="0" borderId="0" applyAlignment="1" pivotButton="0" quotePrefix="0" xfId="3">
      <alignment horizontal="center" vertical="center"/>
    </xf>
    <xf numFmtId="0" fontId="13" fillId="19" borderId="56" applyAlignment="1" pivotButton="0" quotePrefix="0" xfId="3">
      <alignment horizontal="left" vertical="center"/>
    </xf>
    <xf numFmtId="0" fontId="24" fillId="20" borderId="66" applyAlignment="1" pivotButton="0" quotePrefix="0" xfId="4">
      <alignment horizontal="center" vertical="center"/>
    </xf>
    <xf numFmtId="0" fontId="24" fillId="20" borderId="67" applyAlignment="1" pivotButton="0" quotePrefix="0" xfId="4">
      <alignment horizontal="center" vertical="center"/>
    </xf>
    <xf numFmtId="1" fontId="11" fillId="2" borderId="35" applyAlignment="1" pivotButton="0" quotePrefix="0" xfId="4">
      <alignment horizontal="center" vertical="center" wrapText="1"/>
    </xf>
    <xf numFmtId="1" fontId="11" fillId="2" borderId="64" applyAlignment="1" pivotButton="0" quotePrefix="0" xfId="4">
      <alignment horizontal="center" vertical="center" wrapText="1"/>
    </xf>
    <xf numFmtId="165" fontId="19" fillId="0" borderId="57" applyAlignment="1" pivotButton="0" quotePrefix="0" xfId="4">
      <alignment horizontal="center" vertical="center"/>
    </xf>
    <xf numFmtId="165" fontId="11" fillId="2" borderId="35" applyAlignment="1" pivotButton="0" quotePrefix="0" xfId="4">
      <alignment horizontal="center" vertical="center" wrapText="1"/>
    </xf>
    <xf numFmtId="165" fontId="11" fillId="2" borderId="64" applyAlignment="1" pivotButton="0" quotePrefix="0" xfId="4">
      <alignment horizontal="center" vertical="center" wrapText="1"/>
    </xf>
    <xf numFmtId="1" fontId="11" fillId="2" borderId="39" applyAlignment="1" pivotButton="0" quotePrefix="0" xfId="4">
      <alignment horizontal="center" vertical="center" wrapText="1"/>
    </xf>
    <xf numFmtId="0" fontId="7" fillId="0" borderId="0" applyAlignment="1" pivotButton="0" quotePrefix="0" xfId="4">
      <alignment horizontal="left" vertical="center"/>
    </xf>
    <xf numFmtId="0" fontId="19" fillId="0" borderId="0" applyAlignment="1" pivotButton="0" quotePrefix="0" xfId="4">
      <alignment horizontal="center" vertical="center"/>
    </xf>
    <xf numFmtId="165" fontId="7" fillId="0" borderId="57" applyAlignment="1" pivotButton="0" quotePrefix="0" xfId="4">
      <alignment horizontal="center" vertical="center"/>
    </xf>
    <xf numFmtId="2" fontId="24" fillId="3" borderId="57" applyAlignment="1" pivotButton="0" quotePrefix="0" xfId="4">
      <alignment horizontal="center" vertical="center"/>
    </xf>
    <xf numFmtId="2" fontId="24" fillId="3" borderId="59" applyAlignment="1" pivotButton="0" quotePrefix="0" xfId="4">
      <alignment horizontal="center" vertical="center"/>
    </xf>
    <xf numFmtId="0" fontId="19" fillId="21" borderId="44" applyAlignment="1" pivotButton="0" quotePrefix="0" xfId="3">
      <alignment horizontal="left" vertical="center"/>
    </xf>
    <xf numFmtId="0" fontId="19" fillId="21" borderId="56" applyAlignment="1" pivotButton="0" quotePrefix="0" xfId="3">
      <alignment horizontal="left" vertical="center"/>
    </xf>
    <xf numFmtId="1" fontId="7" fillId="17" borderId="57" applyAlignment="1" pivotButton="0" quotePrefix="0" xfId="4">
      <alignment horizontal="center" vertical="center"/>
    </xf>
    <xf numFmtId="1" fontId="19" fillId="17" borderId="59" applyAlignment="1" pivotButton="0" quotePrefix="0" xfId="4">
      <alignment horizontal="center" vertical="center"/>
    </xf>
    <xf numFmtId="0" fontId="13" fillId="21" borderId="0" applyAlignment="1" pivotButton="0" quotePrefix="0" xfId="3">
      <alignment horizontal="left" vertical="center"/>
    </xf>
    <xf numFmtId="165" fontId="19" fillId="0" borderId="0" applyAlignment="1" pivotButton="0" quotePrefix="0" xfId="4">
      <alignment horizontal="center" vertical="center"/>
    </xf>
    <xf numFmtId="1" fontId="11" fillId="2" borderId="68" applyAlignment="1" pivotButton="0" quotePrefix="0" xfId="4">
      <alignment horizontal="center" vertical="center" wrapText="1"/>
    </xf>
    <xf numFmtId="1" fontId="11" fillId="2" borderId="36" applyAlignment="1" pivotButton="0" quotePrefix="0" xfId="4">
      <alignment horizontal="center" vertical="center" wrapText="1"/>
    </xf>
    <xf numFmtId="165" fontId="24" fillId="3" borderId="56" applyAlignment="1" pivotButton="0" quotePrefix="0" xfId="4">
      <alignment horizontal="center" vertical="center"/>
    </xf>
    <xf numFmtId="1" fontId="24" fillId="3" borderId="59" applyAlignment="1" pivotButton="0" quotePrefix="0" xfId="4">
      <alignment horizontal="center" vertical="center"/>
    </xf>
    <xf numFmtId="165" fontId="24" fillId="3" borderId="59" applyAlignment="1" pivotButton="0" quotePrefix="0" xfId="4">
      <alignment horizontal="center" vertical="center"/>
    </xf>
    <xf numFmtId="1" fontId="24" fillId="3" borderId="56" applyAlignment="1" pivotButton="0" quotePrefix="0" xfId="4">
      <alignment horizontal="center" vertical="center"/>
    </xf>
    <xf numFmtId="1" fontId="19" fillId="0" borderId="56" applyAlignment="1" pivotButton="0" quotePrefix="0" xfId="4">
      <alignment horizontal="center" vertical="center"/>
    </xf>
    <xf numFmtId="0" fontId="19" fillId="23" borderId="0" applyAlignment="1" pivotButton="0" quotePrefix="0" xfId="3">
      <alignment horizontal="center" vertical="center"/>
    </xf>
    <xf numFmtId="0" fontId="18" fillId="0" borderId="35" applyAlignment="1" pivotButton="0" quotePrefix="0" xfId="4">
      <alignment horizontal="left" vertical="center"/>
    </xf>
    <xf numFmtId="0" fontId="18" fillId="0" borderId="64" applyAlignment="1" pivotButton="0" quotePrefix="0" xfId="4">
      <alignment vertical="center"/>
    </xf>
    <xf numFmtId="0" fontId="18" fillId="0" borderId="36" applyAlignment="1" pivotButton="0" quotePrefix="0" xfId="4">
      <alignment vertical="center"/>
    </xf>
    <xf numFmtId="0" fontId="18" fillId="0" borderId="0" pivotButton="0" quotePrefix="0" xfId="4"/>
    <xf numFmtId="0" fontId="18" fillId="0" borderId="0" applyAlignment="1" pivotButton="0" quotePrefix="0" xfId="4">
      <alignment horizontal="center" vertical="center"/>
    </xf>
    <xf numFmtId="0" fontId="18" fillId="0" borderId="30" pivotButton="0" quotePrefix="0" xfId="4"/>
    <xf numFmtId="0" fontId="18" fillId="0" borderId="30" applyAlignment="1" pivotButton="0" quotePrefix="0" xfId="4">
      <alignment horizontal="left" vertical="center" wrapText="1"/>
    </xf>
    <xf numFmtId="0" fontId="18" fillId="0" borderId="0" applyAlignment="1" pivotButton="0" quotePrefix="0" xfId="4">
      <alignment horizontal="left" vertical="center"/>
    </xf>
    <xf numFmtId="0" fontId="18" fillId="0" borderId="40" applyAlignment="1" pivotButton="0" quotePrefix="0" xfId="4">
      <alignment horizontal="left" vertical="center"/>
    </xf>
    <xf numFmtId="0" fontId="34" fillId="0" borderId="45" applyAlignment="1" pivotButton="0" quotePrefix="0" xfId="4">
      <alignment vertical="center"/>
    </xf>
    <xf numFmtId="0" fontId="18" fillId="0" borderId="30" applyAlignment="1" pivotButton="0" quotePrefix="0" xfId="4">
      <alignment vertical="center"/>
    </xf>
    <xf numFmtId="0" fontId="35" fillId="0" borderId="7" applyAlignment="1" pivotButton="0" quotePrefix="0" xfId="4">
      <alignment horizontal="center" vertical="center" wrapText="1" readingOrder="1"/>
    </xf>
    <xf numFmtId="0" fontId="36" fillId="0" borderId="69" applyAlignment="1" pivotButton="0" quotePrefix="0" xfId="4">
      <alignment horizontal="center" vertical="center" wrapText="1" readingOrder="1"/>
    </xf>
    <xf numFmtId="0" fontId="36" fillId="0" borderId="45" applyAlignment="1" pivotButton="0" quotePrefix="0" xfId="4">
      <alignment horizontal="center" vertical="center" wrapText="1" readingOrder="1"/>
    </xf>
    <xf numFmtId="0" fontId="37" fillId="0" borderId="10" applyAlignment="1" pivotButton="0" quotePrefix="0" xfId="4">
      <alignment vertical="center"/>
    </xf>
    <xf numFmtId="0" fontId="18" fillId="0" borderId="45" applyAlignment="1" pivotButton="0" quotePrefix="0" xfId="4">
      <alignment vertical="center"/>
    </xf>
    <xf numFmtId="0" fontId="36" fillId="0" borderId="70" applyAlignment="1" pivotButton="0" quotePrefix="0" xfId="4">
      <alignment horizontal="center" vertical="center" wrapText="1" readingOrder="1"/>
    </xf>
    <xf numFmtId="0" fontId="36" fillId="12" borderId="30" applyAlignment="1" pivotButton="0" quotePrefix="0" xfId="4">
      <alignment horizontal="center" vertical="center" wrapText="1" readingOrder="1"/>
    </xf>
    <xf numFmtId="0" fontId="36" fillId="0" borderId="30" applyAlignment="1" pivotButton="0" quotePrefix="0" xfId="4">
      <alignment horizontal="center" vertical="center" wrapText="1" readingOrder="1"/>
    </xf>
    <xf numFmtId="0" fontId="37" fillId="25" borderId="20" applyAlignment="1" pivotButton="0" quotePrefix="0" xfId="4">
      <alignment vertical="center"/>
    </xf>
    <xf numFmtId="9" fontId="0" fillId="0" borderId="30" applyAlignment="1" pivotButton="0" quotePrefix="0" xfId="6">
      <alignment vertical="center"/>
    </xf>
    <xf numFmtId="0" fontId="36" fillId="0" borderId="1" applyAlignment="1" pivotButton="0" quotePrefix="0" xfId="4">
      <alignment horizontal="center" vertical="center" wrapText="1" readingOrder="1"/>
    </xf>
    <xf numFmtId="164" fontId="36" fillId="12" borderId="4" applyAlignment="1" pivotButton="0" quotePrefix="0" xfId="4">
      <alignment horizontal="center" vertical="center" wrapText="1" readingOrder="1"/>
    </xf>
    <xf numFmtId="164" fontId="36" fillId="0" borderId="4" applyAlignment="1" pivotButton="0" quotePrefix="0" xfId="4">
      <alignment horizontal="center" vertical="center" wrapText="1" readingOrder="1"/>
    </xf>
    <xf numFmtId="10" fontId="36" fillId="0" borderId="4" applyAlignment="1" pivotButton="0" quotePrefix="0" xfId="4">
      <alignment horizontal="center" vertical="center" wrapText="1" readingOrder="1"/>
    </xf>
    <xf numFmtId="0" fontId="38" fillId="25" borderId="68" applyAlignment="1" pivotButton="0" quotePrefix="0" xfId="4">
      <alignment horizontal="center" vertical="center"/>
    </xf>
    <xf numFmtId="0" fontId="37" fillId="25" borderId="35" applyAlignment="1" pivotButton="0" quotePrefix="0" xfId="4">
      <alignment horizontal="center" vertical="center"/>
    </xf>
    <xf numFmtId="0" fontId="37" fillId="25" borderId="36" applyAlignment="1" pivotButton="0" quotePrefix="0" xfId="4">
      <alignment horizontal="center" vertical="center"/>
    </xf>
    <xf numFmtId="0" fontId="37" fillId="25" borderId="37" applyAlignment="1" pivotButton="0" quotePrefix="0" xfId="4">
      <alignment horizontal="center" vertical="center"/>
    </xf>
    <xf numFmtId="0" fontId="37" fillId="0" borderId="64" applyAlignment="1" pivotButton="0" quotePrefix="0" xfId="4">
      <alignment horizontal="center" vertical="center"/>
    </xf>
    <xf numFmtId="0" fontId="37" fillId="0" borderId="36" applyAlignment="1" pivotButton="0" quotePrefix="0" xfId="4">
      <alignment horizontal="center" vertical="center"/>
    </xf>
    <xf numFmtId="0" fontId="37" fillId="0" borderId="37" applyAlignment="1" pivotButton="0" quotePrefix="0" xfId="4">
      <alignment horizontal="center" vertical="center"/>
    </xf>
    <xf numFmtId="164" fontId="21" fillId="17" borderId="1" applyAlignment="1" pivotButton="0" quotePrefix="0" xfId="4">
      <alignment horizontal="center" vertical="center" wrapText="1" readingOrder="1"/>
    </xf>
    <xf numFmtId="164" fontId="36" fillId="0" borderId="1" applyAlignment="1" pivotButton="0" quotePrefix="0" xfId="4">
      <alignment horizontal="center" vertical="center" wrapText="1" readingOrder="1"/>
    </xf>
    <xf numFmtId="164" fontId="36" fillId="12" borderId="1" applyAlignment="1" pivotButton="0" quotePrefix="0" xfId="4">
      <alignment horizontal="center" vertical="center" wrapText="1" readingOrder="1"/>
    </xf>
    <xf numFmtId="10" fontId="36" fillId="0" borderId="1" applyAlignment="1" pivotButton="0" quotePrefix="0" xfId="4">
      <alignment horizontal="center" vertical="center" wrapText="1" readingOrder="1"/>
    </xf>
    <xf numFmtId="0" fontId="38" fillId="25" borderId="44" applyAlignment="1" pivotButton="0" quotePrefix="0" xfId="4">
      <alignment horizontal="center" vertical="center"/>
    </xf>
    <xf numFmtId="9" fontId="37" fillId="0" borderId="40" applyAlignment="1" pivotButton="0" quotePrefix="0" xfId="6">
      <alignment horizontal="center" vertical="center"/>
    </xf>
    <xf numFmtId="9" fontId="37" fillId="0" borderId="30" applyAlignment="1" pivotButton="0" quotePrefix="0" xfId="6">
      <alignment horizontal="center" vertical="center"/>
    </xf>
    <xf numFmtId="9" fontId="37" fillId="0" borderId="41" applyAlignment="1" pivotButton="0" quotePrefix="0" xfId="6">
      <alignment horizontal="center" vertical="center"/>
    </xf>
    <xf numFmtId="9" fontId="37" fillId="17" borderId="40" applyAlignment="1" pivotButton="0" quotePrefix="0" xfId="4">
      <alignment horizontal="center" vertical="center"/>
    </xf>
    <xf numFmtId="9" fontId="37" fillId="17" borderId="30" applyAlignment="1" pivotButton="0" quotePrefix="0" xfId="4">
      <alignment horizontal="center" vertical="center"/>
    </xf>
    <xf numFmtId="9" fontId="37" fillId="0" borderId="30" applyAlignment="1" pivotButton="0" quotePrefix="0" xfId="4">
      <alignment horizontal="center" vertical="center"/>
    </xf>
    <xf numFmtId="9" fontId="37" fillId="17" borderId="41" applyAlignment="1" pivotButton="0" quotePrefix="0" xfId="4">
      <alignment horizontal="center" vertical="center"/>
    </xf>
    <xf numFmtId="9" fontId="37" fillId="0" borderId="45" applyAlignment="1" pivotButton="0" quotePrefix="0" xfId="4">
      <alignment horizontal="center" vertical="center"/>
    </xf>
    <xf numFmtId="9" fontId="37" fillId="0" borderId="40" applyAlignment="1" pivotButton="0" quotePrefix="0" xfId="4">
      <alignment horizontal="center" vertical="center"/>
    </xf>
    <xf numFmtId="9" fontId="37" fillId="0" borderId="41" applyAlignment="1" pivotButton="0" quotePrefix="0" xfId="4">
      <alignment horizontal="center" vertical="center"/>
    </xf>
    <xf numFmtId="169" fontId="0" fillId="0" borderId="30" applyAlignment="1" pivotButton="0" quotePrefix="0" xfId="6">
      <alignment vertical="center"/>
    </xf>
    <xf numFmtId="164" fontId="37" fillId="0" borderId="40" applyAlignment="1" pivotButton="0" quotePrefix="0" xfId="6">
      <alignment horizontal="center" vertical="center"/>
    </xf>
    <xf numFmtId="164" fontId="37" fillId="0" borderId="30" applyAlignment="1" pivotButton="0" quotePrefix="0" xfId="6">
      <alignment horizontal="center" vertical="center"/>
    </xf>
    <xf numFmtId="164" fontId="37" fillId="0" borderId="30" applyAlignment="1" pivotButton="0" quotePrefix="0" xfId="4">
      <alignment horizontal="center" vertical="center"/>
    </xf>
    <xf numFmtId="164" fontId="37" fillId="0" borderId="41" applyAlignment="1" pivotButton="0" quotePrefix="0" xfId="6">
      <alignment horizontal="center" vertical="center"/>
    </xf>
    <xf numFmtId="9" fontId="37" fillId="0" borderId="45" applyAlignment="1" pivotButton="0" quotePrefix="0" xfId="6">
      <alignment horizontal="center" vertical="center"/>
    </xf>
    <xf numFmtId="9" fontId="37" fillId="0" borderId="30" applyAlignment="1" pivotButton="0" quotePrefix="0" xfId="6">
      <alignment vertical="center"/>
    </xf>
    <xf numFmtId="9" fontId="37" fillId="0" borderId="45" applyAlignment="1" pivotButton="0" quotePrefix="0" xfId="6">
      <alignment vertical="center"/>
    </xf>
    <xf numFmtId="169" fontId="37" fillId="17" borderId="40" applyAlignment="1" pivotButton="0" quotePrefix="0" xfId="6">
      <alignment horizontal="center" vertical="center"/>
    </xf>
    <xf numFmtId="166" fontId="37" fillId="17" borderId="40" applyAlignment="1" pivotButton="0" quotePrefix="0" xfId="6">
      <alignment horizontal="center" vertical="center"/>
    </xf>
    <xf numFmtId="166" fontId="37" fillId="17" borderId="30" applyAlignment="1" pivotButton="0" quotePrefix="0" xfId="6">
      <alignment horizontal="center" vertical="center"/>
    </xf>
    <xf numFmtId="164" fontId="37" fillId="0" borderId="41" applyAlignment="1" pivotButton="0" quotePrefix="0" xfId="4">
      <alignment horizontal="center" vertical="center"/>
    </xf>
    <xf numFmtId="165" fontId="18" fillId="0" borderId="45" applyAlignment="1" pivotButton="0" quotePrefix="0" xfId="4">
      <alignment vertical="center"/>
    </xf>
    <xf numFmtId="164" fontId="37" fillId="0" borderId="45" applyAlignment="1" pivotButton="0" quotePrefix="0" xfId="6">
      <alignment horizontal="center" vertical="center"/>
    </xf>
    <xf numFmtId="0" fontId="37" fillId="0" borderId="40" applyAlignment="1" pivotButton="0" quotePrefix="0" xfId="4">
      <alignment horizontal="center" vertical="center"/>
    </xf>
    <xf numFmtId="0" fontId="37" fillId="0" borderId="30" applyAlignment="1" pivotButton="0" quotePrefix="0" xfId="4">
      <alignment horizontal="center" vertical="center"/>
    </xf>
    <xf numFmtId="2" fontId="37" fillId="0" borderId="40" applyAlignment="1" pivotButton="0" quotePrefix="0" xfId="4">
      <alignment horizontal="center" vertical="center"/>
    </xf>
    <xf numFmtId="2" fontId="37" fillId="0" borderId="30" applyAlignment="1" pivotButton="0" quotePrefix="0" xfId="4">
      <alignment horizontal="center" vertical="center"/>
    </xf>
    <xf numFmtId="0" fontId="37" fillId="0" borderId="45" applyAlignment="1" pivotButton="0" quotePrefix="0" xfId="4">
      <alignment horizontal="center" vertical="center"/>
    </xf>
    <xf numFmtId="0" fontId="37" fillId="0" borderId="41" applyAlignment="1" pivotButton="0" quotePrefix="0" xfId="4">
      <alignment horizontal="center" vertical="center"/>
    </xf>
    <xf numFmtId="165" fontId="37" fillId="17" borderId="40" applyAlignment="1" pivotButton="0" quotePrefix="0" xfId="4">
      <alignment horizontal="center" vertical="center"/>
    </xf>
    <xf numFmtId="165" fontId="37" fillId="17" borderId="30" applyAlignment="1" pivotButton="0" quotePrefix="0" xfId="4">
      <alignment horizontal="center" vertical="center"/>
    </xf>
    <xf numFmtId="165" fontId="37" fillId="17" borderId="41" applyAlignment="1" pivotButton="0" quotePrefix="0" xfId="4">
      <alignment horizontal="center" vertical="center"/>
    </xf>
    <xf numFmtId="164" fontId="37" fillId="0" borderId="40" applyAlignment="1" pivotButton="0" quotePrefix="0" xfId="4">
      <alignment horizontal="center" vertical="center"/>
    </xf>
    <xf numFmtId="1" fontId="18" fillId="0" borderId="45" applyAlignment="1" pivotButton="0" quotePrefix="0" xfId="4">
      <alignment vertical="center"/>
    </xf>
    <xf numFmtId="166" fontId="37" fillId="0" borderId="30" applyAlignment="1" pivotButton="0" quotePrefix="0" xfId="6">
      <alignment horizontal="center" vertical="center"/>
    </xf>
    <xf numFmtId="169" fontId="37" fillId="0" borderId="30" applyAlignment="1" pivotButton="0" quotePrefix="0" xfId="6">
      <alignment horizontal="center" vertical="center"/>
    </xf>
    <xf numFmtId="0" fontId="18" fillId="0" borderId="40" applyAlignment="1" pivotButton="0" quotePrefix="0" xfId="4">
      <alignment vertical="center"/>
    </xf>
    <xf numFmtId="0" fontId="37" fillId="0" borderId="32" applyAlignment="1" pivotButton="0" quotePrefix="0" xfId="4">
      <alignment horizontal="center" vertical="center"/>
    </xf>
    <xf numFmtId="9" fontId="37" fillId="0" borderId="33" applyAlignment="1" pivotButton="0" quotePrefix="0" xfId="6">
      <alignment horizontal="center" vertical="center"/>
    </xf>
    <xf numFmtId="0" fontId="37" fillId="0" borderId="33" applyAlignment="1" pivotButton="0" quotePrefix="0" xfId="4">
      <alignment horizontal="center" vertical="center"/>
    </xf>
    <xf numFmtId="9" fontId="37" fillId="0" borderId="38" applyAlignment="1" pivotButton="0" quotePrefix="0" xfId="6">
      <alignment horizontal="center" vertical="center"/>
    </xf>
    <xf numFmtId="10" fontId="37" fillId="0" borderId="30" applyAlignment="1" pivotButton="0" quotePrefix="0" xfId="4">
      <alignment horizontal="center" vertical="center"/>
    </xf>
    <xf numFmtId="10" fontId="37" fillId="0" borderId="41" applyAlignment="1" pivotButton="0" quotePrefix="0" xfId="4">
      <alignment horizontal="center" vertical="center"/>
    </xf>
    <xf numFmtId="0" fontId="37" fillId="0" borderId="42" applyAlignment="1" pivotButton="0" quotePrefix="0" xfId="4">
      <alignment horizontal="center" vertical="center"/>
    </xf>
    <xf numFmtId="164" fontId="37" fillId="0" borderId="33" applyAlignment="1" pivotButton="0" quotePrefix="0" xfId="4">
      <alignment horizontal="center" vertical="center"/>
    </xf>
    <xf numFmtId="164" fontId="37" fillId="0" borderId="38" applyAlignment="1" pivotButton="0" quotePrefix="0" xfId="4">
      <alignment horizontal="center" vertical="center"/>
    </xf>
    <xf numFmtId="164" fontId="36" fillId="2" borderId="1" applyAlignment="1" pivotButton="0" quotePrefix="0" xfId="4">
      <alignment horizontal="center" vertical="center" wrapText="1" readingOrder="1"/>
    </xf>
    <xf numFmtId="0" fontId="36" fillId="0" borderId="3" applyAlignment="1" pivotButton="0" quotePrefix="0" xfId="4">
      <alignment horizontal="center" vertical="center" wrapText="1" readingOrder="1"/>
    </xf>
    <xf numFmtId="164" fontId="36" fillId="12" borderId="3" applyAlignment="1" pivotButton="0" quotePrefix="0" xfId="4">
      <alignment horizontal="center" vertical="center" wrapText="1" readingOrder="1"/>
    </xf>
    <xf numFmtId="164" fontId="36" fillId="0" borderId="3" applyAlignment="1" pivotButton="0" quotePrefix="0" xfId="4">
      <alignment horizontal="center" vertical="center" wrapText="1" readingOrder="1"/>
    </xf>
    <xf numFmtId="10" fontId="36" fillId="0" borderId="3" applyAlignment="1" pivotButton="0" quotePrefix="0" xfId="4">
      <alignment horizontal="center" vertical="center" wrapText="1" readingOrder="1"/>
    </xf>
    <xf numFmtId="10" fontId="37" fillId="0" borderId="40" applyAlignment="1" pivotButton="0" quotePrefix="0" xfId="4">
      <alignment horizontal="center" vertical="center"/>
    </xf>
    <xf numFmtId="164" fontId="37" fillId="0" borderId="45" applyAlignment="1" pivotButton="0" quotePrefix="0" xfId="4">
      <alignment horizontal="center" vertical="center"/>
    </xf>
    <xf numFmtId="164" fontId="36" fillId="2" borderId="30" applyAlignment="1" pivotButton="0" quotePrefix="0" xfId="4">
      <alignment horizontal="center" vertical="center" wrapText="1" readingOrder="1"/>
    </xf>
    <xf numFmtId="164" fontId="36" fillId="0" borderId="30" applyAlignment="1" pivotButton="0" quotePrefix="0" xfId="4">
      <alignment horizontal="center" vertical="center" wrapText="1" readingOrder="1"/>
    </xf>
    <xf numFmtId="164" fontId="36" fillId="12" borderId="30" applyAlignment="1" pivotButton="0" quotePrefix="0" xfId="4">
      <alignment horizontal="center" vertical="center" wrapText="1" readingOrder="1"/>
    </xf>
    <xf numFmtId="10" fontId="36" fillId="0" borderId="30" applyAlignment="1" pivotButton="0" quotePrefix="0" xfId="4">
      <alignment horizontal="center" vertical="center" wrapText="1" readingOrder="1"/>
    </xf>
    <xf numFmtId="166" fontId="37" fillId="0" borderId="40" applyAlignment="1" pivotButton="0" quotePrefix="0" xfId="4">
      <alignment horizontal="center" vertical="center"/>
    </xf>
    <xf numFmtId="166" fontId="37" fillId="0" borderId="30" applyAlignment="1" pivotButton="0" quotePrefix="0" xfId="4">
      <alignment horizontal="center" vertical="center"/>
    </xf>
    <xf numFmtId="166" fontId="37" fillId="0" borderId="41" applyAlignment="1" pivotButton="0" quotePrefix="0" xfId="6">
      <alignment horizontal="center" vertical="center"/>
    </xf>
    <xf numFmtId="166" fontId="37" fillId="0" borderId="45" applyAlignment="1" pivotButton="0" quotePrefix="0" xfId="4">
      <alignment horizontal="center" vertical="center"/>
    </xf>
    <xf numFmtId="0" fontId="18" fillId="0" borderId="30" applyAlignment="1" pivotButton="0" quotePrefix="1" xfId="4">
      <alignment vertical="center"/>
    </xf>
    <xf numFmtId="9" fontId="18" fillId="0" borderId="30" applyAlignment="1" pivotButton="0" quotePrefix="1" xfId="4">
      <alignment vertical="center"/>
    </xf>
    <xf numFmtId="0" fontId="37" fillId="0" borderId="40" applyAlignment="1" pivotButton="0" quotePrefix="1" xfId="4">
      <alignment horizontal="center" vertical="center"/>
    </xf>
    <xf numFmtId="0" fontId="37" fillId="0" borderId="30" applyAlignment="1" pivotButton="0" quotePrefix="1" xfId="4">
      <alignment horizontal="center" vertical="center"/>
    </xf>
    <xf numFmtId="0" fontId="37" fillId="0" borderId="41" applyAlignment="1" pivotButton="0" quotePrefix="1" xfId="4">
      <alignment horizontal="center" vertical="center"/>
    </xf>
    <xf numFmtId="0" fontId="18" fillId="0" borderId="72" applyAlignment="1" pivotButton="0" quotePrefix="0" xfId="4">
      <alignment horizontal="left" vertical="center"/>
    </xf>
    <xf numFmtId="0" fontId="18" fillId="0" borderId="73" applyAlignment="1" pivotButton="0" quotePrefix="0" xfId="4">
      <alignment vertical="center"/>
    </xf>
    <xf numFmtId="9" fontId="0" fillId="0" borderId="50" applyAlignment="1" pivotButton="0" quotePrefix="0" xfId="6">
      <alignment vertical="center"/>
    </xf>
    <xf numFmtId="0" fontId="18" fillId="0" borderId="50" applyAlignment="1" pivotButton="0" quotePrefix="0" xfId="4">
      <alignment vertical="center"/>
    </xf>
    <xf numFmtId="0" fontId="38" fillId="25" borderId="48" applyAlignment="1" pivotButton="0" quotePrefix="0" xfId="4">
      <alignment horizontal="center" vertical="center"/>
    </xf>
    <xf numFmtId="9" fontId="37" fillId="0" borderId="73" applyAlignment="1" pivotButton="0" quotePrefix="0" xfId="4">
      <alignment horizontal="center" vertical="center"/>
    </xf>
    <xf numFmtId="0" fontId="37" fillId="0" borderId="73" applyAlignment="1" pivotButton="0" quotePrefix="0" xfId="4">
      <alignment horizontal="center" vertical="center"/>
    </xf>
    <xf numFmtId="0" fontId="37" fillId="0" borderId="50" applyAlignment="1" pivotButton="0" quotePrefix="0" xfId="4">
      <alignment horizontal="center" vertical="center"/>
    </xf>
    <xf numFmtId="0" fontId="37" fillId="0" borderId="74" applyAlignment="1" pivotButton="0" quotePrefix="0" xfId="4">
      <alignment horizontal="center" vertical="center"/>
    </xf>
    <xf numFmtId="0" fontId="18" fillId="0" borderId="57" applyAlignment="1" pivotButton="0" quotePrefix="0" xfId="4">
      <alignment horizontal="left" vertical="center"/>
    </xf>
    <xf numFmtId="0" fontId="18" fillId="0" borderId="61" applyAlignment="1" pivotButton="0" quotePrefix="0" xfId="4">
      <alignment vertical="center"/>
    </xf>
    <xf numFmtId="9" fontId="0" fillId="0" borderId="59" applyAlignment="1" pivotButton="0" quotePrefix="0" xfId="6">
      <alignment vertical="center"/>
    </xf>
    <xf numFmtId="9" fontId="0" fillId="0" borderId="59" applyAlignment="1" pivotButton="0" quotePrefix="0" xfId="6">
      <alignment vertical="center"/>
    </xf>
    <xf numFmtId="0" fontId="18" fillId="0" borderId="59" applyAlignment="1" pivotButton="0" quotePrefix="0" xfId="4">
      <alignment vertical="center"/>
    </xf>
    <xf numFmtId="0" fontId="18" fillId="0" borderId="0" applyAlignment="1" pivotButton="0" quotePrefix="0" xfId="4">
      <alignment vertical="center"/>
    </xf>
    <xf numFmtId="0" fontId="38" fillId="25" borderId="56" applyAlignment="1" pivotButton="0" quotePrefix="0" xfId="4">
      <alignment horizontal="center" vertical="center"/>
    </xf>
    <xf numFmtId="9" fontId="37" fillId="0" borderId="57" applyAlignment="1" pivotButton="0" quotePrefix="0" xfId="4">
      <alignment horizontal="center" vertical="center"/>
    </xf>
    <xf numFmtId="9" fontId="37" fillId="0" borderId="59" applyAlignment="1" pivotButton="0" quotePrefix="0" xfId="4">
      <alignment horizontal="center" vertical="center"/>
    </xf>
    <xf numFmtId="0" fontId="37" fillId="0" borderId="59" applyAlignment="1" pivotButton="0" quotePrefix="0" xfId="4">
      <alignment horizontal="center" vertical="center"/>
    </xf>
    <xf numFmtId="0" fontId="37" fillId="0" borderId="60" applyAlignment="1" pivotButton="0" quotePrefix="0" xfId="4">
      <alignment horizontal="center" vertical="center"/>
    </xf>
    <xf numFmtId="9" fontId="37" fillId="0" borderId="72" applyAlignment="1" pivotButton="0" quotePrefix="0" xfId="4">
      <alignment horizontal="center" vertical="center"/>
    </xf>
    <xf numFmtId="9" fontId="37" fillId="0" borderId="50" applyAlignment="1" pivotButton="0" quotePrefix="0" xfId="4">
      <alignment horizontal="center" vertical="center"/>
    </xf>
    <xf numFmtId="9" fontId="37" fillId="0" borderId="61" applyAlignment="1" pivotButton="0" quotePrefix="0" xfId="4">
      <alignment horizontal="center" vertical="center"/>
    </xf>
    <xf numFmtId="0" fontId="18" fillId="0" borderId="0" applyAlignment="1" pivotButton="0" quotePrefix="0" xfId="4">
      <alignment horizontal="center" vertical="center" wrapText="1"/>
    </xf>
    <xf numFmtId="169" fontId="0" fillId="0" borderId="36" applyAlignment="1" pivotButton="0" quotePrefix="0" xfId="6">
      <alignment vertical="center"/>
    </xf>
    <xf numFmtId="9" fontId="0" fillId="0" borderId="36" applyAlignment="1" pivotButton="0" quotePrefix="0" xfId="6">
      <alignment vertical="center"/>
    </xf>
    <xf numFmtId="0" fontId="35" fillId="0" borderId="30" applyAlignment="1" pivotButton="0" quotePrefix="0" xfId="4">
      <alignment horizontal="center" vertical="center" wrapText="1" readingOrder="1"/>
    </xf>
    <xf numFmtId="0" fontId="37" fillId="0" borderId="68" applyAlignment="1" pivotButton="0" quotePrefix="0" xfId="4">
      <alignment horizontal="center" vertical="center"/>
    </xf>
    <xf numFmtId="9" fontId="37" fillId="0" borderId="35" applyAlignment="1" pivotButton="0" quotePrefix="0" xfId="6">
      <alignment horizontal="center" vertical="center"/>
    </xf>
    <xf numFmtId="9" fontId="37" fillId="0" borderId="36" applyAlignment="1" pivotButton="0" quotePrefix="0" xfId="6">
      <alignment horizontal="center" vertical="center"/>
    </xf>
    <xf numFmtId="9" fontId="37" fillId="0" borderId="37" applyAlignment="1" pivotButton="0" quotePrefix="0" xfId="6">
      <alignment horizontal="center" vertical="center"/>
    </xf>
    <xf numFmtId="9" fontId="37" fillId="0" borderId="35" applyAlignment="1" pivotButton="0" quotePrefix="0" xfId="4">
      <alignment horizontal="center" vertical="center"/>
    </xf>
    <xf numFmtId="9" fontId="37" fillId="0" borderId="36" applyAlignment="1" pivotButton="0" quotePrefix="0" xfId="4">
      <alignment horizontal="center" vertical="center"/>
    </xf>
    <xf numFmtId="9" fontId="37" fillId="0" borderId="37" applyAlignment="1" pivotButton="0" quotePrefix="0" xfId="4">
      <alignment horizontal="center" vertical="center"/>
    </xf>
    <xf numFmtId="9" fontId="37" fillId="0" borderId="64" applyAlignment="1" pivotButton="0" quotePrefix="0" xfId="4">
      <alignment horizontal="center" vertical="center"/>
    </xf>
    <xf numFmtId="0" fontId="36" fillId="0" borderId="1" applyAlignment="1" pivotButton="0" quotePrefix="0" xfId="4">
      <alignment horizontal="left" vertical="center" wrapText="1" readingOrder="1"/>
    </xf>
    <xf numFmtId="0" fontId="37" fillId="0" borderId="31" applyAlignment="1" pivotButton="0" quotePrefix="0" xfId="4">
      <alignment horizontal="center" vertical="center"/>
    </xf>
    <xf numFmtId="9" fontId="37" fillId="0" borderId="32" applyAlignment="1" pivotButton="0" quotePrefix="0" xfId="6">
      <alignment horizontal="center" vertical="center"/>
    </xf>
    <xf numFmtId="9" fontId="37" fillId="0" borderId="42" applyAlignment="1" pivotButton="0" quotePrefix="0" xfId="4">
      <alignment horizontal="center" vertical="center"/>
    </xf>
    <xf numFmtId="9" fontId="37" fillId="0" borderId="33" applyAlignment="1" pivotButton="0" quotePrefix="0" xfId="4">
      <alignment horizontal="center" vertical="center"/>
    </xf>
    <xf numFmtId="9" fontId="37" fillId="0" borderId="38" applyAlignment="1" pivotButton="0" quotePrefix="0" xfId="4">
      <alignment horizontal="center" vertical="center"/>
    </xf>
    <xf numFmtId="0" fontId="18" fillId="0" borderId="0" applyAlignment="1" pivotButton="0" quotePrefix="0" xfId="4">
      <alignment horizontal="left" vertical="center" wrapText="1"/>
    </xf>
    <xf numFmtId="9" fontId="36" fillId="12" borderId="30" applyAlignment="1" pivotButton="0" quotePrefix="0" xfId="4">
      <alignment horizontal="center" vertical="center" wrapText="1" readingOrder="1"/>
    </xf>
    <xf numFmtId="0" fontId="18" fillId="25" borderId="30" applyAlignment="1" pivotButton="0" quotePrefix="0" xfId="4">
      <alignment horizontal="center" vertical="center"/>
    </xf>
    <xf numFmtId="9" fontId="18" fillId="25" borderId="30" applyAlignment="1" pivotButton="0" quotePrefix="0" xfId="4">
      <alignment horizontal="center" vertical="center"/>
    </xf>
    <xf numFmtId="169" fontId="37" fillId="0" borderId="40" applyAlignment="1" pivotButton="0" quotePrefix="0" xfId="6">
      <alignment horizontal="center" vertical="center"/>
    </xf>
    <xf numFmtId="2" fontId="37" fillId="0" borderId="30" applyAlignment="1" pivotButton="0" quotePrefix="0" xfId="6">
      <alignment horizontal="center" vertical="center"/>
    </xf>
    <xf numFmtId="9" fontId="36" fillId="26" borderId="30" applyAlignment="1" pivotButton="0" quotePrefix="0" xfId="4">
      <alignment horizontal="center" vertical="center" wrapText="1" readingOrder="1"/>
    </xf>
    <xf numFmtId="165" fontId="37" fillId="0" borderId="40" applyAlignment="1" pivotButton="0" quotePrefix="0" xfId="4">
      <alignment horizontal="center" vertical="center"/>
    </xf>
    <xf numFmtId="165" fontId="37" fillId="0" borderId="30" applyAlignment="1" pivotButton="0" quotePrefix="0" xfId="4">
      <alignment horizontal="center" vertical="center"/>
    </xf>
    <xf numFmtId="9" fontId="18" fillId="0" borderId="30" applyAlignment="1" pivotButton="0" quotePrefix="0" xfId="4">
      <alignment horizontal="center" vertical="center"/>
    </xf>
    <xf numFmtId="9" fontId="0" fillId="0" borderId="30" applyAlignment="1" pivotButton="0" quotePrefix="0" xfId="6">
      <alignment horizontal="center" vertical="center"/>
    </xf>
    <xf numFmtId="166" fontId="36" fillId="12" borderId="30" applyAlignment="1" pivotButton="0" quotePrefix="0" xfId="4">
      <alignment horizontal="center" vertical="center" wrapText="1" readingOrder="1"/>
    </xf>
    <xf numFmtId="9" fontId="18" fillId="0" borderId="50" applyAlignment="1" pivotButton="0" quotePrefix="0" xfId="4">
      <alignment horizontal="center" vertical="center"/>
    </xf>
    <xf numFmtId="0" fontId="36" fillId="0" borderId="0" applyAlignment="1" pivotButton="0" quotePrefix="0" xfId="4">
      <alignment horizontal="center" vertical="center" wrapText="1" readingOrder="1"/>
    </xf>
    <xf numFmtId="0" fontId="36" fillId="12" borderId="0" applyAlignment="1" pivotButton="0" quotePrefix="0" xfId="4">
      <alignment horizontal="center" vertical="center" wrapText="1" readingOrder="1"/>
    </xf>
    <xf numFmtId="164" fontId="36" fillId="0" borderId="0" applyAlignment="1" pivotButton="0" quotePrefix="0" xfId="4">
      <alignment horizontal="center" vertical="center" wrapText="1" readingOrder="1"/>
    </xf>
    <xf numFmtId="9" fontId="18" fillId="0" borderId="50" applyAlignment="1" pivotButton="0" quotePrefix="0" xfId="4">
      <alignment vertical="center"/>
    </xf>
    <xf numFmtId="166" fontId="37" fillId="0" borderId="40" applyAlignment="1" pivotButton="0" quotePrefix="0" xfId="6">
      <alignment horizontal="center" vertical="center"/>
    </xf>
    <xf numFmtId="9" fontId="37" fillId="0" borderId="74" applyAlignment="1" pivotButton="0" quotePrefix="0" xfId="6">
      <alignment horizontal="center" vertical="center"/>
    </xf>
    <xf numFmtId="168" fontId="37" fillId="0" borderId="72" applyAlignment="1" pivotButton="0" quotePrefix="0" xfId="4">
      <alignment horizontal="center" vertical="center"/>
    </xf>
    <xf numFmtId="168" fontId="37" fillId="0" borderId="50" applyAlignment="1" pivotButton="0" quotePrefix="0" xfId="4">
      <alignment horizontal="center" vertical="center"/>
    </xf>
    <xf numFmtId="9" fontId="37" fillId="0" borderId="74" applyAlignment="1" pivotButton="0" quotePrefix="0" xfId="4">
      <alignment horizontal="center" vertical="center"/>
    </xf>
    <xf numFmtId="9" fontId="37" fillId="0" borderId="73" applyAlignment="1" pivotButton="0" quotePrefix="0" xfId="6">
      <alignment horizontal="center" vertical="center"/>
    </xf>
    <xf numFmtId="9" fontId="37" fillId="0" borderId="50" applyAlignment="1" pivotButton="0" quotePrefix="0" xfId="6">
      <alignment horizontal="center" vertical="center"/>
    </xf>
    <xf numFmtId="9" fontId="37" fillId="0" borderId="50" applyAlignment="1" pivotButton="0" quotePrefix="0" xfId="6">
      <alignment vertical="center"/>
    </xf>
    <xf numFmtId="0" fontId="18" fillId="0" borderId="56" applyAlignment="1" pivotButton="0" quotePrefix="0" xfId="4">
      <alignment vertical="center"/>
    </xf>
    <xf numFmtId="9" fontId="39" fillId="0" borderId="57" applyAlignment="1" pivotButton="0" quotePrefix="0" xfId="4">
      <alignment vertical="center"/>
    </xf>
    <xf numFmtId="9" fontId="39" fillId="0" borderId="59" applyAlignment="1" pivotButton="0" quotePrefix="0" xfId="4">
      <alignment vertical="center"/>
    </xf>
    <xf numFmtId="9" fontId="39" fillId="0" borderId="60" applyAlignment="1" pivotButton="0" quotePrefix="0" xfId="4">
      <alignment vertical="center"/>
    </xf>
    <xf numFmtId="168" fontId="39" fillId="0" borderId="57" applyAlignment="1" pivotButton="0" quotePrefix="0" xfId="6">
      <alignment vertical="center"/>
    </xf>
    <xf numFmtId="168" fontId="39" fillId="0" borderId="59" applyAlignment="1" pivotButton="0" quotePrefix="0" xfId="6">
      <alignment vertical="center"/>
    </xf>
    <xf numFmtId="0" fontId="39" fillId="0" borderId="59" applyAlignment="1" pivotButton="0" quotePrefix="0" xfId="4">
      <alignment vertical="center"/>
    </xf>
    <xf numFmtId="0" fontId="39" fillId="0" borderId="60" applyAlignment="1" pivotButton="0" quotePrefix="0" xfId="4">
      <alignment vertical="center"/>
    </xf>
    <xf numFmtId="9" fontId="39" fillId="0" borderId="61" applyAlignment="1" pivotButton="0" quotePrefix="0" xfId="6">
      <alignment vertical="center"/>
    </xf>
    <xf numFmtId="9" fontId="39" fillId="0" borderId="59" applyAlignment="1" pivotButton="0" quotePrefix="0" xfId="6">
      <alignment vertical="center"/>
    </xf>
    <xf numFmtId="0" fontId="36" fillId="0" borderId="50" applyAlignment="1" pivotButton="0" quotePrefix="0" xfId="4">
      <alignment horizontal="center" vertical="center" wrapText="1" readingOrder="1"/>
    </xf>
    <xf numFmtId="9" fontId="36" fillId="12" borderId="50" applyAlignment="1" pivotButton="0" quotePrefix="0" xfId="4">
      <alignment horizontal="center" vertical="center" wrapText="1" readingOrder="1"/>
    </xf>
    <xf numFmtId="164" fontId="36" fillId="0" borderId="50" applyAlignment="1" pivotButton="0" quotePrefix="0" xfId="4">
      <alignment horizontal="center" vertical="center" wrapText="1" readingOrder="1"/>
    </xf>
    <xf numFmtId="0" fontId="18" fillId="0" borderId="0" applyAlignment="1" pivotButton="0" quotePrefix="0" xfId="4">
      <alignment horizontal="left"/>
    </xf>
    <xf numFmtId="0" fontId="36" fillId="0" borderId="75" applyAlignment="1" pivotButton="0" quotePrefix="0" xfId="4">
      <alignment horizontal="center" vertical="center" wrapText="1" readingOrder="1"/>
    </xf>
    <xf numFmtId="9" fontId="36" fillId="0" borderId="75" applyAlignment="1" pivotButton="0" quotePrefix="0" xfId="4">
      <alignment horizontal="center" vertical="center" wrapText="1" readingOrder="1"/>
    </xf>
    <xf numFmtId="164" fontId="36" fillId="0" borderId="75" applyAlignment="1" pivotButton="0" quotePrefix="0" xfId="4">
      <alignment horizontal="center" vertical="center" wrapText="1" readingOrder="1"/>
    </xf>
    <xf numFmtId="0" fontId="18" fillId="0" borderId="40" pivotButton="0" quotePrefix="0" xfId="4"/>
    <xf numFmtId="0" fontId="18" fillId="0" borderId="69" pivotButton="0" quotePrefix="0" xfId="4"/>
    <xf numFmtId="0" fontId="18" fillId="0" borderId="41" pivotButton="0" quotePrefix="0" xfId="4"/>
    <xf numFmtId="0" fontId="18" fillId="12" borderId="30" pivotButton="0" quotePrefix="0" xfId="4"/>
    <xf numFmtId="0" fontId="18" fillId="12" borderId="41" pivotButton="0" quotePrefix="0" xfId="4"/>
    <xf numFmtId="0" fontId="18" fillId="0" borderId="57" pivotButton="0" quotePrefix="0" xfId="4"/>
    <xf numFmtId="0" fontId="18" fillId="12" borderId="59" pivotButton="0" quotePrefix="0" xfId="4"/>
    <xf numFmtId="0" fontId="18" fillId="12" borderId="60" pivotButton="0" quotePrefix="0" xfId="4"/>
    <xf numFmtId="14" fontId="1" fillId="0" borderId="0" applyAlignment="1" pivotButton="0" quotePrefix="0" xfId="1">
      <alignment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9" fillId="22" borderId="15" applyAlignment="1" pivotButton="0" quotePrefix="0" xfId="4">
      <alignment horizontal="left" vertical="center"/>
    </xf>
    <xf numFmtId="0" fontId="19" fillId="22" borderId="65" applyAlignment="1" pivotButton="0" quotePrefix="0" xfId="4">
      <alignment horizontal="left" vertical="center"/>
    </xf>
    <xf numFmtId="0" fontId="19" fillId="21" borderId="15" applyAlignment="1" pivotButton="0" quotePrefix="0" xfId="4">
      <alignment horizontal="left" vertical="center"/>
    </xf>
    <xf numFmtId="0" fontId="19" fillId="21" borderId="65" applyAlignment="1" pivotButton="0" quotePrefix="0" xfId="4">
      <alignment horizontal="left" vertical="center"/>
    </xf>
    <xf numFmtId="0" fontId="11" fillId="17" borderId="15" applyAlignment="1" pivotButton="0" quotePrefix="0" xfId="4">
      <alignment horizontal="center" vertical="center" wrapText="1"/>
    </xf>
    <xf numFmtId="0" fontId="11" fillId="17" borderId="65" applyAlignment="1" pivotButton="0" quotePrefix="0" xfId="4">
      <alignment horizontal="center" vertical="center" wrapText="1"/>
    </xf>
    <xf numFmtId="0" fontId="11" fillId="9" borderId="10" applyAlignment="1" pivotButton="0" quotePrefix="0" xfId="4">
      <alignment horizontal="center" vertical="center"/>
    </xf>
    <xf numFmtId="0" fontId="11" fillId="9" borderId="11" applyAlignment="1" pivotButton="0" quotePrefix="0" xfId="4">
      <alignment horizontal="center" vertical="center"/>
    </xf>
    <xf numFmtId="0" fontId="11" fillId="9" borderId="12" applyAlignment="1" pivotButton="0" quotePrefix="0" xfId="4">
      <alignment horizontal="center" vertical="center"/>
    </xf>
    <xf numFmtId="0" fontId="11" fillId="9" borderId="17" applyAlignment="1" pivotButton="0" quotePrefix="0" xfId="4">
      <alignment horizontal="center" vertical="center"/>
    </xf>
    <xf numFmtId="0" fontId="11" fillId="9" borderId="18" applyAlignment="1" pivotButton="0" quotePrefix="0" xfId="4">
      <alignment horizontal="center" vertical="center"/>
    </xf>
    <xf numFmtId="0" fontId="11" fillId="9" borderId="19" applyAlignment="1" pivotButton="0" quotePrefix="0" xfId="4">
      <alignment horizontal="center" vertical="center"/>
    </xf>
    <xf numFmtId="0" fontId="13" fillId="10" borderId="20" applyAlignment="1" pivotButton="0" quotePrefix="0" xfId="4">
      <alignment horizontal="center" vertical="center"/>
    </xf>
    <xf numFmtId="0" fontId="13" fillId="10" borderId="13" applyAlignment="1" pivotButton="0" quotePrefix="0" xfId="4">
      <alignment horizontal="center" vertical="center"/>
    </xf>
    <xf numFmtId="0" fontId="13" fillId="10" borderId="14" applyAlignment="1" pivotButton="0" quotePrefix="0" xfId="4">
      <alignment horizontal="center" vertical="center"/>
    </xf>
    <xf numFmtId="0" fontId="13" fillId="13" borderId="20" applyAlignment="1" pivotButton="0" quotePrefix="0" xfId="4">
      <alignment horizontal="center" vertical="center"/>
    </xf>
    <xf numFmtId="0" fontId="13" fillId="13" borderId="13" applyAlignment="1" pivotButton="0" quotePrefix="0" xfId="4">
      <alignment horizontal="center" vertical="center"/>
    </xf>
    <xf numFmtId="0" fontId="13" fillId="13" borderId="14" applyAlignment="1" pivotButton="0" quotePrefix="0" xfId="4">
      <alignment horizontal="center" vertical="center"/>
    </xf>
    <xf numFmtId="0" fontId="13" fillId="14" borderId="20" applyAlignment="1" pivotButton="0" quotePrefix="0" xfId="4">
      <alignment horizontal="center" vertical="center"/>
    </xf>
    <xf numFmtId="0" fontId="13" fillId="14" borderId="13" applyAlignment="1" pivotButton="0" quotePrefix="0" xfId="4">
      <alignment horizontal="center" vertical="center"/>
    </xf>
    <xf numFmtId="0" fontId="13" fillId="14" borderId="14" applyAlignment="1" pivotButton="0" quotePrefix="0" xfId="4">
      <alignment horizontal="center" vertical="center"/>
    </xf>
    <xf numFmtId="0" fontId="19" fillId="4" borderId="15" applyAlignment="1" pivotButton="0" quotePrefix="0" xfId="4">
      <alignment horizontal="left" vertical="center"/>
    </xf>
    <xf numFmtId="0" fontId="19" fillId="4" borderId="65" applyAlignment="1" pivotButton="0" quotePrefix="0" xfId="4">
      <alignment horizontal="left" vertical="center"/>
    </xf>
    <xf numFmtId="1" fontId="19" fillId="0" borderId="47" applyAlignment="1" pivotButton="0" quotePrefix="0" xfId="4">
      <alignment horizontal="center" vertical="center"/>
    </xf>
    <xf numFmtId="1" fontId="19" fillId="0" borderId="46" applyAlignment="1" pivotButton="0" quotePrefix="0" xfId="4">
      <alignment horizontal="center" vertical="center"/>
    </xf>
    <xf numFmtId="0" fontId="19" fillId="18" borderId="15" applyAlignment="1" pivotButton="0" quotePrefix="0" xfId="4">
      <alignment horizontal="left" vertical="center"/>
    </xf>
    <xf numFmtId="0" fontId="19" fillId="18" borderId="65" applyAlignment="1" pivotButton="0" quotePrefix="0" xfId="4">
      <alignment horizontal="left" vertical="center"/>
    </xf>
    <xf numFmtId="0" fontId="7" fillId="18" borderId="15" applyAlignment="1" pivotButton="0" quotePrefix="0" xfId="4">
      <alignment horizontal="left" vertical="center"/>
    </xf>
    <xf numFmtId="0" fontId="7" fillId="18" borderId="65" applyAlignment="1" pivotButton="0" quotePrefix="0" xfId="4">
      <alignment horizontal="left" vertical="center"/>
    </xf>
    <xf numFmtId="0" fontId="16" fillId="12" borderId="13" applyAlignment="1" pivotButton="0" quotePrefix="0" xfId="3">
      <alignment horizontal="center" vertical="center"/>
    </xf>
    <xf numFmtId="0" fontId="16" fillId="12" borderId="14" applyAlignment="1" pivotButton="0" quotePrefix="0" xfId="3">
      <alignment horizontal="center" vertical="center"/>
    </xf>
    <xf numFmtId="0" fontId="13" fillId="13" borderId="20" applyAlignment="1" pivotButton="0" quotePrefix="0" xfId="3">
      <alignment horizontal="center" vertical="center"/>
    </xf>
    <xf numFmtId="0" fontId="13" fillId="13" borderId="13" applyAlignment="1" pivotButton="0" quotePrefix="0" xfId="3">
      <alignment horizontal="center" vertical="center"/>
    </xf>
    <xf numFmtId="0" fontId="13" fillId="13" borderId="14" applyAlignment="1" pivotButton="0" quotePrefix="0" xfId="3">
      <alignment horizontal="center" vertical="center"/>
    </xf>
    <xf numFmtId="0" fontId="13" fillId="14" borderId="13" applyAlignment="1" pivotButton="0" quotePrefix="0" xfId="3">
      <alignment horizontal="center" vertical="center"/>
    </xf>
    <xf numFmtId="0" fontId="13" fillId="15" borderId="20" applyAlignment="1" pivotButton="0" quotePrefix="0" xfId="3">
      <alignment horizontal="center" vertical="center"/>
    </xf>
    <xf numFmtId="0" fontId="13" fillId="15" borderId="13" applyAlignment="1" pivotButton="0" quotePrefix="0" xfId="3">
      <alignment horizontal="center" vertical="center"/>
    </xf>
    <xf numFmtId="0" fontId="13" fillId="15" borderId="14" applyAlignment="1" pivotButton="0" quotePrefix="0" xfId="3">
      <alignment horizontal="center" vertical="center"/>
    </xf>
    <xf numFmtId="0" fontId="13" fillId="14" borderId="20" applyAlignment="1" pivotButton="0" quotePrefix="0" xfId="3">
      <alignment horizontal="center" vertical="center"/>
    </xf>
    <xf numFmtId="0" fontId="13" fillId="14" borderId="14" applyAlignment="1" pivotButton="0" quotePrefix="0" xfId="3">
      <alignment horizontal="center" vertical="center"/>
    </xf>
    <xf numFmtId="0" fontId="8" fillId="8" borderId="10" applyAlignment="1" pivotButton="0" quotePrefix="0" xfId="3">
      <alignment horizontal="center" vertical="center" wrapText="1"/>
    </xf>
    <xf numFmtId="0" fontId="8" fillId="8" borderId="16" applyAlignment="1" pivotButton="0" quotePrefix="0" xfId="3">
      <alignment horizontal="center" vertical="center"/>
    </xf>
    <xf numFmtId="0" fontId="11" fillId="9" borderId="10" applyAlignment="1" pivotButton="0" quotePrefix="0" xfId="3">
      <alignment horizontal="center" vertical="center" wrapText="1"/>
    </xf>
    <xf numFmtId="0" fontId="11" fillId="9" borderId="11" applyAlignment="1" pivotButton="0" quotePrefix="0" xfId="3">
      <alignment horizontal="center" vertical="center"/>
    </xf>
    <xf numFmtId="0" fontId="11" fillId="9" borderId="12" applyAlignment="1" pivotButton="0" quotePrefix="0" xfId="3">
      <alignment horizontal="center" vertical="center"/>
    </xf>
    <xf numFmtId="0" fontId="11" fillId="9" borderId="17" applyAlignment="1" pivotButton="0" quotePrefix="0" xfId="3">
      <alignment horizontal="center" vertical="center"/>
    </xf>
    <xf numFmtId="0" fontId="11" fillId="9" borderId="18" applyAlignment="1" pivotButton="0" quotePrefix="0" xfId="3">
      <alignment horizontal="center" vertical="center"/>
    </xf>
    <xf numFmtId="0" fontId="11" fillId="9" borderId="19" applyAlignment="1" pivotButton="0" quotePrefix="0" xfId="3">
      <alignment horizontal="center" vertical="center"/>
    </xf>
    <xf numFmtId="0" fontId="13" fillId="10" borderId="13" applyAlignment="1" pivotButton="0" quotePrefix="0" xfId="3">
      <alignment horizontal="center" vertical="center"/>
    </xf>
    <xf numFmtId="0" fontId="13" fillId="10" borderId="14" applyAlignment="1" pivotButton="0" quotePrefix="0" xfId="3">
      <alignment horizontal="center" vertical="center"/>
    </xf>
    <xf numFmtId="0" fontId="13" fillId="11" borderId="13" applyAlignment="1" pivotButton="0" quotePrefix="0" xfId="3">
      <alignment horizontal="center" vertical="center"/>
    </xf>
    <xf numFmtId="0" fontId="13" fillId="11" borderId="14" applyAlignment="1" pivotButton="0" quotePrefix="0" xfId="3">
      <alignment horizontal="center" vertical="center"/>
    </xf>
    <xf numFmtId="0" fontId="11" fillId="9" borderId="10" applyAlignment="1" pivotButton="0" quotePrefix="0" xfId="3">
      <alignment horizontal="center" vertical="center"/>
    </xf>
    <xf numFmtId="0" fontId="15" fillId="12" borderId="15" applyAlignment="1" pivotButton="0" quotePrefix="0" xfId="3">
      <alignment horizontal="center" vertical="center"/>
    </xf>
    <xf numFmtId="0" fontId="15" fillId="12" borderId="21" applyAlignment="1" pivotButton="0" quotePrefix="0" xfId="3">
      <alignment horizontal="center" vertical="center"/>
    </xf>
    <xf numFmtId="0" fontId="37" fillId="25" borderId="13" applyAlignment="1" pivotButton="0" quotePrefix="0" xfId="4">
      <alignment horizontal="center" vertical="center"/>
    </xf>
    <xf numFmtId="0" fontId="37" fillId="25" borderId="14" applyAlignment="1" pivotButton="0" quotePrefix="0" xfId="4">
      <alignment horizontal="center" vertical="center"/>
    </xf>
    <xf numFmtId="0" fontId="36" fillId="0" borderId="69" applyAlignment="1" pivotButton="0" quotePrefix="0" xfId="4">
      <alignment horizontal="center" vertical="center" wrapText="1" readingOrder="1"/>
    </xf>
    <xf numFmtId="0" fontId="36" fillId="0" borderId="45" applyAlignment="1" pivotButton="0" quotePrefix="0" xfId="4">
      <alignment horizontal="center" vertical="center" wrapText="1" readingOrder="1"/>
    </xf>
    <xf numFmtId="0" fontId="37" fillId="17" borderId="20" applyAlignment="1" pivotButton="0" quotePrefix="0" xfId="4">
      <alignment horizontal="center" vertical="center"/>
    </xf>
    <xf numFmtId="0" fontId="37" fillId="17" borderId="13" applyAlignment="1" pivotButton="0" quotePrefix="0" xfId="4">
      <alignment horizontal="center" vertical="center"/>
    </xf>
    <xf numFmtId="0" fontId="37" fillId="17" borderId="14" applyAlignment="1" pivotButton="0" quotePrefix="0" xfId="4">
      <alignment horizontal="center" vertical="center"/>
    </xf>
    <xf numFmtId="0" fontId="37" fillId="24" borderId="20" applyAlignment="1" pivotButton="0" quotePrefix="0" xfId="4">
      <alignment horizontal="center" vertical="center"/>
    </xf>
    <xf numFmtId="0" fontId="37" fillId="24" borderId="13" applyAlignment="1" pivotButton="0" quotePrefix="0" xfId="4">
      <alignment horizontal="center" vertical="center"/>
    </xf>
    <xf numFmtId="0" fontId="37" fillId="24" borderId="14" applyAlignment="1" pivotButton="0" quotePrefix="0" xfId="4">
      <alignment horizontal="center" vertical="center"/>
    </xf>
    <xf numFmtId="0" fontId="37" fillId="25" borderId="20" applyAlignment="1" pivotButton="0" quotePrefix="0" xfId="4">
      <alignment horizontal="center" vertical="center"/>
    </xf>
    <xf numFmtId="0" fontId="37" fillId="25" borderId="22" applyAlignment="1" pivotButton="0" quotePrefix="0" xfId="4">
      <alignment horizontal="center" vertical="center"/>
    </xf>
    <xf numFmtId="0" fontId="37" fillId="25" borderId="24" applyAlignment="1" pivotButton="0" quotePrefix="0" xfId="4">
      <alignment horizontal="center" vertical="center"/>
    </xf>
    <xf numFmtId="0" fontId="37" fillId="25" borderId="71" applyAlignment="1" pivotButton="0" quotePrefix="0" xfId="4">
      <alignment horizontal="center" vertical="center"/>
    </xf>
    <xf numFmtId="0" fontId="18" fillId="0" borderId="0" applyAlignment="1" pivotButton="0" quotePrefix="0" xfId="4">
      <alignment horizontal="center"/>
    </xf>
    <xf numFmtId="0" fontId="18" fillId="0" borderId="30" applyAlignment="1" pivotButton="0" quotePrefix="0" xfId="4">
      <alignment horizontal="left" vertical="center" wrapText="1"/>
    </xf>
    <xf numFmtId="0" fontId="18" fillId="0" borderId="69" applyAlignment="1" pivotButton="0" quotePrefix="0" xfId="4">
      <alignment horizontal="center" vertical="center"/>
    </xf>
    <xf numFmtId="0" fontId="18" fillId="0" borderId="45" applyAlignment="1" pivotButton="0" quotePrefix="0" xfId="4">
      <alignment horizontal="center" vertical="center"/>
    </xf>
    <xf numFmtId="0" fontId="37" fillId="14" borderId="20" applyAlignment="1" pivotButton="0" quotePrefix="0" xfId="4">
      <alignment horizontal="center" vertical="center"/>
    </xf>
    <xf numFmtId="0" fontId="37" fillId="14" borderId="13" applyAlignment="1" pivotButton="0" quotePrefix="0" xfId="4">
      <alignment horizontal="center" vertical="center"/>
    </xf>
    <xf numFmtId="0" fontId="37" fillId="14" borderId="14" applyAlignment="1" pivotButton="0" quotePrefix="0" xfId="4">
      <alignment horizontal="center" vertical="center"/>
    </xf>
    <xf numFmtId="0" fontId="18" fillId="0" borderId="30" applyAlignment="1" pivotButton="0" quotePrefix="0" xfId="4">
      <alignment horizontal="center"/>
    </xf>
    <xf numFmtId="0" fontId="18" fillId="0" borderId="69" applyAlignment="1" pivotButton="0" quotePrefix="0" xfId="4">
      <alignment horizontal="center"/>
    </xf>
    <xf numFmtId="0" fontId="18" fillId="0" borderId="35" applyAlignment="1" pivotButton="0" quotePrefix="0" xfId="4">
      <alignment horizontal="center"/>
    </xf>
    <xf numFmtId="0" fontId="18" fillId="0" borderId="36" applyAlignment="1" pivotButton="0" quotePrefix="0" xfId="4">
      <alignment horizontal="center"/>
    </xf>
    <xf numFmtId="0" fontId="18" fillId="0" borderId="37" applyAlignment="1" pivotButton="0" quotePrefix="0" xfId="4">
      <alignment horizontal="center"/>
    </xf>
    <xf numFmtId="164" fontId="0" fillId="4" borderId="0" applyAlignment="1" pivotButton="0" quotePrefix="0" xfId="2">
      <alignment vertical="center"/>
    </xf>
    <xf numFmtId="0" fontId="0" fillId="0" borderId="5" pivotButton="0" quotePrefix="0" xfId="0"/>
    <xf numFmtId="0" fontId="0" fillId="0" borderId="4" pivotButton="0" quotePrefix="0" xfId="0"/>
    <xf numFmtId="0" fontId="11" fillId="9" borderId="77" applyAlignment="1" pivotButton="0" quotePrefix="0" xfId="3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11" fillId="9" borderId="77" applyAlignment="1" pivotButton="0" quotePrefix="0" xfId="3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13" fillId="13" borderId="77" applyAlignment="1" pivotButton="0" quotePrefix="0" xfId="3">
      <alignment horizontal="center" vertical="center"/>
    </xf>
    <xf numFmtId="0" fontId="13" fillId="15" borderId="77" applyAlignment="1" pivotButton="0" quotePrefix="0" xfId="3">
      <alignment horizontal="center" vertical="center"/>
    </xf>
    <xf numFmtId="0" fontId="13" fillId="14" borderId="77" applyAlignment="1" pivotButton="0" quotePrefix="0" xfId="3">
      <alignment horizontal="center" vertical="center"/>
    </xf>
    <xf numFmtId="0" fontId="0" fillId="0" borderId="21" pivotButton="0" quotePrefix="0" xfId="0"/>
    <xf numFmtId="165" fontId="19" fillId="0" borderId="32" applyAlignment="1" pivotButton="0" quotePrefix="0" xfId="4">
      <alignment horizontal="center" vertical="center"/>
    </xf>
    <xf numFmtId="165" fontId="19" fillId="0" borderId="33" applyAlignment="1" pivotButton="0" quotePrefix="0" xfId="4">
      <alignment horizontal="center" vertical="center"/>
    </xf>
    <xf numFmtId="165" fontId="19" fillId="0" borderId="34" applyAlignment="1" pivotButton="0" quotePrefix="0" xfId="4">
      <alignment horizontal="center" vertical="center"/>
    </xf>
    <xf numFmtId="165" fontId="19" fillId="0" borderId="35" applyAlignment="1" pivotButton="0" quotePrefix="0" xfId="4">
      <alignment horizontal="center" vertical="center"/>
    </xf>
    <xf numFmtId="165" fontId="19" fillId="0" borderId="36" applyAlignment="1" pivotButton="0" quotePrefix="0" xfId="4">
      <alignment horizontal="center" vertical="center"/>
    </xf>
    <xf numFmtId="165" fontId="19" fillId="0" borderId="37" applyAlignment="1" pivotButton="0" quotePrefix="0" xfId="4">
      <alignment horizontal="center" vertical="center"/>
    </xf>
    <xf numFmtId="167" fontId="19" fillId="0" borderId="32" applyAlignment="1" pivotButton="0" quotePrefix="0" xfId="4">
      <alignment horizontal="center" vertical="center"/>
    </xf>
    <xf numFmtId="167" fontId="19" fillId="0" borderId="33" applyAlignment="1" pivotButton="0" quotePrefix="0" xfId="4">
      <alignment horizontal="center" vertical="center"/>
    </xf>
    <xf numFmtId="167" fontId="19" fillId="0" borderId="38" applyAlignment="1" pivotButton="0" quotePrefix="0" xfId="4">
      <alignment horizontal="center" vertical="center"/>
    </xf>
    <xf numFmtId="165" fontId="19" fillId="0" borderId="39" applyAlignment="1" pivotButton="0" quotePrefix="0" xfId="4">
      <alignment horizontal="center" vertical="center"/>
    </xf>
    <xf numFmtId="166" fontId="19" fillId="0" borderId="40" applyAlignment="1" pivotButton="0" quotePrefix="0" xfId="4">
      <alignment horizontal="center" vertical="center"/>
    </xf>
    <xf numFmtId="166" fontId="19" fillId="0" borderId="30" applyAlignment="1" pivotButton="0" quotePrefix="0" xfId="4">
      <alignment horizontal="center" vertical="center"/>
    </xf>
    <xf numFmtId="166" fontId="19" fillId="0" borderId="41" applyAlignment="1" pivotButton="0" quotePrefix="0" xfId="4">
      <alignment horizontal="center" vertical="center"/>
    </xf>
    <xf numFmtId="165" fontId="19" fillId="0" borderId="42" applyAlignment="1" pivotButton="0" quotePrefix="0" xfId="4">
      <alignment horizontal="center" vertical="center"/>
    </xf>
    <xf numFmtId="165" fontId="7" fillId="16" borderId="32" applyAlignment="1" pivotButton="0" quotePrefix="0" xfId="4">
      <alignment horizontal="center" vertical="center"/>
    </xf>
    <xf numFmtId="165" fontId="7" fillId="16" borderId="33" applyAlignment="1" pivotButton="0" quotePrefix="0" xfId="4">
      <alignment horizontal="center" vertical="center"/>
    </xf>
    <xf numFmtId="165" fontId="13" fillId="0" borderId="30" applyAlignment="1" pivotButton="0" quotePrefix="0" xfId="3">
      <alignment horizontal="center" vertical="center"/>
    </xf>
    <xf numFmtId="165" fontId="13" fillId="0" borderId="41" applyAlignment="1" pivotButton="0" quotePrefix="0" xfId="3">
      <alignment horizontal="center" vertical="center"/>
    </xf>
    <xf numFmtId="164" fontId="19" fillId="0" borderId="42" applyAlignment="1" pivotButton="0" quotePrefix="0" xfId="5">
      <alignment horizontal="center" vertical="center"/>
    </xf>
    <xf numFmtId="164" fontId="19" fillId="0" borderId="33" applyAlignment="1" pivotButton="0" quotePrefix="0" xfId="5">
      <alignment horizontal="center" vertical="center"/>
    </xf>
    <xf numFmtId="164" fontId="19" fillId="0" borderId="38" applyAlignment="1" pivotButton="0" quotePrefix="0" xfId="5">
      <alignment horizontal="center" vertical="center"/>
    </xf>
    <xf numFmtId="164" fontId="19" fillId="0" borderId="30" applyAlignment="1" pivotButton="0" quotePrefix="0" xfId="5">
      <alignment horizontal="center" vertical="center"/>
    </xf>
    <xf numFmtId="164" fontId="19" fillId="0" borderId="41" applyAlignment="1" pivotButton="0" quotePrefix="0" xfId="5">
      <alignment horizontal="center" vertical="center"/>
    </xf>
    <xf numFmtId="0" fontId="0" fillId="0" borderId="47" pivotButton="0" quotePrefix="0" xfId="0"/>
    <xf numFmtId="0" fontId="0" fillId="0" borderId="46" pivotButton="0" quotePrefix="0" xfId="0"/>
    <xf numFmtId="165" fontId="19" fillId="0" borderId="30" applyAlignment="1" pivotButton="0" quotePrefix="0" xfId="4">
      <alignment horizontal="center" vertical="center"/>
    </xf>
    <xf numFmtId="165" fontId="19" fillId="0" borderId="46" applyAlignment="1" pivotButton="0" quotePrefix="0" xfId="4">
      <alignment horizontal="center" vertical="center"/>
    </xf>
    <xf numFmtId="165" fontId="19" fillId="0" borderId="31" applyAlignment="1" pivotButton="0" quotePrefix="0" xfId="4">
      <alignment horizontal="center" vertical="center"/>
    </xf>
    <xf numFmtId="165" fontId="19" fillId="0" borderId="47" applyAlignment="1" pivotButton="0" quotePrefix="0" xfId="4">
      <alignment horizontal="center" vertical="center"/>
    </xf>
    <xf numFmtId="165" fontId="19" fillId="0" borderId="41" applyAlignment="1" pivotButton="0" quotePrefix="0" xfId="4">
      <alignment horizontal="center" vertical="center"/>
    </xf>
    <xf numFmtId="165" fontId="19" fillId="16" borderId="40" applyAlignment="1" pivotButton="0" quotePrefix="0" xfId="4">
      <alignment horizontal="center" vertical="center"/>
    </xf>
    <xf numFmtId="165" fontId="19" fillId="16" borderId="30" applyAlignment="1" pivotButton="0" quotePrefix="0" xfId="4">
      <alignment horizontal="center" vertical="center"/>
    </xf>
    <xf numFmtId="165" fontId="19" fillId="0" borderId="38" applyAlignment="1" pivotButton="0" quotePrefix="0" xfId="4">
      <alignment horizontal="center" vertical="center"/>
    </xf>
    <xf numFmtId="165" fontId="24" fillId="3" borderId="40" applyAlignment="1" pivotButton="0" quotePrefix="0" xfId="4">
      <alignment horizontal="center" vertical="center"/>
    </xf>
    <xf numFmtId="165" fontId="24" fillId="3" borderId="30" applyAlignment="1" pivotButton="0" quotePrefix="0" xfId="4">
      <alignment horizontal="center" vertical="center"/>
    </xf>
    <xf numFmtId="165" fontId="24" fillId="3" borderId="41" applyAlignment="1" pivotButton="0" quotePrefix="0" xfId="4">
      <alignment horizontal="center" vertical="center"/>
    </xf>
    <xf numFmtId="168" fontId="19" fillId="0" borderId="30" applyAlignment="1" pivotButton="0" quotePrefix="0" xfId="5">
      <alignment horizontal="center" vertical="center"/>
    </xf>
    <xf numFmtId="165" fontId="19" fillId="0" borderId="40" applyAlignment="1" pivotButton="0" quotePrefix="0" xfId="4">
      <alignment horizontal="center" vertical="center"/>
    </xf>
    <xf numFmtId="165" fontId="19" fillId="0" borderId="45" applyAlignment="1" pivotButton="0" quotePrefix="0" xfId="4">
      <alignment horizontal="center" vertical="center"/>
    </xf>
    <xf numFmtId="165" fontId="7" fillId="16" borderId="40" applyAlignment="1" pivotButton="0" quotePrefix="0" xfId="4">
      <alignment horizontal="center" vertical="center"/>
    </xf>
    <xf numFmtId="165" fontId="7" fillId="16" borderId="30" applyAlignment="1" pivotButton="0" quotePrefix="0" xfId="4">
      <alignment horizontal="center" vertical="center"/>
    </xf>
    <xf numFmtId="165" fontId="7" fillId="16" borderId="48" applyAlignment="1" pivotButton="0" quotePrefix="0" xfId="4">
      <alignment horizontal="center" vertical="center"/>
    </xf>
    <xf numFmtId="165" fontId="7" fillId="16" borderId="55" applyAlignment="1" pivotButton="0" quotePrefix="0" xfId="4">
      <alignment horizontal="center" vertical="center"/>
    </xf>
    <xf numFmtId="165" fontId="19" fillId="0" borderId="50" applyAlignment="1" pivotButton="0" quotePrefix="0" xfId="4">
      <alignment horizontal="center" vertical="center"/>
    </xf>
    <xf numFmtId="165" fontId="19" fillId="0" borderId="51" applyAlignment="1" pivotButton="0" quotePrefix="0" xfId="4">
      <alignment horizontal="center" vertical="center"/>
    </xf>
    <xf numFmtId="164" fontId="19" fillId="0" borderId="0" applyAlignment="1" pivotButton="0" quotePrefix="0" xfId="5">
      <alignment horizontal="center" vertical="center"/>
    </xf>
    <xf numFmtId="0" fontId="19" fillId="18" borderId="77" applyAlignment="1" pivotButton="0" quotePrefix="0" xfId="4">
      <alignment horizontal="left" vertical="center"/>
    </xf>
    <xf numFmtId="165" fontId="19" fillId="0" borderId="63" applyAlignment="1" pivotButton="0" quotePrefix="0" xfId="4">
      <alignment horizontal="center" vertical="center"/>
    </xf>
    <xf numFmtId="165" fontId="7" fillId="16" borderId="35" applyAlignment="1" pivotButton="0" quotePrefix="0" xfId="4">
      <alignment horizontal="center" vertical="center"/>
    </xf>
    <xf numFmtId="165" fontId="7" fillId="16" borderId="36" applyAlignment="1" pivotButton="0" quotePrefix="0" xfId="4">
      <alignment horizontal="center" vertical="center"/>
    </xf>
    <xf numFmtId="0" fontId="0" fillId="0" borderId="65" pivotButton="0" quotePrefix="0" xfId="0"/>
    <xf numFmtId="165" fontId="19" fillId="0" borderId="59" applyAlignment="1" pivotButton="0" quotePrefix="0" xfId="4">
      <alignment horizontal="center" vertical="center"/>
    </xf>
    <xf numFmtId="165" fontId="19" fillId="0" borderId="60" applyAlignment="1" pivotButton="0" quotePrefix="0" xfId="4">
      <alignment horizontal="center" vertical="center"/>
    </xf>
    <xf numFmtId="165" fontId="19" fillId="0" borderId="62" applyAlignment="1" pivotButton="0" quotePrefix="0" xfId="4">
      <alignment horizontal="center" vertical="center"/>
    </xf>
    <xf numFmtId="165" fontId="7" fillId="16" borderId="57" applyAlignment="1" pivotButton="0" quotePrefix="0" xfId="4">
      <alignment horizontal="center" vertical="center"/>
    </xf>
    <xf numFmtId="165" fontId="7" fillId="16" borderId="59" applyAlignment="1" pivotButton="0" quotePrefix="0" xfId="4">
      <alignment horizontal="center" vertical="center"/>
    </xf>
    <xf numFmtId="0" fontId="7" fillId="18" borderId="77" applyAlignment="1" pivotButton="0" quotePrefix="0" xfId="4">
      <alignment horizontal="left" vertical="center"/>
    </xf>
    <xf numFmtId="164" fontId="19" fillId="0" borderId="36" applyAlignment="1" pivotButton="0" quotePrefix="0" xfId="6">
      <alignment horizontal="center" vertical="center"/>
    </xf>
    <xf numFmtId="0" fontId="11" fillId="17" borderId="77" applyAlignment="1" pivotButton="0" quotePrefix="0" xfId="4">
      <alignment horizontal="center" vertical="center" wrapText="1"/>
    </xf>
    <xf numFmtId="0" fontId="11" fillId="9" borderId="77" applyAlignment="1" pivotButton="0" quotePrefix="0" xfId="4">
      <alignment horizontal="center" vertical="center"/>
    </xf>
    <xf numFmtId="0" fontId="13" fillId="10" borderId="77" applyAlignment="1" pivotButton="0" quotePrefix="0" xfId="4">
      <alignment horizontal="center" vertical="center"/>
    </xf>
    <xf numFmtId="0" fontId="13" fillId="13" borderId="77" applyAlignment="1" pivotButton="0" quotePrefix="0" xfId="4">
      <alignment horizontal="center" vertical="center"/>
    </xf>
    <xf numFmtId="0" fontId="13" fillId="14" borderId="77" applyAlignment="1" pivotButton="0" quotePrefix="0" xfId="4">
      <alignment horizontal="center" vertical="center"/>
    </xf>
    <xf numFmtId="0" fontId="19" fillId="4" borderId="77" applyAlignment="1" pivotButton="0" quotePrefix="0" xfId="4">
      <alignment horizontal="left" vertical="center"/>
    </xf>
    <xf numFmtId="165" fontId="19" fillId="0" borderId="57" applyAlignment="1" pivotButton="0" quotePrefix="0" xfId="4">
      <alignment horizontal="center" vertical="center"/>
    </xf>
    <xf numFmtId="165" fontId="11" fillId="2" borderId="35" applyAlignment="1" pivotButton="0" quotePrefix="0" xfId="4">
      <alignment horizontal="center" vertical="center" wrapText="1"/>
    </xf>
    <xf numFmtId="165" fontId="11" fillId="2" borderId="64" applyAlignment="1" pivotButton="0" quotePrefix="0" xfId="4">
      <alignment horizontal="center" vertical="center" wrapText="1"/>
    </xf>
    <xf numFmtId="0" fontId="19" fillId="21" borderId="77" applyAlignment="1" pivotButton="0" quotePrefix="0" xfId="4">
      <alignment horizontal="left" vertical="center"/>
    </xf>
    <xf numFmtId="165" fontId="7" fillId="0" borderId="57" applyAlignment="1" pivotButton="0" quotePrefix="0" xfId="4">
      <alignment horizontal="center" vertical="center"/>
    </xf>
    <xf numFmtId="165" fontId="19" fillId="0" borderId="0" applyAlignment="1" pivotButton="0" quotePrefix="0" xfId="4">
      <alignment horizontal="center" vertical="center"/>
    </xf>
    <xf numFmtId="0" fontId="19" fillId="22" borderId="77" applyAlignment="1" pivotButton="0" quotePrefix="0" xfId="4">
      <alignment horizontal="left" vertical="center"/>
    </xf>
    <xf numFmtId="165" fontId="24" fillId="3" borderId="56" applyAlignment="1" pivotButton="0" quotePrefix="0" xfId="4">
      <alignment horizontal="center" vertical="center"/>
    </xf>
    <xf numFmtId="165" fontId="24" fillId="3" borderId="59" applyAlignment="1" pivotButton="0" quotePrefix="0" xfId="4">
      <alignment horizontal="center" vertical="center"/>
    </xf>
    <xf numFmtId="0" fontId="0" fillId="0" borderId="45" pivotButton="0" quotePrefix="0" xfId="0"/>
    <xf numFmtId="0" fontId="18" fillId="0" borderId="30" applyAlignment="1" pivotButton="0" quotePrefix="0" xfId="4">
      <alignment horizontal="center" vertical="center"/>
    </xf>
    <xf numFmtId="0" fontId="37" fillId="14" borderId="77" applyAlignment="1" pivotButton="0" quotePrefix="0" xfId="4">
      <alignment horizontal="center" vertical="center"/>
    </xf>
    <xf numFmtId="0" fontId="37" fillId="17" borderId="77" applyAlignment="1" pivotButton="0" quotePrefix="0" xfId="4">
      <alignment horizontal="center" vertical="center"/>
    </xf>
    <xf numFmtId="0" fontId="37" fillId="24" borderId="77" applyAlignment="1" pivotButton="0" quotePrefix="0" xfId="4">
      <alignment horizontal="center" vertical="center"/>
    </xf>
    <xf numFmtId="0" fontId="37" fillId="25" borderId="77" applyAlignment="1" pivotButton="0" quotePrefix="0" xfId="4">
      <alignment horizontal="center" vertical="center"/>
    </xf>
    <xf numFmtId="0" fontId="0" fillId="0" borderId="23" pivotButton="0" quotePrefix="0" xfId="0"/>
    <xf numFmtId="164" fontId="36" fillId="12" borderId="4" applyAlignment="1" pivotButton="0" quotePrefix="0" xfId="4">
      <alignment horizontal="center" vertical="center" wrapText="1" readingOrder="1"/>
    </xf>
    <xf numFmtId="164" fontId="36" fillId="0" borderId="4" applyAlignment="1" pivotButton="0" quotePrefix="0" xfId="4">
      <alignment horizontal="center" vertical="center" wrapText="1" readingOrder="1"/>
    </xf>
    <xf numFmtId="164" fontId="21" fillId="17" borderId="1" applyAlignment="1" pivotButton="0" quotePrefix="0" xfId="4">
      <alignment horizontal="center" vertical="center" wrapText="1" readingOrder="1"/>
    </xf>
    <xf numFmtId="164" fontId="36" fillId="0" borderId="1" applyAlignment="1" pivotButton="0" quotePrefix="0" xfId="4">
      <alignment horizontal="center" vertical="center" wrapText="1" readingOrder="1"/>
    </xf>
    <xf numFmtId="164" fontId="36" fillId="12" borderId="1" applyAlignment="1" pivotButton="0" quotePrefix="0" xfId="4">
      <alignment horizontal="center" vertical="center" wrapText="1" readingOrder="1"/>
    </xf>
    <xf numFmtId="169" fontId="0" fillId="0" borderId="30" applyAlignment="1" pivotButton="0" quotePrefix="0" xfId="6">
      <alignment vertical="center"/>
    </xf>
    <xf numFmtId="164" fontId="37" fillId="0" borderId="40" applyAlignment="1" pivotButton="0" quotePrefix="0" xfId="6">
      <alignment horizontal="center" vertical="center"/>
    </xf>
    <xf numFmtId="164" fontId="37" fillId="0" borderId="30" applyAlignment="1" pivotButton="0" quotePrefix="0" xfId="6">
      <alignment horizontal="center" vertical="center"/>
    </xf>
    <xf numFmtId="164" fontId="37" fillId="0" borderId="30" applyAlignment="1" pivotButton="0" quotePrefix="0" xfId="4">
      <alignment horizontal="center" vertical="center"/>
    </xf>
    <xf numFmtId="164" fontId="37" fillId="0" borderId="41" applyAlignment="1" pivotButton="0" quotePrefix="0" xfId="6">
      <alignment horizontal="center" vertical="center"/>
    </xf>
    <xf numFmtId="169" fontId="37" fillId="17" borderId="40" applyAlignment="1" pivotButton="0" quotePrefix="0" xfId="6">
      <alignment horizontal="center" vertical="center"/>
    </xf>
    <xf numFmtId="166" fontId="37" fillId="17" borderId="40" applyAlignment="1" pivotButton="0" quotePrefix="0" xfId="6">
      <alignment horizontal="center" vertical="center"/>
    </xf>
    <xf numFmtId="166" fontId="37" fillId="17" borderId="30" applyAlignment="1" pivotButton="0" quotePrefix="0" xfId="6">
      <alignment horizontal="center" vertical="center"/>
    </xf>
    <xf numFmtId="164" fontId="37" fillId="0" borderId="41" applyAlignment="1" pivotButton="0" quotePrefix="0" xfId="4">
      <alignment horizontal="center" vertical="center"/>
    </xf>
    <xf numFmtId="165" fontId="18" fillId="0" borderId="45" applyAlignment="1" pivotButton="0" quotePrefix="0" xfId="4">
      <alignment vertical="center"/>
    </xf>
    <xf numFmtId="164" fontId="37" fillId="0" borderId="45" applyAlignment="1" pivotButton="0" quotePrefix="0" xfId="6">
      <alignment horizontal="center" vertical="center"/>
    </xf>
    <xf numFmtId="165" fontId="37" fillId="17" borderId="40" applyAlignment="1" pivotButton="0" quotePrefix="0" xfId="4">
      <alignment horizontal="center" vertical="center"/>
    </xf>
    <xf numFmtId="165" fontId="37" fillId="17" borderId="30" applyAlignment="1" pivotButton="0" quotePrefix="0" xfId="4">
      <alignment horizontal="center" vertical="center"/>
    </xf>
    <xf numFmtId="165" fontId="37" fillId="17" borderId="41" applyAlignment="1" pivotButton="0" quotePrefix="0" xfId="4">
      <alignment horizontal="center" vertical="center"/>
    </xf>
    <xf numFmtId="164" fontId="37" fillId="0" borderId="40" applyAlignment="1" pivotButton="0" quotePrefix="0" xfId="4">
      <alignment horizontal="center" vertical="center"/>
    </xf>
    <xf numFmtId="166" fontId="37" fillId="0" borderId="30" applyAlignment="1" pivotButton="0" quotePrefix="0" xfId="6">
      <alignment horizontal="center" vertical="center"/>
    </xf>
    <xf numFmtId="169" fontId="37" fillId="0" borderId="30" applyAlignment="1" pivotButton="0" quotePrefix="0" xfId="6">
      <alignment horizontal="center" vertical="center"/>
    </xf>
    <xf numFmtId="164" fontId="37" fillId="0" borderId="33" applyAlignment="1" pivotButton="0" quotePrefix="0" xfId="4">
      <alignment horizontal="center" vertical="center"/>
    </xf>
    <xf numFmtId="164" fontId="37" fillId="0" borderId="38" applyAlignment="1" pivotButton="0" quotePrefix="0" xfId="4">
      <alignment horizontal="center" vertical="center"/>
    </xf>
    <xf numFmtId="164" fontId="36" fillId="2" borderId="1" applyAlignment="1" pivotButton="0" quotePrefix="0" xfId="4">
      <alignment horizontal="center" vertical="center" wrapText="1" readingOrder="1"/>
    </xf>
    <xf numFmtId="164" fontId="36" fillId="12" borderId="3" applyAlignment="1" pivotButton="0" quotePrefix="0" xfId="4">
      <alignment horizontal="center" vertical="center" wrapText="1" readingOrder="1"/>
    </xf>
    <xf numFmtId="164" fontId="36" fillId="0" borderId="3" applyAlignment="1" pivotButton="0" quotePrefix="0" xfId="4">
      <alignment horizontal="center" vertical="center" wrapText="1" readingOrder="1"/>
    </xf>
    <xf numFmtId="164" fontId="37" fillId="0" borderId="45" applyAlignment="1" pivotButton="0" quotePrefix="0" xfId="4">
      <alignment horizontal="center" vertical="center"/>
    </xf>
    <xf numFmtId="164" fontId="36" fillId="2" borderId="30" applyAlignment="1" pivotButton="0" quotePrefix="0" xfId="4">
      <alignment horizontal="center" vertical="center" wrapText="1" readingOrder="1"/>
    </xf>
    <xf numFmtId="164" fontId="36" fillId="0" borderId="30" applyAlignment="1" pivotButton="0" quotePrefix="0" xfId="4">
      <alignment horizontal="center" vertical="center" wrapText="1" readingOrder="1"/>
    </xf>
    <xf numFmtId="164" fontId="36" fillId="12" borderId="30" applyAlignment="1" pivotButton="0" quotePrefix="0" xfId="4">
      <alignment horizontal="center" vertical="center" wrapText="1" readingOrder="1"/>
    </xf>
    <xf numFmtId="166" fontId="37" fillId="0" borderId="40" applyAlignment="1" pivotButton="0" quotePrefix="0" xfId="4">
      <alignment horizontal="center" vertical="center"/>
    </xf>
    <xf numFmtId="166" fontId="37" fillId="0" borderId="30" applyAlignment="1" pivotButton="0" quotePrefix="0" xfId="4">
      <alignment horizontal="center" vertical="center"/>
    </xf>
    <xf numFmtId="166" fontId="37" fillId="0" borderId="41" applyAlignment="1" pivotButton="0" quotePrefix="0" xfId="6">
      <alignment horizontal="center" vertical="center"/>
    </xf>
    <xf numFmtId="166" fontId="37" fillId="0" borderId="45" applyAlignment="1" pivotButton="0" quotePrefix="0" xfId="4">
      <alignment horizontal="center" vertical="center"/>
    </xf>
    <xf numFmtId="169" fontId="0" fillId="0" borderId="36" applyAlignment="1" pivotButton="0" quotePrefix="0" xfId="6">
      <alignment vertical="center"/>
    </xf>
    <xf numFmtId="169" fontId="37" fillId="0" borderId="40" applyAlignment="1" pivotButton="0" quotePrefix="0" xfId="6">
      <alignment horizontal="center" vertical="center"/>
    </xf>
    <xf numFmtId="165" fontId="37" fillId="0" borderId="40" applyAlignment="1" pivotButton="0" quotePrefix="0" xfId="4">
      <alignment horizontal="center" vertical="center"/>
    </xf>
    <xf numFmtId="165" fontId="37" fillId="0" borderId="30" applyAlignment="1" pivotButton="0" quotePrefix="0" xfId="4">
      <alignment horizontal="center" vertical="center"/>
    </xf>
    <xf numFmtId="166" fontId="36" fillId="12" borderId="30" applyAlignment="1" pivotButton="0" quotePrefix="0" xfId="4">
      <alignment horizontal="center" vertical="center" wrapText="1" readingOrder="1"/>
    </xf>
    <xf numFmtId="164" fontId="36" fillId="0" borderId="0" applyAlignment="1" pivotButton="0" quotePrefix="0" xfId="4">
      <alignment horizontal="center" vertical="center" wrapText="1" readingOrder="1"/>
    </xf>
    <xf numFmtId="166" fontId="37" fillId="0" borderId="40" applyAlignment="1" pivotButton="0" quotePrefix="0" xfId="6">
      <alignment horizontal="center" vertical="center"/>
    </xf>
    <xf numFmtId="168" fontId="37" fillId="0" borderId="72" applyAlignment="1" pivotButton="0" quotePrefix="0" xfId="4">
      <alignment horizontal="center" vertical="center"/>
    </xf>
    <xf numFmtId="168" fontId="37" fillId="0" borderId="50" applyAlignment="1" pivotButton="0" quotePrefix="0" xfId="4">
      <alignment horizontal="center" vertical="center"/>
    </xf>
    <xf numFmtId="168" fontId="39" fillId="0" borderId="57" applyAlignment="1" pivotButton="0" quotePrefix="0" xfId="6">
      <alignment vertical="center"/>
    </xf>
    <xf numFmtId="168" fontId="39" fillId="0" borderId="59" applyAlignment="1" pivotButton="0" quotePrefix="0" xfId="6">
      <alignment vertical="center"/>
    </xf>
    <xf numFmtId="164" fontId="36" fillId="0" borderId="50" applyAlignment="1" pivotButton="0" quotePrefix="0" xfId="4">
      <alignment horizontal="center" vertical="center" wrapText="1" readingOrder="1"/>
    </xf>
    <xf numFmtId="164" fontId="36" fillId="0" borderId="75" applyAlignment="1" pivotButton="0" quotePrefix="0" xfId="4">
      <alignment horizontal="center" vertical="center" wrapText="1" readingOrder="1"/>
    </xf>
    <xf numFmtId="0" fontId="0" fillId="0" borderId="79" pivotButton="0" quotePrefix="0" xfId="0"/>
    <xf numFmtId="0" fontId="0" fillId="0" borderId="64" pivotButton="0" quotePrefix="0" xfId="0"/>
  </cellXfs>
  <cellStyles count="7">
    <cellStyle name="一般" xfId="0" builtinId="0"/>
    <cellStyle name="一般 2" xfId="1"/>
    <cellStyle name="百分比 2" xfId="2"/>
    <cellStyle name="一般 2 2" xfId="3"/>
    <cellStyle name="一般 3" xfId="4"/>
    <cellStyle name="百分比 2 2" xfId="5"/>
    <cellStyle name="百分比 3" xfId="6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externalLink" Target="/xl/externalLinks/externalLink1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Chloe Chang</author>
  </authors>
  <commentList>
    <comment ref="U1" authorId="0" shapeId="0">
      <text>
        <t>Chloe Chang:
比對Fuji</t>
      </text>
    </comment>
    <comment ref="D18" authorId="0" shapeId="0">
      <text>
        <t>Chloe Chang:
比對Fuji</t>
      </text>
    </comment>
  </commentList>
</comments>
</file>

<file path=xl/comments/comment2.xml><?xml version="1.0" encoding="utf-8"?>
<comments xmlns="http://schemas.openxmlformats.org/spreadsheetml/2006/main">
  <authors>
    <author>Jeff Chan</author>
  </authors>
  <commentList>
    <comment ref="AL6" authorId="0" shapeId="0">
      <text>
        <t>不計</t>
      </text>
    </comment>
    <comment ref="AM6" authorId="0" shapeId="0">
      <text>
        <t>不計</t>
      </text>
    </comment>
    <comment ref="AH12" authorId="0" shapeId="0">
      <text>
        <t>不計</t>
      </text>
    </comment>
    <comment ref="AI12" authorId="0" shapeId="0">
      <text>
        <t>不計</t>
      </text>
    </comment>
    <comment ref="AJ12" authorId="0" shapeId="0">
      <text>
        <t>不計</t>
      </text>
    </comment>
    <comment ref="AK12" authorId="0" shapeId="0">
      <text>
        <t>不計</t>
      </text>
    </comment>
    <comment ref="AL38" authorId="0" shapeId="0">
      <text>
        <t>不計</t>
      </text>
    </comment>
    <comment ref="AM38" authorId="0" shapeId="0">
      <text>
        <t>不計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s://skylamb-my.sharepoint.com/personal/sandy_sh_liu_skyla_com/Documents/&#26700;&#38754;/-Tutti-V1.4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Vet 定值"/>
      <sheetName val="參照"/>
      <sheetName val="更新履歷"/>
      <sheetName val="Panel Type"/>
      <sheetName val="Equation"/>
    </sheetNames>
    <sheetDataSet>
      <sheetData sheetId="0"/>
      <sheetData sheetId="1">
        <row r="2">
          <cell r="AR2">
            <v>1</v>
          </cell>
          <cell r="AS2" t="str">
            <v>Core Chem 13</v>
          </cell>
          <cell r="AU2" t="str">
            <v>L1_89751</v>
          </cell>
          <cell r="AV2" t="str">
            <v>L2_89752</v>
          </cell>
          <cell r="AW2" t="str">
            <v>N1_45981</v>
          </cell>
          <cell r="AX2" t="str">
            <v>N3_45983</v>
          </cell>
        </row>
        <row r="3">
          <cell r="AR3">
            <v>1</v>
          </cell>
          <cell r="AS3" t="str">
            <v>Diagnosis Plus 27</v>
          </cell>
          <cell r="AU3" t="str">
            <v>L1_89751</v>
          </cell>
          <cell r="AV3" t="str">
            <v>L2_89752</v>
          </cell>
          <cell r="AW3" t="str">
            <v>N1_45981</v>
          </cell>
          <cell r="AX3" t="str">
            <v>N3_45983</v>
          </cell>
        </row>
        <row r="4">
          <cell r="AR4">
            <v>1</v>
          </cell>
          <cell r="AS4" t="str">
            <v>General Chem 26</v>
          </cell>
          <cell r="AU4" t="str">
            <v>L1_89751</v>
          </cell>
          <cell r="AV4" t="str">
            <v>L2_89752</v>
          </cell>
          <cell r="AW4" t="str">
            <v>N1_45981</v>
          </cell>
          <cell r="AX4" t="str">
            <v>N3_45983</v>
          </cell>
        </row>
        <row r="5">
          <cell r="AR5">
            <v>1</v>
          </cell>
          <cell r="AS5" t="str">
            <v>Optimum Wellness 37</v>
          </cell>
          <cell r="AU5" t="str">
            <v>L1_89751</v>
          </cell>
          <cell r="AV5" t="str">
            <v>L2_89752</v>
          </cell>
          <cell r="AW5" t="str">
            <v>N1_45981</v>
          </cell>
          <cell r="AX5" t="str">
            <v>N3_45983</v>
          </cell>
        </row>
        <row r="6">
          <cell r="AR6">
            <v>1</v>
          </cell>
          <cell r="AS6" t="str">
            <v>Renal 15</v>
          </cell>
          <cell r="AU6" t="str">
            <v>L1_89751</v>
          </cell>
          <cell r="AV6" t="str">
            <v>L2_89752</v>
          </cell>
          <cell r="AW6" t="str">
            <v>N1_45981</v>
          </cell>
          <cell r="AX6" t="str">
            <v>N3_45983</v>
          </cell>
        </row>
        <row r="7">
          <cell r="AR7">
            <v>1</v>
          </cell>
          <cell r="AS7" t="str">
            <v>Liver 11</v>
          </cell>
          <cell r="AU7" t="str">
            <v>L1_89751</v>
          </cell>
          <cell r="AV7" t="str">
            <v>L2_89752</v>
          </cell>
          <cell r="AW7" t="str">
            <v>N1_45981</v>
          </cell>
          <cell r="AX7" t="str">
            <v>N3_45983</v>
          </cell>
        </row>
        <row r="8">
          <cell r="AR8">
            <v>1</v>
          </cell>
          <cell r="AS8" t="str">
            <v>Critical Care 26</v>
          </cell>
          <cell r="AU8" t="str">
            <v>L1_89751</v>
          </cell>
          <cell r="AV8" t="str">
            <v>L2_89752</v>
          </cell>
          <cell r="AW8" t="str">
            <v>N1_45981</v>
          </cell>
          <cell r="AX8" t="str">
            <v>N3_45983</v>
          </cell>
        </row>
        <row r="9">
          <cell r="AR9">
            <v>1</v>
          </cell>
          <cell r="AS9" t="str">
            <v>Critical Care add-on 10</v>
          </cell>
          <cell r="AU9" t="str">
            <v>L1_89751</v>
          </cell>
          <cell r="AV9" t="str">
            <v>L2_89752</v>
          </cell>
          <cell r="AW9" t="str">
            <v>N1_45981</v>
          </cell>
          <cell r="AX9" t="str">
            <v>N3_45983</v>
          </cell>
        </row>
        <row r="10">
          <cell r="AR10">
            <v>1</v>
          </cell>
          <cell r="AS10" t="str">
            <v>Electrolyte 7</v>
          </cell>
          <cell r="AU10" t="str">
            <v>L1_89751</v>
          </cell>
          <cell r="AV10" t="str">
            <v>L2_89752</v>
          </cell>
          <cell r="AW10" t="str">
            <v>N1_45981</v>
          </cell>
          <cell r="AX10" t="str">
            <v>N3_45983</v>
          </cell>
        </row>
        <row r="11">
          <cell r="AR11">
            <v>1</v>
          </cell>
          <cell r="AS11" t="str">
            <v>Equine 26</v>
          </cell>
          <cell r="AU11" t="str">
            <v>L1_89751</v>
          </cell>
          <cell r="AV11" t="str">
            <v>L2_89752</v>
          </cell>
          <cell r="AW11" t="str">
            <v>N1_45981</v>
          </cell>
          <cell r="AX11" t="str">
            <v>N3_45983</v>
          </cell>
        </row>
        <row r="12">
          <cell r="AR12">
            <v>1</v>
          </cell>
          <cell r="AS12" t="str">
            <v>Large Animal 25</v>
          </cell>
          <cell r="AU12" t="str">
            <v>L1_89751</v>
          </cell>
          <cell r="AV12" t="str">
            <v>L2_89752</v>
          </cell>
          <cell r="AW12" t="str">
            <v>N1_45981</v>
          </cell>
          <cell r="AX12" t="str">
            <v>N3_45983</v>
          </cell>
        </row>
        <row r="13">
          <cell r="AR13">
            <v>1</v>
          </cell>
          <cell r="AS13" t="str">
            <v>Exotic Pets 13</v>
          </cell>
          <cell r="AU13" t="str">
            <v>L1_89751</v>
          </cell>
          <cell r="AV13" t="str">
            <v>L2_89752</v>
          </cell>
          <cell r="AW13" t="str">
            <v>N1_45981</v>
          </cell>
          <cell r="AX13" t="str">
            <v>N3_45983</v>
          </cell>
        </row>
        <row r="14">
          <cell r="AR14">
            <v>1</v>
          </cell>
          <cell r="AS14" t="str">
            <v>Avian &amp; Reptile 26</v>
          </cell>
          <cell r="AU14" t="str">
            <v>L1_89751</v>
          </cell>
          <cell r="AV14" t="str">
            <v>L2_89752</v>
          </cell>
          <cell r="AW14" t="str">
            <v>N1_45981</v>
          </cell>
          <cell r="AX14" t="str">
            <v>N3_45983</v>
          </cell>
        </row>
        <row r="15">
          <cell r="AR15">
            <v>1</v>
          </cell>
          <cell r="AS15" t="str">
            <v>Diabetes 10</v>
          </cell>
          <cell r="AU15" t="str">
            <v>L1_89751</v>
          </cell>
          <cell r="AV15" t="str">
            <v>L2_89752</v>
          </cell>
          <cell r="AW15" t="str">
            <v>N1_45981</v>
          </cell>
          <cell r="AX15" t="str">
            <v>N3_45983</v>
          </cell>
        </row>
        <row r="16">
          <cell r="AR16">
            <v>12</v>
          </cell>
          <cell r="AS16" t="str">
            <v>Specific Test 1</v>
          </cell>
          <cell r="AU16" t="str">
            <v>20250905 N100</v>
          </cell>
          <cell r="AV16" t="str">
            <v>20250905 N300</v>
          </cell>
        </row>
        <row r="17">
          <cell r="AR17">
            <v>1</v>
          </cell>
          <cell r="AS17" t="str">
            <v>Specific Test 2</v>
          </cell>
          <cell r="AU17" t="str">
            <v>L1_89751</v>
          </cell>
          <cell r="AV17" t="str">
            <v>L2_89752</v>
          </cell>
          <cell r="AW17" t="str">
            <v>N1_45981</v>
          </cell>
          <cell r="AX17" t="str">
            <v>N3_45983</v>
          </cell>
        </row>
        <row r="18">
          <cell r="AR18">
            <v>1</v>
          </cell>
          <cell r="AS18" t="str">
            <v>Specific Test 3</v>
          </cell>
          <cell r="AU18" t="str">
            <v>L1_89751</v>
          </cell>
          <cell r="AV18" t="str">
            <v>L2_89752</v>
          </cell>
          <cell r="AW18" t="str">
            <v>N1_45981</v>
          </cell>
          <cell r="AX18" t="str">
            <v>N3_45983</v>
          </cell>
        </row>
        <row r="19">
          <cell r="AR19">
            <v>1</v>
          </cell>
          <cell r="AS19" t="str">
            <v>Specific Test 4</v>
          </cell>
          <cell r="AU19" t="str">
            <v>L1_89751</v>
          </cell>
          <cell r="AV19" t="str">
            <v>L2_89752</v>
          </cell>
          <cell r="AW19" t="str">
            <v>N1_45981</v>
          </cell>
          <cell r="AX19" t="str">
            <v>N3_45983</v>
          </cell>
        </row>
        <row r="20">
          <cell r="AR20">
            <v>1</v>
          </cell>
          <cell r="AS20" t="str">
            <v>Specific Test 5</v>
          </cell>
          <cell r="AU20" t="str">
            <v>L1_89751</v>
          </cell>
          <cell r="AV20" t="str">
            <v>L2_89752</v>
          </cell>
          <cell r="AW20" t="str">
            <v>N1_45981</v>
          </cell>
          <cell r="AX20" t="str">
            <v>N3_45983</v>
          </cell>
        </row>
        <row r="21">
          <cell r="AR21">
            <v>1</v>
          </cell>
          <cell r="AS21" t="str">
            <v>Specific Test 6</v>
          </cell>
          <cell r="AU21" t="str">
            <v>L1_89751</v>
          </cell>
          <cell r="AV21" t="str">
            <v>L2_89752</v>
          </cell>
          <cell r="AW21" t="str">
            <v>N1_45981</v>
          </cell>
          <cell r="AX21" t="str">
            <v>N3_45983</v>
          </cell>
        </row>
        <row r="22">
          <cell r="AR22">
            <v>2</v>
          </cell>
          <cell r="AS22" t="str">
            <v>Canine CRP</v>
          </cell>
          <cell r="AU22" t="str">
            <v>SHIMA Canine CRP Control-L_C028S</v>
          </cell>
          <cell r="AV22" t="str">
            <v>SHIMA Canine CRP Control-H_C028S</v>
          </cell>
        </row>
        <row r="23">
          <cell r="AR23">
            <v>3</v>
          </cell>
          <cell r="AS23" t="str">
            <v>Serum Amyloid A</v>
          </cell>
          <cell r="AU23" t="str">
            <v>RUO QC-SAA L EIKEN (V-SZ13)_57003</v>
          </cell>
          <cell r="AV23" t="str">
            <v>RUO QC-SAA H EIKEN (V-SZ14)_57003</v>
          </cell>
        </row>
        <row r="24">
          <cell r="AR24">
            <v>4</v>
          </cell>
          <cell r="AS24" t="str">
            <v>Phenobarbital</v>
          </cell>
          <cell r="AU24" t="str">
            <v>371.5_40450</v>
          </cell>
          <cell r="AV24" t="str">
            <v>372.5_40450</v>
          </cell>
        </row>
        <row r="25">
          <cell r="AR25">
            <v>5</v>
          </cell>
          <cell r="AS25" t="str">
            <v>S-DMA</v>
          </cell>
          <cell r="AU25" t="str">
            <v>Eurolyser SDMA Control Kit-L (VBR0203)_2509-1</v>
          </cell>
          <cell r="AV25" t="str">
            <v>Eurolyser SDMA Control Kit-H (VBR0203)_2509-1</v>
          </cell>
        </row>
        <row r="26">
          <cell r="AR26">
            <v>6</v>
          </cell>
          <cell r="AS26" t="str">
            <v>Total T4</v>
          </cell>
          <cell r="AU26" t="str">
            <v>Control L (1/2 Bioworld Canine Serum Lot#24082801 + 1/2 D.D.Water)</v>
          </cell>
          <cell r="AV26" t="str">
            <v>Control M (1/4 L1_89751 + 3/4 Bioworld Canine Serum Lot#24082801 )</v>
          </cell>
        </row>
        <row r="27">
          <cell r="AR27">
            <v>7</v>
          </cell>
          <cell r="AS27" t="str">
            <v>Canine TSH</v>
          </cell>
          <cell r="AU27" t="str">
            <v>L1_89751</v>
          </cell>
          <cell r="AV27" t="str">
            <v>L2_89752</v>
          </cell>
          <cell r="AW27" t="str">
            <v>372_40452</v>
          </cell>
        </row>
        <row r="28">
          <cell r="AR28">
            <v>8</v>
          </cell>
          <cell r="AS28" t="str">
            <v>Canine Progesterone</v>
          </cell>
          <cell r="AU28" t="str">
            <v>371_40451</v>
          </cell>
          <cell r="AV28" t="str">
            <v>371.25_40451+40452</v>
          </cell>
          <cell r="AW28" t="str">
            <v>372_40452</v>
          </cell>
        </row>
        <row r="29">
          <cell r="AR29">
            <v>9</v>
          </cell>
          <cell r="AS29" t="str">
            <v>Canine Cortisol</v>
          </cell>
          <cell r="AU29" t="str">
            <v>L1_89751</v>
          </cell>
          <cell r="AV29" t="str">
            <v>372_40452</v>
          </cell>
          <cell r="AW29" t="str">
            <v>L2_89752</v>
          </cell>
        </row>
        <row r="30">
          <cell r="AR30">
            <v>1</v>
          </cell>
          <cell r="AS30" t="str">
            <v>Canine Pancreas-specific Lipase</v>
          </cell>
          <cell r="AU30" t="str">
            <v>L1_89751</v>
          </cell>
          <cell r="AV30" t="str">
            <v>L2_89752</v>
          </cell>
          <cell r="AW30" t="str">
            <v>N1_45981</v>
          </cell>
          <cell r="AX30" t="str">
            <v>N3_45983</v>
          </cell>
        </row>
        <row r="31">
          <cell r="AR31">
            <v>1</v>
          </cell>
          <cell r="AS31" t="str">
            <v>Feline Pancreas-specific Lipase</v>
          </cell>
          <cell r="AU31" t="str">
            <v>L1_89751</v>
          </cell>
          <cell r="AV31" t="str">
            <v>L2_89752</v>
          </cell>
          <cell r="AW31" t="str">
            <v>N1_45981</v>
          </cell>
          <cell r="AX31" t="str">
            <v>N3_45983</v>
          </cell>
        </row>
        <row r="32">
          <cell r="AR32">
            <v>10</v>
          </cell>
          <cell r="AS32" t="str">
            <v>Coagulation</v>
          </cell>
          <cell r="AU32" t="str">
            <v>Dade Ci-Trol 1
564904A</v>
          </cell>
          <cell r="AV32" t="str">
            <v>Dade Ci-Trol 2
548551A</v>
          </cell>
          <cell r="AW32" t="str">
            <v>Control P
556758E</v>
          </cell>
        </row>
        <row r="33">
          <cell r="AR33">
            <v>11</v>
          </cell>
          <cell r="AS33" t="str">
            <v>Urine Protein CREA ratio</v>
          </cell>
          <cell r="AU33" t="str">
            <v>U1_97491</v>
          </cell>
          <cell r="AV33" t="str">
            <v>U2_97492</v>
          </cell>
          <cell r="AW33" t="str">
            <v>U3_97491+97492</v>
          </cell>
        </row>
        <row r="34">
          <cell r="AR34">
            <v>13</v>
          </cell>
          <cell r="AS34" t="str">
            <v>Canine NT-proBNP</v>
          </cell>
          <cell r="AU34" t="str">
            <v>L</v>
          </cell>
          <cell r="AV34" t="str">
            <v>H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tabSelected="1" workbookViewId="0">
      <selection activeCell="B1" sqref="B1"/>
    </sheetView>
  </sheetViews>
  <sheetFormatPr baseColWidth="8" defaultRowHeight="16.5"/>
  <cols>
    <col width="86.5" customWidth="1" min="2" max="2"/>
  </cols>
  <sheetData>
    <row r="2">
      <c r="B2" t="inlineStr">
        <is>
          <t>說明</t>
        </is>
      </c>
    </row>
    <row r="3">
      <c r="B3" s="10" t="inlineStr">
        <is>
          <t>1.由Assayprocess匯出control、Canine、Feline、Equine 濃度、OD表格(包含定值、上下限)</t>
        </is>
      </c>
    </row>
    <row r="4">
      <c r="B4" t="inlineStr">
        <is>
          <t>2.在報表處可手動刪除異常點(在濃度報表上)，並自動算出Mean、Bias、CV%</t>
        </is>
      </c>
    </row>
    <row r="5">
      <c r="B5" t="inlineStr">
        <is>
          <t>3.CS-real彙整 control -real (該marker單位要顯示)</t>
        </is>
      </c>
    </row>
    <row r="6">
      <c r="B6" t="inlineStr">
        <is>
          <t>4.遇換線，匯入Json檔，濃度值在"換線後"顯示</t>
        </is>
      </c>
    </row>
    <row r="7">
      <c r="B7" t="inlineStr">
        <is>
          <t>5.濃度值超出上下限、CV、Bisa超規反紅色</t>
        </is>
      </c>
    </row>
    <row r="8">
      <c r="B8" s="46" t="inlineStr">
        <is>
          <t>6.總表可以尋找不同生產日、不同panel、同marker 在各濃度的平均值、CV查詢</t>
        </is>
      </c>
    </row>
    <row r="19">
      <c r="B19" t="inlineStr">
        <is>
          <t>7.最終判定以"換線後"數據為主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H13"/>
  <sheetViews>
    <sheetView workbookViewId="0">
      <selection activeCell="F20" sqref="F20"/>
    </sheetView>
  </sheetViews>
  <sheetFormatPr baseColWidth="8" defaultRowHeight="16.5"/>
  <cols>
    <col width="14.75" customWidth="1" min="2" max="2"/>
    <col width="20.375" customWidth="1" min="3" max="3"/>
    <col width="16.875" customWidth="1" min="4" max="4"/>
    <col width="11.25" bestFit="1" customWidth="1" min="7" max="7"/>
    <col width="17.375" bestFit="1" customWidth="1" min="8" max="8"/>
  </cols>
  <sheetData>
    <row r="3">
      <c r="B3" s="1" t="inlineStr">
        <is>
          <t>P/N</t>
        </is>
      </c>
      <c r="C3" s="1" t="inlineStr">
        <is>
          <t>panel</t>
        </is>
      </c>
      <c r="D3" s="1" t="inlineStr">
        <is>
          <t>Lot No.</t>
        </is>
      </c>
      <c r="E3" s="1" t="inlineStr">
        <is>
          <t>Exp Date</t>
        </is>
      </c>
      <c r="F3" s="1" t="inlineStr">
        <is>
          <t xml:space="preserve"> Q'ty</t>
        </is>
      </c>
      <c r="G3" s="1" t="inlineStr">
        <is>
          <t>RD換線與否</t>
        </is>
      </c>
      <c r="H3" s="1" t="inlineStr">
        <is>
          <t>QC確認是否可出貨</t>
        </is>
      </c>
    </row>
    <row r="4">
      <c r="B4" s="1" t="n"/>
      <c r="C4" s="1" t="n"/>
      <c r="D4" s="1" t="n"/>
      <c r="E4" s="1" t="n"/>
      <c r="F4" s="1" t="n"/>
      <c r="G4" s="1" t="n"/>
      <c r="H4" s="1" t="n"/>
    </row>
    <row r="5">
      <c r="B5" s="1" t="n"/>
      <c r="C5" s="1" t="n"/>
      <c r="D5" s="1" t="n"/>
      <c r="E5" s="1" t="n"/>
      <c r="F5" s="1" t="n"/>
      <c r="G5" s="1" t="n"/>
      <c r="H5" s="1" t="n"/>
    </row>
    <row r="6">
      <c r="B6" s="1" t="n"/>
      <c r="C6" s="1" t="n"/>
      <c r="D6" s="1" t="n"/>
      <c r="E6" s="1" t="n"/>
      <c r="F6" s="1" t="n"/>
      <c r="G6" s="1" t="n"/>
      <c r="H6" s="1" t="n"/>
    </row>
    <row r="7">
      <c r="B7" s="1" t="n"/>
      <c r="C7" s="1" t="n"/>
      <c r="D7" s="1" t="n"/>
      <c r="E7" s="1" t="n"/>
      <c r="F7" s="1" t="n"/>
      <c r="G7" s="1" t="n"/>
      <c r="H7" s="1" t="n"/>
    </row>
    <row r="8">
      <c r="B8" s="1" t="n"/>
      <c r="C8" s="1" t="n"/>
      <c r="D8" s="1" t="n"/>
      <c r="E8" s="1" t="n"/>
      <c r="F8" s="1" t="n"/>
      <c r="G8" s="1" t="n"/>
      <c r="H8" s="1" t="n"/>
    </row>
    <row r="9">
      <c r="B9" s="1" t="n"/>
      <c r="C9" s="1" t="n"/>
      <c r="D9" s="1" t="n"/>
      <c r="E9" s="1" t="n"/>
      <c r="F9" s="1" t="n"/>
      <c r="G9" s="1" t="n"/>
      <c r="H9" s="1" t="n"/>
    </row>
    <row r="10">
      <c r="B10" s="1" t="n"/>
      <c r="C10" s="1" t="n"/>
      <c r="D10" s="1" t="n"/>
      <c r="E10" s="1" t="n"/>
      <c r="F10" s="1" t="n"/>
      <c r="G10" s="1" t="n"/>
      <c r="H10" s="1" t="n"/>
    </row>
    <row r="11">
      <c r="B11" s="1" t="n"/>
      <c r="C11" s="1" t="n"/>
      <c r="D11" s="1" t="n"/>
      <c r="E11" s="1" t="n"/>
      <c r="F11" s="1" t="n"/>
      <c r="G11" s="1" t="n"/>
      <c r="H11" s="1" t="n"/>
    </row>
    <row r="12">
      <c r="B12" s="1" t="n"/>
      <c r="C12" s="1" t="n"/>
      <c r="D12" s="1" t="n"/>
      <c r="E12" s="1" t="n"/>
      <c r="F12" s="1" t="n"/>
      <c r="G12" s="1" t="n"/>
      <c r="H12" s="1" t="n"/>
    </row>
    <row r="13">
      <c r="B13" s="1" t="n"/>
      <c r="C13" s="1" t="n"/>
      <c r="D13" s="1" t="n"/>
      <c r="E13" s="1" t="n"/>
      <c r="F13" s="1" t="n"/>
      <c r="G13" s="1" t="n"/>
      <c r="H13" s="1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D920"/>
  <sheetViews>
    <sheetView workbookViewId="0">
      <selection activeCell="A1" sqref="A1"/>
    </sheetView>
  </sheetViews>
  <sheetFormatPr baseColWidth="8" defaultRowHeight="16.5"/>
  <cols>
    <col width="10.375" bestFit="1" customWidth="1" style="39" min="1" max="1"/>
    <col width="11.375" customWidth="1" style="39" min="2" max="3"/>
    <col width="9" customWidth="1" style="40" min="4" max="4"/>
    <col hidden="1" style="40" min="5" max="59"/>
    <col width="9" customWidth="1" style="40" min="60" max="60"/>
    <col hidden="1" style="40" min="61" max="81"/>
    <col width="9" customWidth="1" style="566" min="82" max="82"/>
    <col hidden="1" style="40" min="83" max="137"/>
    <col width="9" customWidth="1" style="40" min="138" max="138"/>
    <col hidden="1" style="40" min="139" max="159"/>
    <col width="9" customWidth="1" style="566" min="160" max="160"/>
    <col hidden="1" style="40" min="161" max="215"/>
    <col width="9" customWidth="1" style="40" min="216" max="216"/>
    <col hidden="1" style="40" min="217" max="237"/>
    <col width="9" customWidth="1" style="566" min="238" max="238"/>
    <col hidden="1" style="40" min="239" max="293"/>
    <col width="9" customWidth="1" style="40" min="294" max="294"/>
    <col hidden="1" style="40" min="295" max="315"/>
    <col width="9" customWidth="1" style="566" min="316" max="316"/>
    <col width="9" customWidth="1" style="40" min="317" max="16384"/>
  </cols>
  <sheetData>
    <row r="1">
      <c r="A1" s="38" t="inlineStr">
        <is>
          <t>生產日期</t>
        </is>
      </c>
      <c r="B1" s="477" t="inlineStr">
        <is>
          <t>panel</t>
        </is>
      </c>
      <c r="C1" s="477" t="inlineStr">
        <is>
          <t>Lot No.</t>
        </is>
      </c>
      <c r="D1" s="40" t="inlineStr">
        <is>
          <t>marker</t>
        </is>
      </c>
      <c r="E1" s="40" t="inlineStr">
        <is>
          <t>Beads Lot</t>
        </is>
      </c>
      <c r="F1" s="40" t="inlineStr">
        <is>
          <t>TEa</t>
        </is>
      </c>
      <c r="G1" s="40" t="inlineStr">
        <is>
          <t>定值</t>
        </is>
      </c>
      <c r="H1" s="40" t="inlineStr">
        <is>
          <t>上限</t>
        </is>
      </c>
      <c r="I1" s="40" t="inlineStr">
        <is>
          <t>下限</t>
        </is>
      </c>
      <c r="J1" s="40" t="inlineStr">
        <is>
          <t>Zone-1 首件</t>
        </is>
      </c>
      <c r="K1" s="40" t="inlineStr">
        <is>
          <t>Zone-1 首件</t>
        </is>
      </c>
      <c r="L1" s="40" t="inlineStr">
        <is>
          <t>Zone-1 末件</t>
        </is>
      </c>
      <c r="M1" s="40" t="inlineStr">
        <is>
          <t>Zone-1 首件</t>
        </is>
      </c>
      <c r="N1" s="40" t="inlineStr">
        <is>
          <t>Zone-1 首件</t>
        </is>
      </c>
      <c r="O1" s="40" t="inlineStr">
        <is>
          <t>Zone-1 末件</t>
        </is>
      </c>
      <c r="P1" s="40" t="inlineStr">
        <is>
          <t>Zone-1 首件</t>
        </is>
      </c>
      <c r="Q1" s="40" t="inlineStr">
        <is>
          <t>Zone-1 首件</t>
        </is>
      </c>
      <c r="R1" s="40" t="inlineStr">
        <is>
          <t>Zone-1 末件</t>
        </is>
      </c>
      <c r="AL1" s="40" t="inlineStr">
        <is>
          <t>Zone-1</t>
        </is>
      </c>
      <c r="AM1" s="40" t="inlineStr">
        <is>
          <t>Zone-2</t>
        </is>
      </c>
      <c r="AN1" s="40" t="inlineStr">
        <is>
          <t>Zone-3</t>
        </is>
      </c>
      <c r="AO1" s="40" t="inlineStr">
        <is>
          <t>Zone-4</t>
        </is>
      </c>
      <c r="AP1" s="40" t="inlineStr">
        <is>
          <t>Zone-1</t>
        </is>
      </c>
      <c r="AQ1" s="40" t="inlineStr">
        <is>
          <t>Zone-2</t>
        </is>
      </c>
      <c r="AR1" s="40" t="inlineStr">
        <is>
          <t>Zone-3</t>
        </is>
      </c>
      <c r="AS1" s="40" t="inlineStr">
        <is>
          <t>Zone-4</t>
        </is>
      </c>
      <c r="AT1" s="40" t="inlineStr">
        <is>
          <t>Zone-1</t>
        </is>
      </c>
      <c r="AU1" s="40" t="inlineStr">
        <is>
          <t>Zone-2</t>
        </is>
      </c>
      <c r="AV1" s="40" t="inlineStr">
        <is>
          <t>Zone-3</t>
        </is>
      </c>
      <c r="AW1" s="40" t="inlineStr">
        <is>
          <t>Zone-4</t>
        </is>
      </c>
      <c r="AX1" s="40" t="inlineStr">
        <is>
          <t>mean</t>
        </is>
      </c>
      <c r="AY1" s="40" t="inlineStr">
        <is>
          <t>mean</t>
        </is>
      </c>
      <c r="AZ1" s="40" t="inlineStr">
        <is>
          <t>mean</t>
        </is>
      </c>
      <c r="BD1" s="40" t="inlineStr">
        <is>
          <t>mean</t>
        </is>
      </c>
      <c r="BE1" s="40" t="inlineStr">
        <is>
          <t>mean</t>
        </is>
      </c>
      <c r="BF1" s="40" t="inlineStr">
        <is>
          <t>mean</t>
        </is>
      </c>
      <c r="BG1" s="40" t="inlineStr">
        <is>
          <t>mean</t>
        </is>
      </c>
      <c r="BH1" s="40" t="inlineStr">
        <is>
          <t>L1 mean</t>
        </is>
      </c>
      <c r="BI1" s="40" t="inlineStr">
        <is>
          <t>Bias</t>
        </is>
      </c>
      <c r="BJ1" s="40" t="inlineStr">
        <is>
          <t>Bias</t>
        </is>
      </c>
      <c r="BK1" s="40" t="inlineStr">
        <is>
          <t>Bias</t>
        </is>
      </c>
      <c r="BO1" s="40" t="inlineStr">
        <is>
          <t>Bias</t>
        </is>
      </c>
      <c r="BP1" s="40" t="inlineStr">
        <is>
          <t>Bias</t>
        </is>
      </c>
      <c r="BQ1" s="40" t="inlineStr">
        <is>
          <t>Bias</t>
        </is>
      </c>
      <c r="BR1" s="40" t="inlineStr">
        <is>
          <t>Bias</t>
        </is>
      </c>
      <c r="BS1" s="40" t="inlineStr">
        <is>
          <t>total Bias</t>
        </is>
      </c>
      <c r="BT1" s="40" t="inlineStr">
        <is>
          <t>CV</t>
        </is>
      </c>
      <c r="BU1" s="40" t="inlineStr">
        <is>
          <t>CV</t>
        </is>
      </c>
      <c r="BV1" s="40" t="inlineStr">
        <is>
          <t>CV</t>
        </is>
      </c>
      <c r="BZ1" s="40" t="inlineStr">
        <is>
          <t>CV</t>
        </is>
      </c>
      <c r="CA1" s="40" t="inlineStr">
        <is>
          <t>CV</t>
        </is>
      </c>
      <c r="CB1" s="40" t="inlineStr">
        <is>
          <t>CV</t>
        </is>
      </c>
      <c r="CC1" s="40" t="inlineStr">
        <is>
          <t>CV</t>
        </is>
      </c>
      <c r="CD1" s="566" t="inlineStr">
        <is>
          <t>L1 CV</t>
        </is>
      </c>
      <c r="CF1" s="40" t="inlineStr">
        <is>
          <t>TEa</t>
        </is>
      </c>
      <c r="CG1" s="40" t="inlineStr">
        <is>
          <t>定值</t>
        </is>
      </c>
      <c r="CH1" s="40" t="inlineStr">
        <is>
          <t>上限</t>
        </is>
      </c>
      <c r="CI1" s="40" t="inlineStr">
        <is>
          <t>下限</t>
        </is>
      </c>
      <c r="CJ1" s="40" t="inlineStr">
        <is>
          <t>Zone-1 首件</t>
        </is>
      </c>
      <c r="CK1" s="40" t="inlineStr">
        <is>
          <t>Zone-1 首件</t>
        </is>
      </c>
      <c r="CL1" s="40" t="inlineStr">
        <is>
          <t>Zone-1 末件</t>
        </is>
      </c>
      <c r="CM1" s="40" t="inlineStr">
        <is>
          <t>Zone-1 首件</t>
        </is>
      </c>
      <c r="CN1" s="40" t="inlineStr">
        <is>
          <t>Zone-1 首件</t>
        </is>
      </c>
      <c r="CO1" s="40" t="inlineStr">
        <is>
          <t>Zone-1 末件</t>
        </is>
      </c>
      <c r="CP1" s="40" t="inlineStr">
        <is>
          <t>Zone-1 首件</t>
        </is>
      </c>
      <c r="CQ1" s="40" t="inlineStr">
        <is>
          <t>Zone-1 首件</t>
        </is>
      </c>
      <c r="CR1" s="40" t="inlineStr">
        <is>
          <t>Zone-1 末件</t>
        </is>
      </c>
      <c r="CS1" s="40" t="inlineStr">
        <is>
          <t>Zone-1 首件</t>
        </is>
      </c>
      <c r="CT1" s="40" t="inlineStr">
        <is>
          <t>Zone-2 首件</t>
        </is>
      </c>
      <c r="CU1" s="40" t="inlineStr">
        <is>
          <t>Zone-1 首件</t>
        </is>
      </c>
      <c r="CV1" s="40" t="inlineStr">
        <is>
          <t>Zone-2 首件</t>
        </is>
      </c>
      <c r="CW1" s="40" t="inlineStr">
        <is>
          <t>Zone-1 首件</t>
        </is>
      </c>
      <c r="CX1" s="40" t="inlineStr">
        <is>
          <t>Zone-2 首件</t>
        </is>
      </c>
      <c r="CY1" s="40" t="inlineStr">
        <is>
          <t>Zone-3 末件</t>
        </is>
      </c>
      <c r="CZ1" s="40" t="inlineStr">
        <is>
          <t>Zone-4 末件</t>
        </is>
      </c>
      <c r="DA1" s="40" t="inlineStr">
        <is>
          <t>Zone-3 末件</t>
        </is>
      </c>
      <c r="DB1" s="40" t="inlineStr">
        <is>
          <t>Zone-4 末件</t>
        </is>
      </c>
      <c r="DC1" s="40" t="inlineStr">
        <is>
          <t>Zone-3 末件</t>
        </is>
      </c>
      <c r="DD1" s="40" t="inlineStr">
        <is>
          <t>Zone-4 末件</t>
        </is>
      </c>
      <c r="DL1" s="40" t="inlineStr">
        <is>
          <t>Zone-1</t>
        </is>
      </c>
      <c r="DM1" s="40" t="inlineStr">
        <is>
          <t>Zone-2</t>
        </is>
      </c>
      <c r="DN1" s="40" t="inlineStr">
        <is>
          <t>Zone-3</t>
        </is>
      </c>
      <c r="DO1" s="40" t="inlineStr">
        <is>
          <t>Zone-4</t>
        </is>
      </c>
      <c r="DP1" s="40" t="inlineStr">
        <is>
          <t>Zone-1</t>
        </is>
      </c>
      <c r="DQ1" s="40" t="inlineStr">
        <is>
          <t>Zone-2</t>
        </is>
      </c>
      <c r="DR1" s="40" t="inlineStr">
        <is>
          <t>Zone-3</t>
        </is>
      </c>
      <c r="DS1" s="40" t="inlineStr">
        <is>
          <t>Zone-4</t>
        </is>
      </c>
      <c r="DT1" s="40" t="inlineStr">
        <is>
          <t>Zone-1</t>
        </is>
      </c>
      <c r="DU1" s="40" t="inlineStr">
        <is>
          <t>Zone-2</t>
        </is>
      </c>
      <c r="DV1" s="40" t="inlineStr">
        <is>
          <t>Zone-3</t>
        </is>
      </c>
      <c r="DW1" s="40" t="inlineStr">
        <is>
          <t>Zone-4</t>
        </is>
      </c>
      <c r="DX1" s="40" t="inlineStr">
        <is>
          <t>mean</t>
        </is>
      </c>
      <c r="DY1" s="40" t="inlineStr">
        <is>
          <t>mean</t>
        </is>
      </c>
      <c r="DZ1" s="40" t="inlineStr">
        <is>
          <t>mean</t>
        </is>
      </c>
      <c r="ED1" s="40" t="inlineStr">
        <is>
          <t>mean</t>
        </is>
      </c>
      <c r="EE1" s="40" t="inlineStr">
        <is>
          <t>mean</t>
        </is>
      </c>
      <c r="EF1" s="40" t="inlineStr">
        <is>
          <t>mean</t>
        </is>
      </c>
      <c r="EG1" s="40" t="inlineStr">
        <is>
          <t>mean</t>
        </is>
      </c>
      <c r="EH1" s="40" t="inlineStr">
        <is>
          <t>L2 mean</t>
        </is>
      </c>
      <c r="EI1" s="40" t="inlineStr">
        <is>
          <t>Bias</t>
        </is>
      </c>
      <c r="EJ1" s="40" t="inlineStr">
        <is>
          <t>Bias</t>
        </is>
      </c>
      <c r="EK1" s="40" t="inlineStr">
        <is>
          <t>Bias</t>
        </is>
      </c>
      <c r="EO1" s="40" t="inlineStr">
        <is>
          <t>Bias</t>
        </is>
      </c>
      <c r="EP1" s="40" t="inlineStr">
        <is>
          <t>Bias</t>
        </is>
      </c>
      <c r="EQ1" s="40" t="inlineStr">
        <is>
          <t>Bias</t>
        </is>
      </c>
      <c r="ER1" s="40" t="inlineStr">
        <is>
          <t>Bias</t>
        </is>
      </c>
      <c r="ES1" s="40" t="inlineStr">
        <is>
          <t>total Bias</t>
        </is>
      </c>
      <c r="ET1" s="40" t="inlineStr">
        <is>
          <t>CV</t>
        </is>
      </c>
      <c r="EU1" s="40" t="inlineStr">
        <is>
          <t>CV</t>
        </is>
      </c>
      <c r="EV1" s="40" t="inlineStr">
        <is>
          <t>CV</t>
        </is>
      </c>
      <c r="EZ1" s="40" t="inlineStr">
        <is>
          <t>CV</t>
        </is>
      </c>
      <c r="FA1" s="40" t="inlineStr">
        <is>
          <t>CV</t>
        </is>
      </c>
      <c r="FB1" s="40" t="inlineStr">
        <is>
          <t>CV</t>
        </is>
      </c>
      <c r="FC1" s="40" t="inlineStr">
        <is>
          <t>CV</t>
        </is>
      </c>
      <c r="FD1" s="566" t="inlineStr">
        <is>
          <t>L2 CV</t>
        </is>
      </c>
      <c r="FF1" s="40" t="inlineStr">
        <is>
          <t>TEa</t>
        </is>
      </c>
      <c r="FG1" s="40" t="inlineStr">
        <is>
          <t>定值</t>
        </is>
      </c>
      <c r="FH1" s="40" t="inlineStr">
        <is>
          <t>上限</t>
        </is>
      </c>
      <c r="FI1" s="40" t="inlineStr">
        <is>
          <t>下限</t>
        </is>
      </c>
      <c r="FJ1" s="40" t="inlineStr">
        <is>
          <t>Zone-1 首件</t>
        </is>
      </c>
      <c r="FK1" s="40" t="inlineStr">
        <is>
          <t>Zone-1 末件</t>
        </is>
      </c>
      <c r="FL1" s="40" t="inlineStr">
        <is>
          <t>Zone-1 首件</t>
        </is>
      </c>
      <c r="FM1" s="40" t="inlineStr">
        <is>
          <t>Zone-1 首件</t>
        </is>
      </c>
      <c r="FN1" s="40" t="inlineStr">
        <is>
          <t>Zone-1 首件</t>
        </is>
      </c>
      <c r="FO1" s="40" t="inlineStr">
        <is>
          <t>Zone-1 首件</t>
        </is>
      </c>
      <c r="FP1" s="40" t="inlineStr">
        <is>
          <t>Zone-1 末件</t>
        </is>
      </c>
      <c r="GL1" s="40" t="inlineStr">
        <is>
          <t>Zone-1</t>
        </is>
      </c>
      <c r="GM1" s="40" t="inlineStr">
        <is>
          <t>Zone-2</t>
        </is>
      </c>
      <c r="GN1" s="40" t="inlineStr">
        <is>
          <t>Zone-3</t>
        </is>
      </c>
      <c r="GO1" s="40" t="inlineStr">
        <is>
          <t>Zone-4</t>
        </is>
      </c>
      <c r="GP1" s="40" t="inlineStr">
        <is>
          <t>Zone-1</t>
        </is>
      </c>
      <c r="GQ1" s="40" t="inlineStr">
        <is>
          <t>Zone-2</t>
        </is>
      </c>
      <c r="GR1" s="40" t="inlineStr">
        <is>
          <t>Zone-3</t>
        </is>
      </c>
      <c r="GS1" s="40" t="inlineStr">
        <is>
          <t>Zone-4</t>
        </is>
      </c>
      <c r="GT1" s="40" t="inlineStr">
        <is>
          <t>Zone-1</t>
        </is>
      </c>
      <c r="GU1" s="40" t="inlineStr">
        <is>
          <t>Zone-2</t>
        </is>
      </c>
      <c r="GV1" s="40" t="inlineStr">
        <is>
          <t>Zone-3</t>
        </is>
      </c>
      <c r="GW1" s="40" t="inlineStr">
        <is>
          <t>Zone-4</t>
        </is>
      </c>
      <c r="GX1" s="40" t="inlineStr">
        <is>
          <t>mean</t>
        </is>
      </c>
      <c r="GY1" s="40" t="inlineStr">
        <is>
          <t>mean</t>
        </is>
      </c>
      <c r="GZ1" s="40" t="inlineStr">
        <is>
          <t>mean</t>
        </is>
      </c>
      <c r="HD1" s="40" t="inlineStr">
        <is>
          <t>mean</t>
        </is>
      </c>
      <c r="HE1" s="40" t="inlineStr">
        <is>
          <t>mean</t>
        </is>
      </c>
      <c r="HF1" s="40" t="inlineStr">
        <is>
          <t>mean</t>
        </is>
      </c>
      <c r="HG1" s="40" t="inlineStr">
        <is>
          <t>mean</t>
        </is>
      </c>
      <c r="HH1" s="40" t="inlineStr">
        <is>
          <t>L1 mean</t>
        </is>
      </c>
      <c r="HI1" s="40" t="inlineStr">
        <is>
          <t>Bias</t>
        </is>
      </c>
      <c r="HJ1" s="40" t="inlineStr">
        <is>
          <t>Bias</t>
        </is>
      </c>
      <c r="HK1" s="40" t="inlineStr">
        <is>
          <t>Bias</t>
        </is>
      </c>
      <c r="HO1" s="40" t="inlineStr">
        <is>
          <t>Bias</t>
        </is>
      </c>
      <c r="HP1" s="40" t="inlineStr">
        <is>
          <t>Bias</t>
        </is>
      </c>
      <c r="HQ1" s="40" t="inlineStr">
        <is>
          <t>Bias</t>
        </is>
      </c>
      <c r="HR1" s="40" t="inlineStr">
        <is>
          <t>Bias</t>
        </is>
      </c>
      <c r="HS1" s="40" t="inlineStr">
        <is>
          <t>total Bias</t>
        </is>
      </c>
      <c r="HT1" s="40" t="inlineStr">
        <is>
          <t>CV</t>
        </is>
      </c>
      <c r="HU1" s="40" t="inlineStr">
        <is>
          <t>CV</t>
        </is>
      </c>
      <c r="HV1" s="40" t="inlineStr">
        <is>
          <t>CV</t>
        </is>
      </c>
      <c r="HZ1" s="40" t="inlineStr">
        <is>
          <t>CV</t>
        </is>
      </c>
      <c r="IA1" s="40" t="inlineStr">
        <is>
          <t>CV</t>
        </is>
      </c>
      <c r="IB1" s="40" t="inlineStr">
        <is>
          <t>CV</t>
        </is>
      </c>
      <c r="IC1" s="40" t="inlineStr">
        <is>
          <t>CV</t>
        </is>
      </c>
      <c r="ID1" s="566" t="inlineStr">
        <is>
          <t>N1 CV</t>
        </is>
      </c>
      <c r="IF1" s="40" t="inlineStr">
        <is>
          <t>TEa</t>
        </is>
      </c>
      <c r="IG1" s="40" t="inlineStr">
        <is>
          <t>定值</t>
        </is>
      </c>
      <c r="IH1" s="40" t="inlineStr">
        <is>
          <t>上限</t>
        </is>
      </c>
      <c r="II1" s="40" t="inlineStr">
        <is>
          <t>下限</t>
        </is>
      </c>
      <c r="IJ1" s="40" t="inlineStr">
        <is>
          <t>Zone-1 首件</t>
        </is>
      </c>
      <c r="IK1" s="40" t="inlineStr">
        <is>
          <t>Zone-1 末件</t>
        </is>
      </c>
      <c r="IL1" s="40" t="inlineStr">
        <is>
          <t>Zone-1 首件</t>
        </is>
      </c>
      <c r="IM1" s="40" t="inlineStr">
        <is>
          <t>Zone-1 末件</t>
        </is>
      </c>
      <c r="IN1" s="40" t="inlineStr">
        <is>
          <t>Zone-1 首件</t>
        </is>
      </c>
      <c r="JL1" s="40" t="inlineStr">
        <is>
          <t>Zone-1</t>
        </is>
      </c>
      <c r="JM1" s="40" t="inlineStr">
        <is>
          <t>Zone-2</t>
        </is>
      </c>
      <c r="JN1" s="40" t="inlineStr">
        <is>
          <t>Zone-3</t>
        </is>
      </c>
      <c r="JO1" s="40" t="inlineStr">
        <is>
          <t>Zone-4</t>
        </is>
      </c>
      <c r="JP1" s="40" t="inlineStr">
        <is>
          <t>Zone-1</t>
        </is>
      </c>
      <c r="JQ1" s="40" t="inlineStr">
        <is>
          <t>Zone-2</t>
        </is>
      </c>
      <c r="JR1" s="40" t="inlineStr">
        <is>
          <t>Zone-3</t>
        </is>
      </c>
      <c r="JS1" s="40" t="inlineStr">
        <is>
          <t>Zone-4</t>
        </is>
      </c>
      <c r="JT1" s="40" t="inlineStr">
        <is>
          <t>Zone-1</t>
        </is>
      </c>
      <c r="JU1" s="40" t="inlineStr">
        <is>
          <t>Zone-2</t>
        </is>
      </c>
      <c r="JV1" s="40" t="inlineStr">
        <is>
          <t>Zone-3</t>
        </is>
      </c>
      <c r="JW1" s="40" t="inlineStr">
        <is>
          <t>Zone-4</t>
        </is>
      </c>
      <c r="JX1" s="40" t="inlineStr">
        <is>
          <t>mean</t>
        </is>
      </c>
      <c r="JY1" s="40" t="inlineStr">
        <is>
          <t>mean</t>
        </is>
      </c>
      <c r="JZ1" s="40" t="inlineStr">
        <is>
          <t>mean</t>
        </is>
      </c>
      <c r="KD1" s="40" t="inlineStr">
        <is>
          <t>mean</t>
        </is>
      </c>
      <c r="KE1" s="40" t="inlineStr">
        <is>
          <t>mean</t>
        </is>
      </c>
      <c r="KF1" s="40" t="inlineStr">
        <is>
          <t>mean</t>
        </is>
      </c>
      <c r="KG1" s="40" t="inlineStr">
        <is>
          <t>mean</t>
        </is>
      </c>
      <c r="KH1" s="40" t="inlineStr">
        <is>
          <t>N3 mean</t>
        </is>
      </c>
      <c r="KI1" s="40" t="inlineStr">
        <is>
          <t>Bias</t>
        </is>
      </c>
      <c r="KJ1" s="40" t="inlineStr">
        <is>
          <t>Bias</t>
        </is>
      </c>
      <c r="KK1" s="40" t="inlineStr">
        <is>
          <t>Bias</t>
        </is>
      </c>
      <c r="KO1" s="40" t="inlineStr">
        <is>
          <t>Bias</t>
        </is>
      </c>
      <c r="KP1" s="40" t="inlineStr">
        <is>
          <t>Bias</t>
        </is>
      </c>
      <c r="KQ1" s="40" t="inlineStr">
        <is>
          <t>Bias</t>
        </is>
      </c>
      <c r="KR1" s="40" t="inlineStr">
        <is>
          <t>Bias</t>
        </is>
      </c>
      <c r="KS1" s="40" t="inlineStr">
        <is>
          <t>total Bias</t>
        </is>
      </c>
      <c r="KT1" s="40" t="inlineStr">
        <is>
          <t>CV</t>
        </is>
      </c>
      <c r="KU1" s="40" t="inlineStr">
        <is>
          <t>CV</t>
        </is>
      </c>
      <c r="KV1" s="40" t="inlineStr">
        <is>
          <t>CV</t>
        </is>
      </c>
      <c r="KZ1" s="40" t="inlineStr">
        <is>
          <t>CV</t>
        </is>
      </c>
      <c r="LA1" s="40" t="inlineStr">
        <is>
          <t>CV</t>
        </is>
      </c>
      <c r="LB1" s="40" t="inlineStr">
        <is>
          <t>CV</t>
        </is>
      </c>
      <c r="LC1" s="40" t="inlineStr">
        <is>
          <t>CV</t>
        </is>
      </c>
      <c r="LD1" s="566" t="inlineStr">
        <is>
          <t>N3 CV</t>
        </is>
      </c>
    </row>
    <row r="2">
      <c r="A2" t="inlineStr">
        <is>
          <t>2026-06-18</t>
        </is>
      </c>
      <c r="B2" t="inlineStr">
        <is>
          <t>Specific Test 2</t>
        </is>
      </c>
      <c r="C2" t="inlineStr">
        <is>
          <t>103226061801 &amp; 203226061801</t>
        </is>
      </c>
      <c r="D2" t="inlineStr">
        <is>
          <t>ALB</t>
        </is>
      </c>
      <c r="F2" t="n">
        <v>8</v>
      </c>
      <c r="G2" t="n">
        <v>4.2</v>
      </c>
      <c r="H2" t="n">
        <v>37.8</v>
      </c>
      <c r="I2" t="n">
        <v>-29.4</v>
      </c>
      <c r="J2" t="n">
        <v>4.082717</v>
      </c>
      <c r="K2" t="n">
        <v>4.043517</v>
      </c>
      <c r="BH2" t="n">
        <v>4.063</v>
      </c>
      <c r="BS2" t="n">
        <v>-3.26</v>
      </c>
      <c r="CD2" t="n">
        <v>0.48</v>
      </c>
      <c r="CF2" t="n">
        <v>8</v>
      </c>
      <c r="CG2" t="n">
        <v>2.7</v>
      </c>
      <c r="CH2" t="n">
        <v>24.3</v>
      </c>
      <c r="CI2" t="n">
        <v>-18.9</v>
      </c>
      <c r="CJ2" t="n">
        <v>2.6894112</v>
      </c>
      <c r="CK2" t="n">
        <v>2.6804802</v>
      </c>
      <c r="EH2" t="n">
        <v>2.685</v>
      </c>
      <c r="ES2" t="n">
        <v>-0.5600000000000001</v>
      </c>
      <c r="FD2" t="n">
        <v>0.17</v>
      </c>
      <c r="FF2" t="n">
        <v>8</v>
      </c>
      <c r="FG2" t="n">
        <v>2.6</v>
      </c>
      <c r="FH2" t="n">
        <v>23.4</v>
      </c>
      <c r="FI2" t="n">
        <v>-18.2</v>
      </c>
      <c r="FJ2" t="n">
        <v>2.5262902</v>
      </c>
      <c r="FK2" t="n">
        <v>2.457061</v>
      </c>
      <c r="HH2" t="n">
        <v>2.492</v>
      </c>
      <c r="HS2" t="n">
        <v>-4.17</v>
      </c>
      <c r="ID2" t="n">
        <v>1.39</v>
      </c>
      <c r="IF2" t="n">
        <v>8</v>
      </c>
      <c r="IG2" t="n">
        <v>4.2</v>
      </c>
      <c r="IH2" t="n">
        <v>37.8</v>
      </c>
      <c r="II2" t="n">
        <v>-29.4</v>
      </c>
      <c r="IJ2" t="n">
        <v>4.0763283</v>
      </c>
      <c r="KH2" t="n">
        <v>4.076</v>
      </c>
      <c r="KS2" t="n">
        <v>-2.94</v>
      </c>
    </row>
    <row r="3">
      <c r="A3" t="inlineStr">
        <is>
          <t>2026-06-18</t>
        </is>
      </c>
      <c r="B3" t="inlineStr">
        <is>
          <t>Specific Test 2</t>
        </is>
      </c>
      <c r="C3" t="inlineStr">
        <is>
          <t>103226061801 &amp; 203226061801</t>
        </is>
      </c>
      <c r="D3" t="inlineStr">
        <is>
          <t>BUN</t>
        </is>
      </c>
      <c r="F3" t="n">
        <v>9</v>
      </c>
      <c r="G3" t="n">
        <v>14.8</v>
      </c>
      <c r="H3" t="n">
        <v>148</v>
      </c>
      <c r="I3" t="n">
        <v>-118.4</v>
      </c>
      <c r="J3" t="n">
        <v>14.762083</v>
      </c>
      <c r="K3" t="n">
        <v>14.589251</v>
      </c>
      <c r="BH3" t="n">
        <v>14.676</v>
      </c>
      <c r="BS3" t="n">
        <v>-0.84</v>
      </c>
      <c r="CD3" t="n">
        <v>0.59</v>
      </c>
      <c r="CF3" t="n">
        <v>9</v>
      </c>
      <c r="CG3" t="n">
        <v>44.7</v>
      </c>
      <c r="CH3" t="n">
        <v>447</v>
      </c>
      <c r="CI3" t="n">
        <v>-357.6</v>
      </c>
      <c r="CJ3" t="n">
        <v>44.89747</v>
      </c>
      <c r="CK3" t="n">
        <v>44.872215</v>
      </c>
      <c r="EH3" t="n">
        <v>44.885</v>
      </c>
      <c r="ES3" t="n">
        <v>0.41</v>
      </c>
      <c r="FD3" t="n">
        <v>0.03</v>
      </c>
      <c r="FF3" t="n">
        <v>9</v>
      </c>
      <c r="FG3" t="n">
        <v>14.7</v>
      </c>
      <c r="FH3" t="n">
        <v>147</v>
      </c>
      <c r="FI3" t="n">
        <v>-117.6</v>
      </c>
      <c r="FJ3" t="n">
        <v>14.970511</v>
      </c>
      <c r="FK3" t="n">
        <v>14.948421</v>
      </c>
      <c r="HH3" t="n">
        <v>14.959</v>
      </c>
      <c r="HS3" t="n">
        <v>1.77</v>
      </c>
      <c r="ID3" t="n">
        <v>0.07000000000000001</v>
      </c>
      <c r="IF3" t="n">
        <v>9</v>
      </c>
      <c r="IG3" t="n">
        <v>65.7</v>
      </c>
      <c r="IH3" t="n">
        <v>657</v>
      </c>
      <c r="II3" t="n">
        <v>-525.6</v>
      </c>
      <c r="IJ3" t="n">
        <v>66.07911</v>
      </c>
      <c r="KH3" t="n">
        <v>66.07899999999999</v>
      </c>
      <c r="KS3" t="n">
        <v>0.58</v>
      </c>
    </row>
    <row r="4">
      <c r="A4" t="inlineStr">
        <is>
          <t>2026-06-18</t>
        </is>
      </c>
      <c r="B4" t="inlineStr">
        <is>
          <t>Specific Test 2</t>
        </is>
      </c>
      <c r="C4" t="inlineStr">
        <is>
          <t>103226061801 &amp; 203226061801</t>
        </is>
      </c>
      <c r="D4" t="inlineStr">
        <is>
          <t>CREA</t>
        </is>
      </c>
      <c r="F4" t="n">
        <v>10</v>
      </c>
      <c r="G4" t="n">
        <v>1.5</v>
      </c>
      <c r="H4" t="n">
        <v>16.5</v>
      </c>
      <c r="I4" t="n">
        <v>-13.5</v>
      </c>
      <c r="J4" t="n">
        <v>1.2565933</v>
      </c>
      <c r="K4" t="n">
        <v>1.222006</v>
      </c>
      <c r="BH4" t="n">
        <v>1.239</v>
      </c>
      <c r="BS4" t="n">
        <v>-17.38</v>
      </c>
      <c r="CD4" t="n">
        <v>1.4</v>
      </c>
      <c r="CF4" t="n">
        <v>10</v>
      </c>
      <c r="CG4" t="n">
        <v>5.55</v>
      </c>
      <c r="CH4" t="n">
        <v>61.05</v>
      </c>
      <c r="CI4" t="n">
        <v>-49.95</v>
      </c>
      <c r="CJ4" t="n">
        <v>4.6947317</v>
      </c>
      <c r="CK4" t="n">
        <v>4.604651</v>
      </c>
      <c r="EH4" t="n">
        <v>4.65</v>
      </c>
      <c r="ES4" t="n">
        <v>-16.22</v>
      </c>
      <c r="FD4" t="n">
        <v>0.97</v>
      </c>
      <c r="FF4" t="n">
        <v>10</v>
      </c>
      <c r="FG4" t="n">
        <v>0.97</v>
      </c>
      <c r="FH4" t="n">
        <v>10.67</v>
      </c>
      <c r="FI4" t="n">
        <v>-8.73</v>
      </c>
      <c r="FJ4" t="n">
        <v>0.71149325</v>
      </c>
      <c r="FK4" t="n">
        <v>0.6753486</v>
      </c>
      <c r="HH4" t="n">
        <v>0.6929999999999999</v>
      </c>
      <c r="HS4" t="n">
        <v>-28.51</v>
      </c>
      <c r="ID4" t="n">
        <v>2.61</v>
      </c>
      <c r="IF4" t="n">
        <v>10</v>
      </c>
      <c r="IG4" t="n">
        <v>5.95</v>
      </c>
      <c r="IH4" t="n">
        <v>65.45</v>
      </c>
      <c r="II4" t="n">
        <v>-53.55</v>
      </c>
      <c r="IJ4" t="n">
        <v>5.536681</v>
      </c>
      <c r="KH4" t="n">
        <v>5.537</v>
      </c>
      <c r="KS4" t="n">
        <v>-6.95</v>
      </c>
    </row>
    <row r="5">
      <c r="A5" t="inlineStr">
        <is>
          <t>2026-06-18</t>
        </is>
      </c>
      <c r="B5" t="inlineStr">
        <is>
          <t>Specific Test 2</t>
        </is>
      </c>
      <c r="C5" t="inlineStr">
        <is>
          <t>103226061801 &amp; 203226061801</t>
        </is>
      </c>
      <c r="D5" t="inlineStr">
        <is>
          <t>GLU</t>
        </is>
      </c>
      <c r="F5" t="n">
        <v>8</v>
      </c>
      <c r="G5" t="n">
        <v>90.16</v>
      </c>
      <c r="H5" t="n">
        <v>811.4399999999999</v>
      </c>
      <c r="I5" t="n">
        <v>-631.12</v>
      </c>
      <c r="J5" t="n">
        <v>91.06752</v>
      </c>
      <c r="K5" t="n">
        <v>92.64716</v>
      </c>
      <c r="BH5" t="n">
        <v>91.857</v>
      </c>
      <c r="BS5" t="n">
        <v>1.88</v>
      </c>
      <c r="CD5" t="n">
        <v>0.86</v>
      </c>
      <c r="CF5" t="n">
        <v>8</v>
      </c>
      <c r="CG5" t="n">
        <v>293.02</v>
      </c>
      <c r="CH5" t="n">
        <v>2637.18</v>
      </c>
      <c r="CI5" t="n">
        <v>-2051.14</v>
      </c>
      <c r="CJ5" t="n">
        <v>307.7654</v>
      </c>
      <c r="CK5" t="n">
        <v>302.8442</v>
      </c>
      <c r="EH5" t="n">
        <v>305.305</v>
      </c>
      <c r="ES5" t="n">
        <v>4.19</v>
      </c>
      <c r="FD5" t="n">
        <v>0.8100000000000001</v>
      </c>
      <c r="FF5" t="n">
        <v>8</v>
      </c>
      <c r="FG5" t="n">
        <v>65.66</v>
      </c>
      <c r="FH5" t="n">
        <v>590.9399999999999</v>
      </c>
      <c r="FI5" t="n">
        <v>-459.62</v>
      </c>
      <c r="FJ5" t="n">
        <v>69.07862</v>
      </c>
      <c r="FK5" t="n">
        <v>66.61163999999999</v>
      </c>
      <c r="HH5" t="n">
        <v>67.845</v>
      </c>
      <c r="HS5" t="n">
        <v>3.33</v>
      </c>
      <c r="ID5" t="n">
        <v>1.82</v>
      </c>
      <c r="IF5" t="n">
        <v>8</v>
      </c>
      <c r="IG5" t="n">
        <v>359.66</v>
      </c>
      <c r="IH5" t="n">
        <v>3236.94</v>
      </c>
      <c r="II5" t="n">
        <v>-2517.62</v>
      </c>
      <c r="IJ5" t="n">
        <v>382.96942</v>
      </c>
      <c r="KH5" t="n">
        <v>382.969</v>
      </c>
      <c r="KS5" t="n">
        <v>6.48</v>
      </c>
    </row>
    <row r="6">
      <c r="A6" t="inlineStr">
        <is>
          <t>2026-06-18</t>
        </is>
      </c>
      <c r="B6" t="inlineStr">
        <is>
          <t>Specific Test 2</t>
        </is>
      </c>
      <c r="C6" t="inlineStr">
        <is>
          <t>103226061801 &amp; 203226061801</t>
        </is>
      </c>
      <c r="D6" t="inlineStr">
        <is>
          <t>TP</t>
        </is>
      </c>
      <c r="F6" t="n">
        <v>8</v>
      </c>
      <c r="G6" t="n">
        <v>6.4</v>
      </c>
      <c r="H6" t="n">
        <v>57.6</v>
      </c>
      <c r="I6" t="n">
        <v>-44.8</v>
      </c>
      <c r="J6" t="n">
        <v>6.575695</v>
      </c>
      <c r="K6" t="n">
        <v>6.52608</v>
      </c>
      <c r="BH6" t="n">
        <v>6.551</v>
      </c>
      <c r="BS6" t="n">
        <v>2.36</v>
      </c>
      <c r="CD6" t="n">
        <v>0.38</v>
      </c>
      <c r="CF6" t="n">
        <v>8</v>
      </c>
      <c r="CG6" t="n">
        <v>4.1</v>
      </c>
      <c r="CH6" t="n">
        <v>36.9</v>
      </c>
      <c r="CI6" t="n">
        <v>-28.7</v>
      </c>
      <c r="CJ6" t="n">
        <v>4.3530173</v>
      </c>
      <c r="CK6" t="n">
        <v>4.2794023</v>
      </c>
      <c r="EH6" t="n">
        <v>4.316</v>
      </c>
      <c r="ES6" t="n">
        <v>5.27</v>
      </c>
      <c r="FD6" t="n">
        <v>0.85</v>
      </c>
      <c r="FF6" t="n">
        <v>8</v>
      </c>
      <c r="FG6" t="n">
        <v>4.2</v>
      </c>
      <c r="FH6" t="n">
        <v>37.8</v>
      </c>
      <c r="FI6" t="n">
        <v>-29.4</v>
      </c>
      <c r="FJ6" t="n">
        <v>4.148798</v>
      </c>
      <c r="FK6" t="n">
        <v>4.0943565</v>
      </c>
      <c r="HH6" t="n">
        <v>4.122</v>
      </c>
      <c r="HS6" t="n">
        <v>-1.87</v>
      </c>
      <c r="ID6" t="n">
        <v>0.66</v>
      </c>
      <c r="IF6" t="n">
        <v>8</v>
      </c>
      <c r="IG6" t="n">
        <v>7.5</v>
      </c>
      <c r="IH6" t="n">
        <v>67.5</v>
      </c>
      <c r="II6" t="n">
        <v>-52.5</v>
      </c>
      <c r="IJ6" t="n">
        <v>7.6477346</v>
      </c>
      <c r="KH6" t="n">
        <v>7.648</v>
      </c>
      <c r="KS6" t="n">
        <v>1.97</v>
      </c>
    </row>
    <row r="7">
      <c r="A7" t="inlineStr">
        <is>
          <t>2026-06-17</t>
        </is>
      </c>
      <c r="B7" t="inlineStr">
        <is>
          <t>S-DMA</t>
        </is>
      </c>
      <c r="C7" t="inlineStr">
        <is>
          <t>111326061702</t>
        </is>
      </c>
      <c r="D7" t="inlineStr">
        <is>
          <t>S-DMA</t>
        </is>
      </c>
      <c r="J7" t="n">
        <v>11.98320546697026</v>
      </c>
      <c r="K7" t="n">
        <v>11.81163896721272</v>
      </c>
      <c r="L7" t="n">
        <v>13.4165367809915</v>
      </c>
      <c r="M7" t="n">
        <v>12.29609705905964</v>
      </c>
      <c r="N7" t="n">
        <v>12.22794841093268</v>
      </c>
      <c r="O7" t="n">
        <v>10.5067339269778</v>
      </c>
      <c r="BH7" t="n">
        <v>12.04</v>
      </c>
      <c r="CD7" t="n">
        <v>7.11</v>
      </c>
      <c r="CJ7" t="n">
        <v>11.393419</v>
      </c>
      <c r="CK7" t="n">
        <v>36.64445945425198</v>
      </c>
      <c r="CL7" t="n">
        <v>43.68212905206235</v>
      </c>
      <c r="CM7" t="n">
        <v>39.23792710216464</v>
      </c>
      <c r="CN7" t="n">
        <v>36.9111739808427</v>
      </c>
      <c r="CO7" t="n">
        <v>47.03474533274673</v>
      </c>
      <c r="CP7" t="n">
        <v>95.41189823494045</v>
      </c>
      <c r="CQ7" t="n">
        <v>35.83327467965739</v>
      </c>
      <c r="CR7" t="n">
        <v>33.03375239316271</v>
      </c>
      <c r="CS7" t="n">
        <v>34.67811165698809</v>
      </c>
      <c r="CT7" t="n">
        <v>35.64289354405362</v>
      </c>
      <c r="EH7" t="n">
        <v>40.864</v>
      </c>
      <c r="FD7" t="n">
        <v>47.12</v>
      </c>
    </row>
    <row r="8">
      <c r="A8" t="inlineStr">
        <is>
          <t>2026-06-17</t>
        </is>
      </c>
      <c r="B8" t="inlineStr">
        <is>
          <t>S-DMA</t>
        </is>
      </c>
      <c r="C8" t="inlineStr">
        <is>
          <t>111326061701 &amp; 211326061701</t>
        </is>
      </c>
      <c r="D8" t="inlineStr">
        <is>
          <t>S-DMA</t>
        </is>
      </c>
      <c r="J8" t="n">
        <v>12.18238198604577</v>
      </c>
      <c r="K8" t="n">
        <v>12.80059840441455</v>
      </c>
      <c r="L8" t="n">
        <v>12.07579272646196</v>
      </c>
      <c r="M8" t="n">
        <v>15.27185866559963</v>
      </c>
      <c r="N8" t="n">
        <v>11.40603344196936</v>
      </c>
      <c r="O8" t="n">
        <v>10.57982269964945</v>
      </c>
      <c r="P8" t="n">
        <v>12.09393903515172</v>
      </c>
      <c r="Q8" t="n">
        <v>11.32497905625308</v>
      </c>
      <c r="R8" t="n">
        <v>10.37163933761376</v>
      </c>
      <c r="BH8" t="n">
        <v>12.012</v>
      </c>
      <c r="CD8" t="n">
        <v>11.4</v>
      </c>
      <c r="CJ8" t="n">
        <v>36.41054408364806</v>
      </c>
      <c r="CK8" t="n">
        <v>41.31988759483387</v>
      </c>
      <c r="CL8" t="n">
        <v>46.59957383627145</v>
      </c>
      <c r="CM8" t="n">
        <v>41.34267381755047</v>
      </c>
      <c r="CN8" t="n">
        <v>33.06567836422956</v>
      </c>
      <c r="CO8" t="n">
        <v>44.05617912629776</v>
      </c>
      <c r="CP8" t="n">
        <v>36.57100634301653</v>
      </c>
      <c r="CQ8" t="n">
        <v>39.97199623146951</v>
      </c>
      <c r="CR8" t="n">
        <v>48.49243154736284</v>
      </c>
      <c r="CS8" t="n">
        <v>36.59116907136492</v>
      </c>
      <c r="EH8" t="n">
        <v>40.442</v>
      </c>
      <c r="FD8" t="n">
        <v>11.55</v>
      </c>
    </row>
    <row r="9">
      <c r="A9" t="inlineStr">
        <is>
          <t>2026-06-16</t>
        </is>
      </c>
      <c r="B9" t="inlineStr">
        <is>
          <t>Avian &amp; Reptile 26</t>
        </is>
      </c>
      <c r="C9" t="inlineStr">
        <is>
          <t>206426061601</t>
        </is>
      </c>
      <c r="D9" t="inlineStr">
        <is>
          <t>ALP</t>
        </is>
      </c>
      <c r="F9" t="n">
        <v>20</v>
      </c>
      <c r="G9" t="n">
        <v>136</v>
      </c>
      <c r="H9" t="n">
        <v>2856</v>
      </c>
      <c r="I9" t="n">
        <v>-2584</v>
      </c>
      <c r="J9" t="n">
        <v>169.91716</v>
      </c>
      <c r="BH9" t="n">
        <v>169.917</v>
      </c>
      <c r="BS9" t="n">
        <v>24.94</v>
      </c>
      <c r="CF9" t="n">
        <v>20</v>
      </c>
      <c r="CG9" t="n">
        <v>456</v>
      </c>
      <c r="CH9" t="n">
        <v>9576</v>
      </c>
      <c r="CI9" t="n">
        <v>-8664</v>
      </c>
      <c r="FF9" t="n">
        <v>20</v>
      </c>
      <c r="FG9" t="n">
        <v>75</v>
      </c>
      <c r="FH9" t="n">
        <v>1575</v>
      </c>
      <c r="FI9" t="n">
        <v>-1425</v>
      </c>
      <c r="FJ9" t="n">
        <v>81.7165</v>
      </c>
      <c r="HH9" t="n">
        <v>81.71599999999999</v>
      </c>
      <c r="HS9" t="n">
        <v>8.960000000000001</v>
      </c>
      <c r="IF9" t="n">
        <v>20</v>
      </c>
      <c r="IG9" t="n">
        <v>251</v>
      </c>
      <c r="IH9" t="n">
        <v>5271</v>
      </c>
      <c r="II9" t="n">
        <v>-4769</v>
      </c>
      <c r="IJ9" t="n">
        <v>261.34543</v>
      </c>
      <c r="KH9" t="n">
        <v>261.345</v>
      </c>
      <c r="KS9" t="n">
        <v>4.12</v>
      </c>
    </row>
    <row r="10">
      <c r="A10" t="inlineStr">
        <is>
          <t>2026-06-16</t>
        </is>
      </c>
      <c r="B10" t="inlineStr">
        <is>
          <t>Avian &amp; Reptile 26</t>
        </is>
      </c>
      <c r="C10" t="inlineStr">
        <is>
          <t>206426061601</t>
        </is>
      </c>
      <c r="D10" t="inlineStr">
        <is>
          <t>BUN</t>
        </is>
      </c>
      <c r="F10" t="n">
        <v>9</v>
      </c>
      <c r="G10" t="n">
        <v>14.8</v>
      </c>
      <c r="H10" t="n">
        <v>148</v>
      </c>
      <c r="I10" t="n">
        <v>-118.4</v>
      </c>
      <c r="J10" t="n">
        <v>15.235612</v>
      </c>
      <c r="BH10" t="n">
        <v>15.236</v>
      </c>
      <c r="BS10" t="n">
        <v>2.94</v>
      </c>
      <c r="CF10" t="n">
        <v>9</v>
      </c>
      <c r="CG10" t="n">
        <v>44.7</v>
      </c>
      <c r="CH10" t="n">
        <v>447</v>
      </c>
      <c r="CI10" t="n">
        <v>-357.6</v>
      </c>
      <c r="FF10" t="n">
        <v>9</v>
      </c>
      <c r="FG10" t="n">
        <v>14.7</v>
      </c>
      <c r="FH10" t="n">
        <v>147</v>
      </c>
      <c r="FI10" t="n">
        <v>-117.6</v>
      </c>
      <c r="FJ10" t="n">
        <v>14.698677</v>
      </c>
      <c r="HH10" t="n">
        <v>14.699</v>
      </c>
      <c r="HS10" t="n">
        <v>-0.01</v>
      </c>
      <c r="IF10" t="n">
        <v>9</v>
      </c>
      <c r="IG10" t="n">
        <v>65.7</v>
      </c>
      <c r="IH10" t="n">
        <v>657</v>
      </c>
      <c r="II10" t="n">
        <v>-525.6</v>
      </c>
      <c r="IJ10" t="n">
        <v>67.14111</v>
      </c>
      <c r="KH10" t="n">
        <v>67.14100000000001</v>
      </c>
      <c r="KS10" t="n">
        <v>2.19</v>
      </c>
    </row>
    <row r="11">
      <c r="A11" t="inlineStr">
        <is>
          <t>2026-06-16</t>
        </is>
      </c>
      <c r="B11" t="inlineStr">
        <is>
          <t>Avian &amp; Reptile 26</t>
        </is>
      </c>
      <c r="C11" t="inlineStr">
        <is>
          <t>206426061601</t>
        </is>
      </c>
      <c r="D11" t="inlineStr">
        <is>
          <t>CHOL</t>
        </is>
      </c>
      <c r="F11" t="n">
        <v>10</v>
      </c>
      <c r="G11" t="n">
        <v>228</v>
      </c>
      <c r="H11" t="n">
        <v>2508</v>
      </c>
      <c r="I11" t="n">
        <v>-2052</v>
      </c>
      <c r="J11" t="n">
        <v>240.20671</v>
      </c>
      <c r="BH11" t="n">
        <v>240.207</v>
      </c>
      <c r="BS11" t="n">
        <v>5.35</v>
      </c>
      <c r="CF11" t="n">
        <v>10</v>
      </c>
      <c r="CG11" t="n">
        <v>99</v>
      </c>
      <c r="CH11" t="n">
        <v>1089</v>
      </c>
      <c r="CI11" t="n">
        <v>-891</v>
      </c>
      <c r="FF11" t="n">
        <v>10</v>
      </c>
      <c r="FG11" t="n">
        <v>115</v>
      </c>
      <c r="FH11" t="n">
        <v>1265</v>
      </c>
      <c r="FI11" t="n">
        <v>-1035</v>
      </c>
      <c r="FJ11" t="n">
        <v>112.77913</v>
      </c>
      <c r="HH11" t="n">
        <v>112.779</v>
      </c>
      <c r="HS11" t="n">
        <v>-1.93</v>
      </c>
      <c r="IF11" t="n">
        <v>10</v>
      </c>
      <c r="IG11" t="n">
        <v>269</v>
      </c>
      <c r="IH11" t="n">
        <v>2959</v>
      </c>
      <c r="II11" t="n">
        <v>-2421</v>
      </c>
      <c r="IJ11" t="n">
        <v>275.91312</v>
      </c>
      <c r="KH11" t="n">
        <v>275.913</v>
      </c>
      <c r="KS11" t="n">
        <v>2.57</v>
      </c>
    </row>
    <row r="12">
      <c r="A12" t="inlineStr">
        <is>
          <t>2026-06-16</t>
        </is>
      </c>
      <c r="B12" t="inlineStr">
        <is>
          <t>Avian &amp; Reptile 26</t>
        </is>
      </c>
      <c r="C12" t="inlineStr">
        <is>
          <t>206426061601</t>
        </is>
      </c>
      <c r="D12" t="inlineStr">
        <is>
          <t>GGT</t>
        </is>
      </c>
      <c r="F12" t="n">
        <v>15</v>
      </c>
      <c r="G12" t="n">
        <v>57</v>
      </c>
      <c r="H12" t="n">
        <v>912</v>
      </c>
      <c r="I12" t="n">
        <v>-798</v>
      </c>
      <c r="J12" t="n">
        <v>57.808983</v>
      </c>
      <c r="BH12" t="n">
        <v>57.809</v>
      </c>
      <c r="BS12" t="n">
        <v>1.42</v>
      </c>
      <c r="CF12" t="n">
        <v>15</v>
      </c>
      <c r="CG12" t="n">
        <v>164</v>
      </c>
      <c r="CH12" t="n">
        <v>2624</v>
      </c>
      <c r="CI12" t="n">
        <v>-2296</v>
      </c>
      <c r="FF12" t="n">
        <v>15</v>
      </c>
      <c r="FG12" t="n">
        <v>23</v>
      </c>
      <c r="FH12" t="n">
        <v>368</v>
      </c>
      <c r="FI12" t="n">
        <v>-322</v>
      </c>
      <c r="FJ12" t="n">
        <v>21.769688</v>
      </c>
      <c r="HH12" t="n">
        <v>21.77</v>
      </c>
      <c r="HS12" t="n">
        <v>-5.35</v>
      </c>
      <c r="IF12" t="n">
        <v>15</v>
      </c>
      <c r="IG12" t="n">
        <v>126</v>
      </c>
      <c r="IH12" t="n">
        <v>2016</v>
      </c>
      <c r="II12" t="n">
        <v>-1764</v>
      </c>
      <c r="IJ12" t="n">
        <v>129.77599</v>
      </c>
      <c r="KH12" t="n">
        <v>129.776</v>
      </c>
      <c r="KS12" t="n">
        <v>3</v>
      </c>
    </row>
    <row r="13">
      <c r="A13" t="inlineStr">
        <is>
          <t>2026-06-16</t>
        </is>
      </c>
      <c r="B13" t="inlineStr">
        <is>
          <t>Avian &amp; Reptile 26</t>
        </is>
      </c>
      <c r="C13" t="inlineStr">
        <is>
          <t>206426061601</t>
        </is>
      </c>
      <c r="D13" t="inlineStr">
        <is>
          <t>K</t>
        </is>
      </c>
      <c r="G13" t="n">
        <v>3.9</v>
      </c>
      <c r="J13" t="n">
        <v>4.612481</v>
      </c>
      <c r="BH13" t="n">
        <v>4.612</v>
      </c>
      <c r="BS13" t="n">
        <v>18.27</v>
      </c>
      <c r="CG13" t="n">
        <v>6</v>
      </c>
      <c r="FG13" t="n">
        <v>2.2</v>
      </c>
      <c r="FJ13" t="n">
        <v>2.7713397</v>
      </c>
      <c r="HH13" t="n">
        <v>2.771</v>
      </c>
      <c r="HS13" t="n">
        <v>25.97</v>
      </c>
      <c r="IG13" t="n">
        <v>8.4</v>
      </c>
      <c r="IJ13" t="n">
        <v>9.634709000000001</v>
      </c>
      <c r="KH13" t="n">
        <v>9.635</v>
      </c>
      <c r="KS13" t="n">
        <v>14.7</v>
      </c>
    </row>
    <row r="14">
      <c r="A14" t="inlineStr">
        <is>
          <t>2026-06-16</t>
        </is>
      </c>
      <c r="B14" t="inlineStr">
        <is>
          <t>Avian &amp; Reptile 26</t>
        </is>
      </c>
      <c r="C14" t="inlineStr">
        <is>
          <t>206426061601</t>
        </is>
      </c>
      <c r="D14" t="inlineStr">
        <is>
          <t>LDH</t>
        </is>
      </c>
      <c r="F14" t="n">
        <v>15</v>
      </c>
      <c r="J14" t="n">
        <v>339.33325</v>
      </c>
      <c r="BH14" t="n">
        <v>339.333</v>
      </c>
      <c r="CF14" t="n">
        <v>15</v>
      </c>
      <c r="FF14" t="n">
        <v>15</v>
      </c>
      <c r="FJ14" t="n">
        <v>190.89124</v>
      </c>
      <c r="HH14" t="n">
        <v>190.891</v>
      </c>
      <c r="IF14" t="n">
        <v>15</v>
      </c>
      <c r="IJ14" t="n">
        <v>834.27167</v>
      </c>
      <c r="KH14" t="n">
        <v>834.272</v>
      </c>
    </row>
    <row r="15">
      <c r="A15" t="inlineStr">
        <is>
          <t>2026-06-16</t>
        </is>
      </c>
      <c r="B15" t="inlineStr">
        <is>
          <t>Avian &amp; Reptile 26</t>
        </is>
      </c>
      <c r="C15" t="inlineStr">
        <is>
          <t>206426061601</t>
        </is>
      </c>
      <c r="D15" t="inlineStr">
        <is>
          <t>Na</t>
        </is>
      </c>
      <c r="G15" t="n">
        <v>141</v>
      </c>
      <c r="J15" t="n">
        <v>119.10944</v>
      </c>
      <c r="BH15" t="n">
        <v>119.109</v>
      </c>
      <c r="BS15" t="n">
        <v>-15.53</v>
      </c>
      <c r="CG15" t="n">
        <v>129</v>
      </c>
      <c r="FG15" t="n">
        <v>118</v>
      </c>
      <c r="FJ15" t="n">
        <v>99.53466</v>
      </c>
      <c r="HH15" t="n">
        <v>99.535</v>
      </c>
      <c r="HS15" t="n">
        <v>-15.65</v>
      </c>
      <c r="IG15" t="n">
        <v>166</v>
      </c>
      <c r="IJ15" t="n">
        <v>127.14255</v>
      </c>
      <c r="KH15" t="n">
        <v>127.143</v>
      </c>
      <c r="KS15" t="n">
        <v>-23.41</v>
      </c>
    </row>
    <row r="16">
      <c r="A16" t="inlineStr">
        <is>
          <t>2026-06-16</t>
        </is>
      </c>
      <c r="B16" t="inlineStr">
        <is>
          <t>Critical Care 26</t>
        </is>
      </c>
      <c r="C16" t="inlineStr">
        <is>
          <t>205826061602</t>
        </is>
      </c>
      <c r="D16" t="inlineStr">
        <is>
          <t>CK</t>
        </is>
      </c>
      <c r="F16" t="n">
        <v>20</v>
      </c>
      <c r="J16" t="n">
        <v>138.5219786772101</v>
      </c>
      <c r="K16" t="n">
        <v>138.0141903717341</v>
      </c>
      <c r="L16" t="n">
        <v>133.2181747285568</v>
      </c>
      <c r="M16" t="n">
        <v>128.7321198436251</v>
      </c>
      <c r="N16" t="n">
        <v>132.0409807637697</v>
      </c>
      <c r="O16" t="n">
        <v>132.3733034507451</v>
      </c>
      <c r="BH16" t="n">
        <v>133.817</v>
      </c>
      <c r="CD16" t="n">
        <v>2.57</v>
      </c>
      <c r="CF16" t="n">
        <v>20</v>
      </c>
      <c r="CJ16" t="n">
        <v>484.6677749116968</v>
      </c>
      <c r="CK16" t="n">
        <v>489.8277409935682</v>
      </c>
      <c r="CL16" t="n">
        <v>483.1834292713874</v>
      </c>
      <c r="CM16" t="n">
        <v>472.7301679024058</v>
      </c>
      <c r="CN16" t="n">
        <v>478.7872580588675</v>
      </c>
      <c r="CO16" t="n">
        <v>481.5266664344394</v>
      </c>
      <c r="EH16" t="n">
        <v>481.787</v>
      </c>
      <c r="FD16" t="n">
        <v>1.09</v>
      </c>
      <c r="FF16" t="n">
        <v>20</v>
      </c>
      <c r="FJ16" t="n">
        <v>72.34053837980906</v>
      </c>
      <c r="FK16" t="n">
        <v>71.67065251095758</v>
      </c>
      <c r="FL16" t="n">
        <v>70.38900222745333</v>
      </c>
      <c r="FM16" t="n">
        <v>77.4710805615526</v>
      </c>
      <c r="FN16" t="n">
        <v>70.1537050371942</v>
      </c>
      <c r="FO16" t="n">
        <v>73.06401061672126</v>
      </c>
      <c r="FP16" t="n">
        <v>69.72695976645301</v>
      </c>
      <c r="HH16" t="n">
        <v>72.117</v>
      </c>
      <c r="ID16" t="n">
        <v>3.41</v>
      </c>
      <c r="IF16" t="n">
        <v>20</v>
      </c>
      <c r="IJ16" t="n">
        <v>598.389894558556</v>
      </c>
      <c r="IK16" t="n">
        <v>611.508786568485</v>
      </c>
      <c r="IL16" t="n">
        <v>567.5842748759779</v>
      </c>
      <c r="IM16" t="n">
        <v>614.1143823687898</v>
      </c>
      <c r="IN16" t="n">
        <v>602.0955258143415</v>
      </c>
      <c r="IO16" t="n">
        <v>599.6702149140416</v>
      </c>
      <c r="IP16" t="n">
        <v>609.5898162823946</v>
      </c>
      <c r="KH16" t="n">
        <v>600.422</v>
      </c>
      <c r="LD16" t="n">
        <v>2.42</v>
      </c>
    </row>
    <row r="17">
      <c r="A17" t="inlineStr">
        <is>
          <t>2026-06-16</t>
        </is>
      </c>
      <c r="B17" t="inlineStr">
        <is>
          <t>Critical Care 26</t>
        </is>
      </c>
      <c r="C17" t="inlineStr">
        <is>
          <t>205826061602</t>
        </is>
      </c>
      <c r="D17" t="inlineStr">
        <is>
          <t>Ca</t>
        </is>
      </c>
      <c r="G17" t="n">
        <v>9.1</v>
      </c>
      <c r="J17" t="n">
        <v>9.200309766411969</v>
      </c>
      <c r="K17" t="n">
        <v>8.911491836147043</v>
      </c>
      <c r="L17" t="n">
        <v>8.840886779294454</v>
      </c>
      <c r="M17" t="n">
        <v>8.708237592783959</v>
      </c>
      <c r="N17" t="n">
        <v>8.964871133392304</v>
      </c>
      <c r="O17" t="n">
        <v>9.072410447927396</v>
      </c>
      <c r="BH17" t="n">
        <v>8.949999999999999</v>
      </c>
      <c r="BS17" t="n">
        <v>-1.65</v>
      </c>
      <c r="CD17" t="n">
        <v>1.76</v>
      </c>
      <c r="CG17" t="n">
        <v>12.4</v>
      </c>
      <c r="CJ17" t="n">
        <v>11.77990681538482</v>
      </c>
      <c r="CK17" t="n">
        <v>11.33597242757009</v>
      </c>
      <c r="CL17" t="n">
        <v>11.40405476904566</v>
      </c>
      <c r="CM17" t="n">
        <v>12.12161236333132</v>
      </c>
      <c r="CN17" t="n">
        <v>11.74458910188516</v>
      </c>
      <c r="CO17" t="n">
        <v>11.58809729936466</v>
      </c>
      <c r="EH17" t="n">
        <v>11.662</v>
      </c>
      <c r="ES17" t="n">
        <v>-5.95</v>
      </c>
      <c r="FD17" t="n">
        <v>2.24</v>
      </c>
      <c r="FG17" t="n">
        <v>5.9</v>
      </c>
      <c r="FJ17" t="n">
        <v>5.423424603524906</v>
      </c>
      <c r="FK17" t="n">
        <v>5.582944484455676</v>
      </c>
      <c r="FL17" t="n">
        <v>5.598200874861075</v>
      </c>
      <c r="FM17" t="n">
        <v>5.474398766694898</v>
      </c>
      <c r="FN17" t="n">
        <v>5.56207704935409</v>
      </c>
      <c r="FO17" t="n">
        <v>5.349782691212339</v>
      </c>
      <c r="FP17" t="n">
        <v>5.513940466301453</v>
      </c>
      <c r="HH17" t="n">
        <v>5.501</v>
      </c>
      <c r="HS17" t="n">
        <v>-6.77</v>
      </c>
      <c r="ID17" t="n">
        <v>1.53</v>
      </c>
      <c r="IG17" t="n">
        <v>12.7</v>
      </c>
      <c r="IJ17" t="n">
        <v>11.48783877995431</v>
      </c>
      <c r="IK17" t="n">
        <v>11.55302115703425</v>
      </c>
      <c r="IL17" t="n">
        <v>11.56054224690993</v>
      </c>
      <c r="IM17" t="n">
        <v>11.60660242818122</v>
      </c>
      <c r="IN17" t="n">
        <v>11.54714929549894</v>
      </c>
      <c r="IO17" t="n">
        <v>11.67721822322805</v>
      </c>
      <c r="IP17" t="n">
        <v>11.44854288960851</v>
      </c>
      <c r="KH17" t="n">
        <v>11.554</v>
      </c>
      <c r="KS17" t="n">
        <v>-9.02</v>
      </c>
      <c r="LD17" t="n">
        <v>0.6</v>
      </c>
    </row>
    <row r="18">
      <c r="A18" t="inlineStr">
        <is>
          <t>2026-06-16</t>
        </is>
      </c>
      <c r="B18" t="inlineStr">
        <is>
          <t>Critical Care 26</t>
        </is>
      </c>
      <c r="C18" t="inlineStr">
        <is>
          <t>205826061602</t>
        </is>
      </c>
      <c r="D18" t="inlineStr">
        <is>
          <t>Cl</t>
        </is>
      </c>
      <c r="F18" t="n">
        <v>5</v>
      </c>
      <c r="G18" t="n">
        <v>90</v>
      </c>
      <c r="H18" t="n">
        <v>540</v>
      </c>
      <c r="I18" t="n">
        <v>-360</v>
      </c>
      <c r="J18" t="n">
        <v>90.65751412888093</v>
      </c>
      <c r="K18" t="n">
        <v>93.00601462356443</v>
      </c>
      <c r="L18" t="n">
        <v>89.11634999120069</v>
      </c>
      <c r="M18" t="n">
        <v>87.83282439541927</v>
      </c>
      <c r="N18" t="n">
        <v>89.32072651720947</v>
      </c>
      <c r="O18" t="n">
        <v>89.50333100702719</v>
      </c>
      <c r="BH18" t="n">
        <v>89.90600000000001</v>
      </c>
      <c r="BS18" t="n">
        <v>-0.1</v>
      </c>
      <c r="CD18" t="n">
        <v>1.79</v>
      </c>
      <c r="CF18" t="n">
        <v>5</v>
      </c>
      <c r="CG18" t="n">
        <v>91</v>
      </c>
      <c r="CH18" t="n">
        <v>546</v>
      </c>
      <c r="CI18" t="n">
        <v>-364</v>
      </c>
      <c r="CJ18" t="n">
        <v>85.06509242976982</v>
      </c>
      <c r="CK18" t="n">
        <v>84.20097740473172</v>
      </c>
      <c r="CL18" t="n">
        <v>84.18751718076233</v>
      </c>
      <c r="CM18" t="n">
        <v>85.72591670103303</v>
      </c>
      <c r="CN18" t="n">
        <v>82.89976574328968</v>
      </c>
      <c r="CO18" t="n">
        <v>83.81856666804096</v>
      </c>
      <c r="EH18" t="n">
        <v>84.316</v>
      </c>
      <c r="ES18" t="n">
        <v>-7.34</v>
      </c>
      <c r="FD18" t="n">
        <v>1.06</v>
      </c>
      <c r="FF18" t="n">
        <v>5</v>
      </c>
      <c r="FG18" t="n">
        <v>77</v>
      </c>
      <c r="FH18" t="n">
        <v>462</v>
      </c>
      <c r="FI18" t="n">
        <v>-308</v>
      </c>
      <c r="FJ18" t="n">
        <v>78.36692430536181</v>
      </c>
      <c r="FK18" t="n">
        <v>73.50695405144114</v>
      </c>
      <c r="FL18" t="n">
        <v>74.69167479549081</v>
      </c>
      <c r="FM18" t="n">
        <v>74.97957957329308</v>
      </c>
      <c r="FN18" t="n">
        <v>75.50757774286848</v>
      </c>
      <c r="FO18" t="n">
        <v>73.2090759295892</v>
      </c>
      <c r="FP18" t="n">
        <v>75.7356928788371</v>
      </c>
      <c r="HH18" t="n">
        <v>75.142</v>
      </c>
      <c r="HS18" t="n">
        <v>-2.41</v>
      </c>
      <c r="ID18" t="n">
        <v>2.11</v>
      </c>
      <c r="IF18" t="n">
        <v>5</v>
      </c>
      <c r="IG18" t="n">
        <v>118</v>
      </c>
      <c r="IH18" t="n">
        <v>708</v>
      </c>
      <c r="II18" t="n">
        <v>-472</v>
      </c>
      <c r="IJ18" t="n">
        <v>111.1943289655012</v>
      </c>
      <c r="IK18" t="n">
        <v>113.2905234158871</v>
      </c>
      <c r="IL18" t="n">
        <v>112.3833351434342</v>
      </c>
      <c r="IM18" t="n">
        <v>111.2987948313279</v>
      </c>
      <c r="IN18" t="n">
        <v>113.2214378924558</v>
      </c>
      <c r="IO18" t="n">
        <v>113.537484802601</v>
      </c>
      <c r="IP18" t="n">
        <v>113.4749204405871</v>
      </c>
      <c r="KH18" t="n">
        <v>112.629</v>
      </c>
      <c r="KS18" t="n">
        <v>-4.55</v>
      </c>
      <c r="LD18" t="n">
        <v>0.84</v>
      </c>
    </row>
    <row r="19">
      <c r="A19" t="inlineStr">
        <is>
          <t>2026-06-16</t>
        </is>
      </c>
      <c r="B19" t="inlineStr">
        <is>
          <t>Critical Care 26</t>
        </is>
      </c>
      <c r="C19" t="inlineStr">
        <is>
          <t>205826061602</t>
        </is>
      </c>
      <c r="D19" t="inlineStr">
        <is>
          <t>K</t>
        </is>
      </c>
      <c r="G19" t="n">
        <v>3.9</v>
      </c>
      <c r="J19" t="n">
        <v>3.37518176288675</v>
      </c>
      <c r="K19" t="n">
        <v>3.714195813562973</v>
      </c>
      <c r="L19" t="n">
        <v>3.545719114880351</v>
      </c>
      <c r="M19" t="n">
        <v>3.437883144948632</v>
      </c>
      <c r="N19" t="n">
        <v>3.653166360159119</v>
      </c>
      <c r="O19" t="n">
        <v>3.483625115410835</v>
      </c>
      <c r="BH19" t="n">
        <v>3.535</v>
      </c>
      <c r="BS19" t="n">
        <v>-9.359999999999999</v>
      </c>
      <c r="CD19" t="n">
        <v>3.34</v>
      </c>
      <c r="CG19" t="n">
        <v>6</v>
      </c>
      <c r="CJ19" t="n">
        <v>5.907381447248309</v>
      </c>
      <c r="CK19" t="n">
        <v>6.19532149575847</v>
      </c>
      <c r="CL19" t="n">
        <v>6.052274343544914</v>
      </c>
      <c r="CM19" t="n">
        <v>6.020797077687871</v>
      </c>
      <c r="CN19" t="n">
        <v>5.966672769091655</v>
      </c>
      <c r="CO19" t="n">
        <v>5.993860361275698</v>
      </c>
      <c r="EH19" t="n">
        <v>6.023</v>
      </c>
      <c r="ES19" t="n">
        <v>0.38</v>
      </c>
      <c r="FD19" t="n">
        <v>1.48</v>
      </c>
      <c r="FG19" t="n">
        <v>2.2</v>
      </c>
      <c r="FJ19" t="n">
        <v>2.360860871453669</v>
      </c>
      <c r="FK19" t="n">
        <v>2.02786075084544</v>
      </c>
      <c r="FL19" t="n">
        <v>2.111844711669138</v>
      </c>
      <c r="FM19" t="n">
        <v>2.202504374237258</v>
      </c>
      <c r="FN19" t="n">
        <v>2.129240767790174</v>
      </c>
      <c r="FO19" t="n">
        <v>2.05177839875587</v>
      </c>
      <c r="FP19" t="n">
        <v>2.100793718860007</v>
      </c>
      <c r="HH19" t="n">
        <v>2.141</v>
      </c>
      <c r="HS19" t="n">
        <v>-2.7</v>
      </c>
      <c r="ID19" t="n">
        <v>4.85</v>
      </c>
      <c r="IG19" t="n">
        <v>8.4</v>
      </c>
      <c r="IJ19" t="n">
        <v>8.240506764797463</v>
      </c>
      <c r="IK19" t="n">
        <v>8.272687988169819</v>
      </c>
      <c r="IL19" t="n">
        <v>8.282089805188113</v>
      </c>
      <c r="IM19" t="n">
        <v>8.192200337404662</v>
      </c>
      <c r="IN19" t="n">
        <v>7.931181923679276</v>
      </c>
      <c r="IO19" t="n">
        <v>8.011326770375042</v>
      </c>
      <c r="IP19" t="n">
        <v>7.874856529334567</v>
      </c>
      <c r="KH19" t="n">
        <v>8.115</v>
      </c>
      <c r="KS19" t="n">
        <v>-3.39</v>
      </c>
      <c r="LD19" t="n">
        <v>1.96</v>
      </c>
    </row>
    <row r="20">
      <c r="A20" t="inlineStr">
        <is>
          <t>2026-06-16</t>
        </is>
      </c>
      <c r="B20" t="inlineStr">
        <is>
          <t>Critical Care 26</t>
        </is>
      </c>
      <c r="C20" t="inlineStr">
        <is>
          <t>205826061602</t>
        </is>
      </c>
      <c r="D20" t="inlineStr">
        <is>
          <t>LAC</t>
        </is>
      </c>
      <c r="F20" t="n">
        <v>15</v>
      </c>
      <c r="G20" t="n">
        <v>4.399999999999999</v>
      </c>
      <c r="H20" t="n">
        <v>70.39999999999999</v>
      </c>
      <c r="I20" t="n">
        <v>-61.59999999999999</v>
      </c>
      <c r="J20" t="n">
        <v>4.262727455646953</v>
      </c>
      <c r="K20" t="n">
        <v>3.993363091335354</v>
      </c>
      <c r="L20" t="n">
        <v>3.988053509501616</v>
      </c>
      <c r="M20" t="n">
        <v>3.891431130129691</v>
      </c>
      <c r="N20" t="n">
        <v>3.69940144000006</v>
      </c>
      <c r="O20" t="n">
        <v>4.102331667064596</v>
      </c>
      <c r="BH20" t="n">
        <v>3.99</v>
      </c>
      <c r="BS20" t="n">
        <v>-9.33</v>
      </c>
      <c r="CD20" t="n">
        <v>4.36</v>
      </c>
      <c r="CF20" t="n">
        <v>15</v>
      </c>
      <c r="CG20" t="n">
        <v>1.15</v>
      </c>
      <c r="CH20" t="n">
        <v>18.4</v>
      </c>
      <c r="CI20" t="n">
        <v>-16.1</v>
      </c>
      <c r="CJ20" t="n">
        <v>1.010690561280764</v>
      </c>
      <c r="CK20" t="n">
        <v>1.005220208056598</v>
      </c>
      <c r="CL20" t="n">
        <v>0.9880112087406856</v>
      </c>
      <c r="CM20" t="n">
        <v>0.9972234952483696</v>
      </c>
      <c r="CN20" t="n">
        <v>0.9962962210917972</v>
      </c>
      <c r="CO20" t="n">
        <v>1.031042565188183</v>
      </c>
      <c r="EH20" t="n">
        <v>1.005</v>
      </c>
      <c r="ES20" t="n">
        <v>-12.63</v>
      </c>
      <c r="FD20" t="n">
        <v>1.37</v>
      </c>
      <c r="FF20" t="n">
        <v>15</v>
      </c>
      <c r="FG20" t="n">
        <v>1.45</v>
      </c>
      <c r="FH20" t="n">
        <v>23.2</v>
      </c>
      <c r="FI20" t="n">
        <v>-20.3</v>
      </c>
      <c r="FJ20" t="n">
        <v>1.331328250304844</v>
      </c>
      <c r="FK20" t="n">
        <v>1.335343285896124</v>
      </c>
      <c r="FL20" t="n">
        <v>1.313861805807379</v>
      </c>
      <c r="FM20" t="n">
        <v>1.289677488529255</v>
      </c>
      <c r="FN20" t="n">
        <v>1.299827716066026</v>
      </c>
      <c r="FO20" t="n">
        <v>1.252604431662162</v>
      </c>
      <c r="FP20" t="n">
        <v>1.324948325227068</v>
      </c>
      <c r="HH20" t="n">
        <v>1.307</v>
      </c>
      <c r="HS20" t="n">
        <v>-9.880000000000001</v>
      </c>
      <c r="ID20" t="n">
        <v>2.06</v>
      </c>
      <c r="IF20" t="n">
        <v>15</v>
      </c>
      <c r="IG20" t="n">
        <v>5.899999999999999</v>
      </c>
      <c r="IH20" t="n">
        <v>94.39999999999999</v>
      </c>
      <c r="II20" t="n">
        <v>-82.59999999999999</v>
      </c>
      <c r="IJ20" t="n">
        <v>5.251496798324491</v>
      </c>
      <c r="IK20" t="n">
        <v>5.325142329495084</v>
      </c>
      <c r="IL20" t="n">
        <v>5.249713573238446</v>
      </c>
      <c r="IM20" t="n">
        <v>5.1264034686196</v>
      </c>
      <c r="IN20" t="n">
        <v>4.83087680932066</v>
      </c>
      <c r="IO20" t="n">
        <v>5.083226678405842</v>
      </c>
      <c r="IP20" t="n">
        <v>4.916461219132015</v>
      </c>
      <c r="KH20" t="n">
        <v>5.112</v>
      </c>
      <c r="KS20" t="n">
        <v>-13.36</v>
      </c>
      <c r="LD20" t="n">
        <v>3.32</v>
      </c>
    </row>
    <row r="21">
      <c r="A21" t="inlineStr">
        <is>
          <t>2026-06-16</t>
        </is>
      </c>
      <c r="B21" t="inlineStr">
        <is>
          <t>Critical Care 26</t>
        </is>
      </c>
      <c r="C21" t="inlineStr">
        <is>
          <t>205826061602</t>
        </is>
      </c>
      <c r="D21" t="inlineStr">
        <is>
          <t>Na</t>
        </is>
      </c>
      <c r="G21" t="n">
        <v>141</v>
      </c>
      <c r="J21" t="n">
        <v>145.6820320443292</v>
      </c>
      <c r="K21" t="n">
        <v>147.4560174260438</v>
      </c>
      <c r="L21" t="n">
        <v>145.0324039537118</v>
      </c>
      <c r="M21" t="n">
        <v>142.8469675382841</v>
      </c>
      <c r="N21" t="n">
        <v>143.596177283793</v>
      </c>
      <c r="O21" t="n">
        <v>144.7362083807013</v>
      </c>
      <c r="BH21" t="n">
        <v>144.892</v>
      </c>
      <c r="BS21" t="n">
        <v>2.76</v>
      </c>
      <c r="CD21" t="n">
        <v>1.02</v>
      </c>
      <c r="CG21" t="n">
        <v>129</v>
      </c>
      <c r="CJ21" t="n">
        <v>137.1953797659204</v>
      </c>
      <c r="CK21" t="n">
        <v>138.9529314701799</v>
      </c>
      <c r="CL21" t="n">
        <v>134.3431884901655</v>
      </c>
      <c r="CM21" t="n">
        <v>133.960273280109</v>
      </c>
      <c r="CN21" t="n">
        <v>132.0489025126828</v>
      </c>
      <c r="CO21" t="n">
        <v>136.4819994332121</v>
      </c>
      <c r="EH21" t="n">
        <v>135.497</v>
      </c>
      <c r="ES21" t="n">
        <v>5.04</v>
      </c>
      <c r="FD21" t="n">
        <v>1.69</v>
      </c>
      <c r="FG21" t="n">
        <v>118</v>
      </c>
      <c r="FJ21" t="n">
        <v>125.5682628071688</v>
      </c>
      <c r="FK21" t="n">
        <v>123.490758887189</v>
      </c>
      <c r="FL21" t="n">
        <v>124.1166415725374</v>
      </c>
      <c r="FM21" t="n">
        <v>121.8356618053639</v>
      </c>
      <c r="FN21" t="n">
        <v>121.9009064166869</v>
      </c>
      <c r="FO21" t="n">
        <v>120.1758236748205</v>
      </c>
      <c r="FP21" t="n">
        <v>120.9702242632665</v>
      </c>
      <c r="HH21" t="n">
        <v>122.58</v>
      </c>
      <c r="HS21" t="n">
        <v>3.88</v>
      </c>
      <c r="ID21" t="n">
        <v>1.43</v>
      </c>
      <c r="IG21" t="n">
        <v>166</v>
      </c>
      <c r="IJ21" t="n">
        <v>160.6772818342233</v>
      </c>
      <c r="IK21" t="n">
        <v>160.6100492305943</v>
      </c>
      <c r="IL21" t="n">
        <v>163.2729809848211</v>
      </c>
      <c r="IM21" t="n">
        <v>160.9006262836559</v>
      </c>
      <c r="IN21" t="n">
        <v>160.5382561071477</v>
      </c>
      <c r="IO21" t="n">
        <v>159.7112722623704</v>
      </c>
      <c r="IP21" t="n">
        <v>158.9801081307317</v>
      </c>
      <c r="KH21" t="n">
        <v>160.67</v>
      </c>
      <c r="KS21" t="n">
        <v>-3.21</v>
      </c>
      <c r="LD21" t="n">
        <v>0.77</v>
      </c>
    </row>
    <row r="22">
      <c r="A22" t="inlineStr">
        <is>
          <t>2026-06-16</t>
        </is>
      </c>
      <c r="B22" t="inlineStr">
        <is>
          <t>Critical Care 26</t>
        </is>
      </c>
      <c r="C22" t="inlineStr">
        <is>
          <t>205826061602</t>
        </is>
      </c>
      <c r="D22" t="inlineStr">
        <is>
          <t>TCO2</t>
        </is>
      </c>
      <c r="F22" t="n">
        <v>20</v>
      </c>
      <c r="G22" t="n">
        <v>32.5</v>
      </c>
      <c r="H22" t="n">
        <v>682.5</v>
      </c>
      <c r="I22" t="n">
        <v>-617.5</v>
      </c>
      <c r="J22" t="n">
        <v>33.30406591706184</v>
      </c>
      <c r="K22" t="n">
        <v>34.25848899099324</v>
      </c>
      <c r="L22" t="n">
        <v>30.68956384112172</v>
      </c>
      <c r="M22" t="n">
        <v>33.68683322878014</v>
      </c>
      <c r="N22" t="n">
        <v>32.51257273292037</v>
      </c>
      <c r="O22" t="n">
        <v>33.059845506751</v>
      </c>
      <c r="BH22" t="n">
        <v>32.919</v>
      </c>
      <c r="BS22" t="n">
        <v>1.29</v>
      </c>
      <c r="CD22" t="n">
        <v>3.44</v>
      </c>
      <c r="CF22" t="n">
        <v>20</v>
      </c>
      <c r="CG22" t="n">
        <v>21.2</v>
      </c>
      <c r="CH22" t="n">
        <v>445.2</v>
      </c>
      <c r="CI22" t="n">
        <v>-402.8</v>
      </c>
      <c r="CJ22" t="n">
        <v>21.94561535019578</v>
      </c>
      <c r="CK22" t="n">
        <v>24.19189404743895</v>
      </c>
      <c r="CL22" t="n">
        <v>22.1918484329499</v>
      </c>
      <c r="CM22" t="n">
        <v>20.91944642904225</v>
      </c>
      <c r="CN22" t="n">
        <v>19.94892250645195</v>
      </c>
      <c r="CO22" t="n">
        <v>22.39491831973676</v>
      </c>
      <c r="EH22" t="n">
        <v>21.932</v>
      </c>
      <c r="ES22" t="n">
        <v>3.45</v>
      </c>
      <c r="FD22" t="n">
        <v>5.99</v>
      </c>
      <c r="FF22" t="n">
        <v>20</v>
      </c>
      <c r="FG22" t="n">
        <v>17.3</v>
      </c>
      <c r="FH22" t="n">
        <v>363.3</v>
      </c>
      <c r="FI22" t="n">
        <v>-328.7</v>
      </c>
      <c r="FJ22" t="n">
        <v>23.93671698579495</v>
      </c>
      <c r="FK22" t="n">
        <v>20.27085507854713</v>
      </c>
      <c r="FL22" t="n">
        <v>19.42740258040251</v>
      </c>
      <c r="FM22" t="n">
        <v>20.79929707682473</v>
      </c>
      <c r="FN22" t="n">
        <v>19.57826676370572</v>
      </c>
      <c r="FO22" t="n">
        <v>20.93283497478268</v>
      </c>
      <c r="FP22" t="n">
        <v>20.47823686014109</v>
      </c>
      <c r="HH22" t="n">
        <v>20.775</v>
      </c>
      <c r="HS22" t="n">
        <v>20.09</v>
      </c>
      <c r="ID22" t="n">
        <v>6.71</v>
      </c>
      <c r="IF22" t="n">
        <v>20</v>
      </c>
      <c r="IG22" t="n">
        <v>26.7</v>
      </c>
      <c r="IH22" t="n">
        <v>560.6999999999999</v>
      </c>
      <c r="II22" t="n">
        <v>-507.3</v>
      </c>
      <c r="IJ22" t="n">
        <v>27.2938434503496</v>
      </c>
      <c r="IK22" t="n">
        <v>28.30059549787979</v>
      </c>
      <c r="IL22" t="n">
        <v>27.16424542556566</v>
      </c>
      <c r="IM22" t="n">
        <v>29.36800818080145</v>
      </c>
      <c r="IN22" t="n">
        <v>28.89166757142353</v>
      </c>
      <c r="IO22" t="n">
        <v>28.08885914027226</v>
      </c>
      <c r="IP22" t="n">
        <v>30.14344521435784</v>
      </c>
      <c r="KH22" t="n">
        <v>28.464</v>
      </c>
      <c r="KS22" t="n">
        <v>6.61</v>
      </c>
      <c r="LD22" t="n">
        <v>3.52</v>
      </c>
    </row>
    <row r="23">
      <c r="A23" t="inlineStr">
        <is>
          <t>2026-06-16</t>
        </is>
      </c>
      <c r="B23" t="inlineStr">
        <is>
          <t>Avian &amp; Reptile 26</t>
        </is>
      </c>
      <c r="C23" t="inlineStr">
        <is>
          <t>106326061601</t>
        </is>
      </c>
      <c r="D23" t="inlineStr">
        <is>
          <t>ALB</t>
        </is>
      </c>
      <c r="F23" t="n">
        <v>8</v>
      </c>
      <c r="G23" t="n">
        <v>4.2</v>
      </c>
      <c r="H23" t="n">
        <v>37.8</v>
      </c>
      <c r="I23" t="n">
        <v>-29.4</v>
      </c>
      <c r="J23" t="n">
        <v>4.287599</v>
      </c>
      <c r="BH23" t="n">
        <v>4.288</v>
      </c>
      <c r="BS23" t="n">
        <v>2.09</v>
      </c>
      <c r="CF23" t="n">
        <v>8</v>
      </c>
      <c r="CG23" t="n">
        <v>2.7</v>
      </c>
      <c r="CH23" t="n">
        <v>24.3</v>
      </c>
      <c r="CI23" t="n">
        <v>-18.9</v>
      </c>
      <c r="FF23" t="n">
        <v>8</v>
      </c>
      <c r="FG23" t="n">
        <v>2.6</v>
      </c>
      <c r="FH23" t="n">
        <v>23.4</v>
      </c>
      <c r="FI23" t="n">
        <v>-18.2</v>
      </c>
      <c r="FJ23" t="n">
        <v>2.6617563</v>
      </c>
      <c r="HH23" t="n">
        <v>2.662</v>
      </c>
      <c r="HS23" t="n">
        <v>2.38</v>
      </c>
      <c r="IF23" t="n">
        <v>8</v>
      </c>
      <c r="IG23" t="n">
        <v>4.2</v>
      </c>
      <c r="IH23" t="n">
        <v>37.8</v>
      </c>
      <c r="II23" t="n">
        <v>-29.4</v>
      </c>
      <c r="IJ23" t="n">
        <v>4.2249794</v>
      </c>
      <c r="KH23" t="n">
        <v>4.225</v>
      </c>
      <c r="KS23" t="n">
        <v>0.59</v>
      </c>
    </row>
    <row r="24">
      <c r="A24" t="inlineStr">
        <is>
          <t>2026-06-16</t>
        </is>
      </c>
      <c r="B24" t="inlineStr">
        <is>
          <t>Avian &amp; Reptile 26</t>
        </is>
      </c>
      <c r="C24" t="inlineStr">
        <is>
          <t>106326061601</t>
        </is>
      </c>
      <c r="D24" t="inlineStr">
        <is>
          <t>AST</t>
        </is>
      </c>
      <c r="F24" t="n">
        <v>15</v>
      </c>
      <c r="G24" t="n">
        <v>44</v>
      </c>
      <c r="H24" t="n">
        <v>704</v>
      </c>
      <c r="I24" t="n">
        <v>-616</v>
      </c>
      <c r="J24" t="n">
        <v>44.524937</v>
      </c>
      <c r="BH24" t="n">
        <v>44.525</v>
      </c>
      <c r="BS24" t="n">
        <v>1.19</v>
      </c>
      <c r="CF24" t="n">
        <v>15</v>
      </c>
      <c r="CG24" t="n">
        <v>221</v>
      </c>
      <c r="CH24" t="n">
        <v>3536</v>
      </c>
      <c r="CI24" t="n">
        <v>-3094</v>
      </c>
      <c r="FF24" t="n">
        <v>15</v>
      </c>
      <c r="FG24" t="n">
        <v>45</v>
      </c>
      <c r="FH24" t="n">
        <v>720</v>
      </c>
      <c r="FI24" t="n">
        <v>-630</v>
      </c>
      <c r="FJ24" t="n">
        <v>42.7917</v>
      </c>
      <c r="HH24" t="n">
        <v>42.792</v>
      </c>
      <c r="HS24" t="n">
        <v>-4.91</v>
      </c>
      <c r="IF24" t="n">
        <v>15</v>
      </c>
      <c r="IG24" t="n">
        <v>282</v>
      </c>
      <c r="IH24" t="n">
        <v>4512</v>
      </c>
      <c r="II24" t="n">
        <v>-3948</v>
      </c>
      <c r="IJ24" t="n">
        <v>282.8405</v>
      </c>
      <c r="KH24" t="n">
        <v>282.841</v>
      </c>
      <c r="KS24" t="n">
        <v>0.3</v>
      </c>
    </row>
    <row r="25">
      <c r="A25" t="inlineStr">
        <is>
          <t>2026-06-16</t>
        </is>
      </c>
      <c r="B25" t="inlineStr">
        <is>
          <t>Avian &amp; Reptile 26</t>
        </is>
      </c>
      <c r="C25" t="inlineStr">
        <is>
          <t>106326061601</t>
        </is>
      </c>
      <c r="D25" t="inlineStr">
        <is>
          <t>CK</t>
        </is>
      </c>
      <c r="F25" t="n">
        <v>20</v>
      </c>
      <c r="J25" t="n">
        <v>139.88258</v>
      </c>
      <c r="BH25" t="n">
        <v>139.883</v>
      </c>
      <c r="CF25" t="n">
        <v>20</v>
      </c>
      <c r="FF25" t="n">
        <v>20</v>
      </c>
      <c r="FJ25" t="n">
        <v>69.679855</v>
      </c>
      <c r="HH25" t="n">
        <v>69.68000000000001</v>
      </c>
      <c r="IF25" t="n">
        <v>20</v>
      </c>
      <c r="IJ25" t="n">
        <v>658.24023</v>
      </c>
      <c r="KH25" t="n">
        <v>658.24</v>
      </c>
    </row>
    <row r="26">
      <c r="A26" t="inlineStr">
        <is>
          <t>2026-06-16</t>
        </is>
      </c>
      <c r="B26" t="inlineStr">
        <is>
          <t>Avian &amp; Reptile 26</t>
        </is>
      </c>
      <c r="C26" t="inlineStr">
        <is>
          <t>106326061601</t>
        </is>
      </c>
      <c r="D26" t="inlineStr">
        <is>
          <t>Ca</t>
        </is>
      </c>
      <c r="G26" t="n">
        <v>9.1</v>
      </c>
      <c r="J26" t="n">
        <v>9.340401</v>
      </c>
      <c r="BH26" t="n">
        <v>9.34</v>
      </c>
      <c r="BS26" t="n">
        <v>2.64</v>
      </c>
      <c r="CG26" t="n">
        <v>12.4</v>
      </c>
      <c r="FG26" t="n">
        <v>5.9</v>
      </c>
      <c r="FJ26" t="n">
        <v>5.584171</v>
      </c>
      <c r="HH26" t="n">
        <v>5.584</v>
      </c>
      <c r="HS26" t="n">
        <v>-5.35</v>
      </c>
      <c r="IG26" t="n">
        <v>12.7</v>
      </c>
      <c r="IJ26" t="n">
        <v>12.281186</v>
      </c>
      <c r="KH26" t="n">
        <v>12.281</v>
      </c>
      <c r="KS26" t="n">
        <v>-3.3</v>
      </c>
    </row>
    <row r="27">
      <c r="A27" t="inlineStr">
        <is>
          <t>2026-06-16</t>
        </is>
      </c>
      <c r="B27" t="inlineStr">
        <is>
          <t>Avian &amp; Reptile 26</t>
        </is>
      </c>
      <c r="C27" t="inlineStr">
        <is>
          <t>106326061601</t>
        </is>
      </c>
      <c r="D27" t="inlineStr">
        <is>
          <t>GLU</t>
        </is>
      </c>
      <c r="F27" t="n">
        <v>8</v>
      </c>
      <c r="G27" t="n">
        <v>90.16</v>
      </c>
      <c r="H27" t="n">
        <v>811.4399999999999</v>
      </c>
      <c r="I27" t="n">
        <v>-631.12</v>
      </c>
      <c r="J27" t="n">
        <v>92.753235</v>
      </c>
      <c r="BH27" t="n">
        <v>92.753</v>
      </c>
      <c r="BS27" t="n">
        <v>2.88</v>
      </c>
      <c r="CF27" t="n">
        <v>8</v>
      </c>
      <c r="CG27" t="n">
        <v>293.02</v>
      </c>
      <c r="CH27" t="n">
        <v>2637.18</v>
      </c>
      <c r="CI27" t="n">
        <v>-2051.14</v>
      </c>
      <c r="FF27" t="n">
        <v>8</v>
      </c>
      <c r="FG27" t="n">
        <v>65.66</v>
      </c>
      <c r="FH27" t="n">
        <v>590.9399999999999</v>
      </c>
      <c r="FI27" t="n">
        <v>-459.62</v>
      </c>
      <c r="FJ27" t="n">
        <v>66.92104999999999</v>
      </c>
      <c r="HH27" t="n">
        <v>66.92100000000001</v>
      </c>
      <c r="HS27" t="n">
        <v>1.92</v>
      </c>
      <c r="IF27" t="n">
        <v>8</v>
      </c>
      <c r="IG27" t="n">
        <v>359.66</v>
      </c>
      <c r="IH27" t="n">
        <v>3236.94</v>
      </c>
      <c r="II27" t="n">
        <v>-2517.62</v>
      </c>
      <c r="IJ27" t="n">
        <v>371.54688</v>
      </c>
      <c r="KH27" t="n">
        <v>371.547</v>
      </c>
      <c r="KS27" t="n">
        <v>3.31</v>
      </c>
    </row>
    <row r="28">
      <c r="A28" t="inlineStr">
        <is>
          <t>2026-06-16</t>
        </is>
      </c>
      <c r="B28" t="inlineStr">
        <is>
          <t>Avian &amp; Reptile 26</t>
        </is>
      </c>
      <c r="C28" t="inlineStr">
        <is>
          <t>106326061601</t>
        </is>
      </c>
      <c r="D28" t="inlineStr">
        <is>
          <t>PHOS</t>
        </is>
      </c>
      <c r="F28" t="n">
        <v>10</v>
      </c>
      <c r="G28" t="n">
        <v>3.3</v>
      </c>
      <c r="H28" t="n">
        <v>36.3</v>
      </c>
      <c r="I28" t="n">
        <v>-29.7</v>
      </c>
      <c r="J28" t="n">
        <v>3.2537146</v>
      </c>
      <c r="BH28" t="n">
        <v>3.254</v>
      </c>
      <c r="BS28" t="n">
        <v>-1.4</v>
      </c>
      <c r="CF28" t="n">
        <v>10</v>
      </c>
      <c r="CG28" t="n">
        <v>7.2</v>
      </c>
      <c r="CH28" t="n">
        <v>79.2</v>
      </c>
      <c r="CI28" t="n">
        <v>-64.8</v>
      </c>
      <c r="FF28" t="n">
        <v>10</v>
      </c>
      <c r="FG28" t="n">
        <v>1.9</v>
      </c>
      <c r="FH28" t="n">
        <v>20.9</v>
      </c>
      <c r="FI28" t="n">
        <v>-17.1</v>
      </c>
      <c r="FJ28" t="n">
        <v>1.9379078</v>
      </c>
      <c r="HH28" t="n">
        <v>1.938</v>
      </c>
      <c r="HS28" t="n">
        <v>2</v>
      </c>
      <c r="IF28" t="n">
        <v>10</v>
      </c>
      <c r="IG28" t="n">
        <v>7.2</v>
      </c>
      <c r="IH28" t="n">
        <v>79.2</v>
      </c>
      <c r="II28" t="n">
        <v>-64.8</v>
      </c>
      <c r="IJ28" t="n">
        <v>7.3362107</v>
      </c>
      <c r="KH28" t="n">
        <v>7.336</v>
      </c>
      <c r="KS28" t="n">
        <v>1.89</v>
      </c>
    </row>
    <row r="29">
      <c r="A29" t="inlineStr">
        <is>
          <t>2026-06-16</t>
        </is>
      </c>
      <c r="B29" t="inlineStr">
        <is>
          <t>Avian &amp; Reptile 26</t>
        </is>
      </c>
      <c r="C29" t="inlineStr">
        <is>
          <t>106326061601</t>
        </is>
      </c>
      <c r="D29" t="inlineStr">
        <is>
          <t>TP</t>
        </is>
      </c>
      <c r="F29" t="n">
        <v>8</v>
      </c>
      <c r="G29" t="n">
        <v>6.4</v>
      </c>
      <c r="H29" t="n">
        <v>57.6</v>
      </c>
      <c r="I29" t="n">
        <v>-44.8</v>
      </c>
      <c r="J29" t="n">
        <v>6.516514</v>
      </c>
      <c r="BH29" t="n">
        <v>6.517</v>
      </c>
      <c r="BS29" t="n">
        <v>1.82</v>
      </c>
      <c r="CF29" t="n">
        <v>8</v>
      </c>
      <c r="CG29" t="n">
        <v>4.1</v>
      </c>
      <c r="CH29" t="n">
        <v>36.9</v>
      </c>
      <c r="CI29" t="n">
        <v>-28.7</v>
      </c>
      <c r="FF29" t="n">
        <v>8</v>
      </c>
      <c r="FG29" t="n">
        <v>4.2</v>
      </c>
      <c r="FH29" t="n">
        <v>37.8</v>
      </c>
      <c r="FI29" t="n">
        <v>-29.4</v>
      </c>
      <c r="FJ29" t="n">
        <v>3.9756477</v>
      </c>
      <c r="HH29" t="n">
        <v>3.976</v>
      </c>
      <c r="HS29" t="n">
        <v>-5.34</v>
      </c>
      <c r="IF29" t="n">
        <v>8</v>
      </c>
      <c r="IG29" t="n">
        <v>7.5</v>
      </c>
      <c r="IH29" t="n">
        <v>67.5</v>
      </c>
      <c r="II29" t="n">
        <v>-52.5</v>
      </c>
      <c r="IJ29" t="n">
        <v>7.5803967</v>
      </c>
      <c r="KH29" t="n">
        <v>7.58</v>
      </c>
      <c r="KS29" t="n">
        <v>1.07</v>
      </c>
    </row>
    <row r="30">
      <c r="A30" t="inlineStr">
        <is>
          <t>2026-06-16</t>
        </is>
      </c>
      <c r="B30" t="inlineStr">
        <is>
          <t>Avian &amp; Reptile 26</t>
        </is>
      </c>
      <c r="C30" t="inlineStr">
        <is>
          <t>106326061601</t>
        </is>
      </c>
      <c r="D30" t="inlineStr">
        <is>
          <t>URIC</t>
        </is>
      </c>
      <c r="F30" t="n">
        <v>10</v>
      </c>
      <c r="G30" t="n">
        <v>4.561200670000002</v>
      </c>
      <c r="H30" t="n">
        <v>50.17320737000001</v>
      </c>
      <c r="I30" t="n">
        <v>-41.05080603000002</v>
      </c>
      <c r="J30" t="n">
        <v>4.6181192</v>
      </c>
      <c r="BH30" t="n">
        <v>4.618</v>
      </c>
      <c r="BS30" t="n">
        <v>1.25</v>
      </c>
      <c r="CF30" t="n">
        <v>10</v>
      </c>
      <c r="CG30" t="n">
        <v>9.699999999999999</v>
      </c>
      <c r="CH30" t="n">
        <v>106.7</v>
      </c>
      <c r="CI30" t="n">
        <v>-87.3</v>
      </c>
      <c r="FF30" t="n">
        <v>10</v>
      </c>
      <c r="FG30" t="n">
        <v>2.7</v>
      </c>
      <c r="FH30" t="n">
        <v>29.7</v>
      </c>
      <c r="FI30" t="n">
        <v>-24.3</v>
      </c>
      <c r="FJ30" t="n">
        <v>2.936731</v>
      </c>
      <c r="HH30" t="n">
        <v>2.937</v>
      </c>
      <c r="HS30" t="n">
        <v>8.77</v>
      </c>
      <c r="IF30" t="n">
        <v>10</v>
      </c>
      <c r="IG30" t="n">
        <v>9.300000000000001</v>
      </c>
      <c r="IH30" t="n">
        <v>102.3</v>
      </c>
      <c r="II30" t="n">
        <v>-83.7</v>
      </c>
      <c r="IJ30" t="n">
        <v>9.376092999999999</v>
      </c>
      <c r="KH30" t="n">
        <v>9.375999999999999</v>
      </c>
      <c r="KS30" t="n">
        <v>0.82</v>
      </c>
    </row>
    <row r="31">
      <c r="A31" t="inlineStr">
        <is>
          <t>2026-06-16</t>
        </is>
      </c>
      <c r="B31" t="inlineStr">
        <is>
          <t>Critical Care 26</t>
        </is>
      </c>
      <c r="C31" t="inlineStr">
        <is>
          <t>105726061602</t>
        </is>
      </c>
      <c r="D31" t="inlineStr">
        <is>
          <t>ALB</t>
        </is>
      </c>
      <c r="F31" t="n">
        <v>8</v>
      </c>
      <c r="G31" t="n">
        <v>4.2</v>
      </c>
      <c r="H31" t="n">
        <v>37.8</v>
      </c>
      <c r="I31" t="n">
        <v>-29.4</v>
      </c>
      <c r="J31" t="n">
        <v>3.960744174223807</v>
      </c>
      <c r="K31" t="n">
        <v>3.945168299038802</v>
      </c>
      <c r="L31" t="n">
        <v>3.997363112705081</v>
      </c>
      <c r="M31" t="n">
        <v>4.005485853440392</v>
      </c>
      <c r="N31" t="n">
        <v>3.92229605030927</v>
      </c>
      <c r="O31" t="n">
        <v>3.941702285998864</v>
      </c>
      <c r="BH31" t="n">
        <v>3.962</v>
      </c>
      <c r="BS31" t="n">
        <v>-5.66</v>
      </c>
      <c r="CD31" t="n">
        <v>0.76</v>
      </c>
      <c r="CF31" t="n">
        <v>8</v>
      </c>
      <c r="CG31" t="n">
        <v>2.7</v>
      </c>
      <c r="CH31" t="n">
        <v>24.3</v>
      </c>
      <c r="CI31" t="n">
        <v>-18.9</v>
      </c>
      <c r="CJ31" t="n">
        <v>2.727524346407898</v>
      </c>
      <c r="CK31" t="n">
        <v>2.66596305789481</v>
      </c>
      <c r="CL31" t="n">
        <v>2.619167707923976</v>
      </c>
      <c r="CM31" t="n">
        <v>2.729057905133502</v>
      </c>
      <c r="CN31" t="n">
        <v>2.684003148113828</v>
      </c>
      <c r="CO31" t="n">
        <v>2.741894267163203</v>
      </c>
      <c r="EH31" t="n">
        <v>2.695</v>
      </c>
      <c r="ES31" t="n">
        <v>-0.2</v>
      </c>
      <c r="FD31" t="n">
        <v>1.6</v>
      </c>
      <c r="FF31" t="n">
        <v>8</v>
      </c>
      <c r="FG31" t="n">
        <v>2.6</v>
      </c>
      <c r="FH31" t="n">
        <v>23.4</v>
      </c>
      <c r="FI31" t="n">
        <v>-18.2</v>
      </c>
      <c r="FJ31" t="n">
        <v>2.463057982346153</v>
      </c>
      <c r="FK31" t="n">
        <v>2.487122103176164</v>
      </c>
      <c r="FL31" t="n">
        <v>2.46149222328092</v>
      </c>
      <c r="FM31" t="n">
        <v>2.463914514012507</v>
      </c>
      <c r="FN31" t="n">
        <v>2.435719445153705</v>
      </c>
      <c r="FO31" t="n">
        <v>2.530686910057305</v>
      </c>
      <c r="FP31" t="n">
        <v>2.477522532345788</v>
      </c>
      <c r="HH31" t="n">
        <v>2.474</v>
      </c>
      <c r="HS31" t="n">
        <v>-4.84</v>
      </c>
      <c r="ID31" t="n">
        <v>1.11</v>
      </c>
      <c r="IF31" t="n">
        <v>8</v>
      </c>
      <c r="IG31" t="n">
        <v>4.2</v>
      </c>
      <c r="IH31" t="n">
        <v>37.8</v>
      </c>
      <c r="II31" t="n">
        <v>-29.4</v>
      </c>
      <c r="IJ31" t="n">
        <v>3.850300978470898</v>
      </c>
      <c r="IK31" t="n">
        <v>3.956230685486169</v>
      </c>
      <c r="IL31" t="n">
        <v>3.944023173066206</v>
      </c>
      <c r="IM31" t="n">
        <v>3.920061926278741</v>
      </c>
      <c r="IN31" t="n">
        <v>4.025450228097061</v>
      </c>
      <c r="IO31" t="n">
        <v>3.969380329813999</v>
      </c>
      <c r="IP31" t="n">
        <v>3.899914908605468</v>
      </c>
      <c r="KH31" t="n">
        <v>3.938</v>
      </c>
      <c r="KS31" t="n">
        <v>-6.24</v>
      </c>
      <c r="LD31" t="n">
        <v>1.3</v>
      </c>
    </row>
    <row r="32">
      <c r="A32" t="inlineStr">
        <is>
          <t>2026-06-16</t>
        </is>
      </c>
      <c r="B32" t="inlineStr">
        <is>
          <t>Critical Care 26</t>
        </is>
      </c>
      <c r="C32" t="inlineStr">
        <is>
          <t>105726061602</t>
        </is>
      </c>
      <c r="D32" t="inlineStr">
        <is>
          <t>ALP</t>
        </is>
      </c>
      <c r="F32" t="n">
        <v>20</v>
      </c>
      <c r="G32" t="n">
        <v>136</v>
      </c>
      <c r="H32" t="n">
        <v>2856</v>
      </c>
      <c r="I32" t="n">
        <v>-2584</v>
      </c>
      <c r="J32" t="n">
        <v>139.8423994883914</v>
      </c>
      <c r="K32" t="n">
        <v>142.6941694925752</v>
      </c>
      <c r="L32" t="n">
        <v>143.1771117537837</v>
      </c>
      <c r="M32" t="n">
        <v>143.0929489909556</v>
      </c>
      <c r="N32" t="n">
        <v>142.280733226669</v>
      </c>
      <c r="O32" t="n">
        <v>142.8122284617865</v>
      </c>
      <c r="BH32" t="n">
        <v>142.317</v>
      </c>
      <c r="BS32" t="n">
        <v>4.64</v>
      </c>
      <c r="CD32" t="n">
        <v>0.8</v>
      </c>
      <c r="CF32" t="n">
        <v>20</v>
      </c>
      <c r="CG32" t="n">
        <v>456</v>
      </c>
      <c r="CH32" t="n">
        <v>9576</v>
      </c>
      <c r="CI32" t="n">
        <v>-8664</v>
      </c>
      <c r="CJ32" t="n">
        <v>462.0194985071536</v>
      </c>
      <c r="CK32" t="n">
        <v>468.0442493347299</v>
      </c>
      <c r="CL32" t="n">
        <v>463.1321727640706</v>
      </c>
      <c r="CM32" t="n">
        <v>472.5173612751951</v>
      </c>
      <c r="CN32" t="n">
        <v>467.7809924344552</v>
      </c>
      <c r="CO32" t="n">
        <v>472.08914845424</v>
      </c>
      <c r="EH32" t="n">
        <v>467.597</v>
      </c>
      <c r="ES32" t="n">
        <v>2.54</v>
      </c>
      <c r="FD32" t="n">
        <v>0.85</v>
      </c>
      <c r="FF32" t="n">
        <v>20</v>
      </c>
      <c r="FG32" t="n">
        <v>75</v>
      </c>
      <c r="FH32" t="n">
        <v>1575</v>
      </c>
      <c r="FI32" t="n">
        <v>-1425</v>
      </c>
      <c r="FJ32" t="n">
        <v>71.67105863883835</v>
      </c>
      <c r="FK32" t="n">
        <v>72.2092103202211</v>
      </c>
      <c r="FL32" t="n">
        <v>72.24114147370668</v>
      </c>
      <c r="FM32" t="n">
        <v>72.93138343592003</v>
      </c>
      <c r="FN32" t="n">
        <v>71.53176607042258</v>
      </c>
      <c r="FO32" t="n">
        <v>72.29187243284647</v>
      </c>
      <c r="FP32" t="n">
        <v>73.29903240708879</v>
      </c>
      <c r="HH32" t="n">
        <v>72.31100000000001</v>
      </c>
      <c r="HS32" t="n">
        <v>-3.59</v>
      </c>
      <c r="ID32" t="n">
        <v>0.8100000000000001</v>
      </c>
      <c r="IF32" t="n">
        <v>20</v>
      </c>
      <c r="IG32" t="n">
        <v>251</v>
      </c>
      <c r="IH32" t="n">
        <v>5271</v>
      </c>
      <c r="II32" t="n">
        <v>-4769</v>
      </c>
      <c r="IJ32" t="n">
        <v>228.8798719085824</v>
      </c>
      <c r="IK32" t="n">
        <v>223.0943723136347</v>
      </c>
      <c r="IL32" t="n">
        <v>225.1456571782919</v>
      </c>
      <c r="IM32" t="n">
        <v>225.9628079664801</v>
      </c>
      <c r="IN32" t="n">
        <v>225.6825931069347</v>
      </c>
      <c r="IO32" t="n">
        <v>225.8198198091348</v>
      </c>
      <c r="IP32" t="n">
        <v>225.4311460729698</v>
      </c>
      <c r="KH32" t="n">
        <v>225.717</v>
      </c>
      <c r="KS32" t="n">
        <v>-10.07</v>
      </c>
      <c r="LD32" t="n">
        <v>0.7</v>
      </c>
    </row>
    <row r="33">
      <c r="A33" t="inlineStr">
        <is>
          <t>2026-06-16</t>
        </is>
      </c>
      <c r="B33" t="inlineStr">
        <is>
          <t>Critical Care 26</t>
        </is>
      </c>
      <c r="C33" t="inlineStr">
        <is>
          <t>105726061602</t>
        </is>
      </c>
      <c r="D33" t="inlineStr">
        <is>
          <t>ALT</t>
        </is>
      </c>
      <c r="F33" t="n">
        <v>15</v>
      </c>
      <c r="G33" t="n">
        <v>28</v>
      </c>
      <c r="H33" t="n">
        <v>448</v>
      </c>
      <c r="I33" t="n">
        <v>-392</v>
      </c>
      <c r="J33" t="n">
        <v>28.67222792354287</v>
      </c>
      <c r="K33" t="n">
        <v>24.05787635699389</v>
      </c>
      <c r="L33" t="n">
        <v>26.25788772063379</v>
      </c>
      <c r="M33" t="n">
        <v>31.34219169031061</v>
      </c>
      <c r="N33" t="n">
        <v>31.08879505166273</v>
      </c>
      <c r="O33" t="n">
        <v>26.01972544939715</v>
      </c>
      <c r="BH33" t="n">
        <v>27.906</v>
      </c>
      <c r="BS33" t="n">
        <v>-0.33</v>
      </c>
      <c r="CD33" t="n">
        <v>9.66</v>
      </c>
      <c r="CF33" t="n">
        <v>15</v>
      </c>
      <c r="CG33" t="n">
        <v>115</v>
      </c>
      <c r="CH33" t="n">
        <v>1840</v>
      </c>
      <c r="CI33" t="n">
        <v>-1610</v>
      </c>
      <c r="CJ33" t="n">
        <v>121.7979587725702</v>
      </c>
      <c r="CK33" t="n">
        <v>122.4292689589819</v>
      </c>
      <c r="CL33" t="n">
        <v>120.8386276496175</v>
      </c>
      <c r="CM33" t="n">
        <v>126.1244226726296</v>
      </c>
      <c r="CN33" t="n">
        <v>121.641940707852</v>
      </c>
      <c r="CO33" t="n">
        <v>126.6451671361697</v>
      </c>
      <c r="EH33" t="n">
        <v>123.246</v>
      </c>
      <c r="ES33" t="n">
        <v>7.17</v>
      </c>
      <c r="FD33" t="n">
        <v>1.84</v>
      </c>
      <c r="FF33" t="n">
        <v>15</v>
      </c>
      <c r="FG33" t="n">
        <v>26</v>
      </c>
      <c r="FH33" t="n">
        <v>416</v>
      </c>
      <c r="FI33" t="n">
        <v>-364</v>
      </c>
      <c r="FJ33" t="n">
        <v>20.93623849408988</v>
      </c>
      <c r="FK33" t="n">
        <v>26.29055577745137</v>
      </c>
      <c r="FL33" t="n">
        <v>22.02606011981642</v>
      </c>
      <c r="FM33" t="n">
        <v>22.90785291312909</v>
      </c>
      <c r="FN33" t="n">
        <v>22.70260998103927</v>
      </c>
      <c r="FO33" t="n">
        <v>26.39434973368368</v>
      </c>
      <c r="FP33" t="n">
        <v>22.29663889806908</v>
      </c>
      <c r="HH33" t="n">
        <v>23.365</v>
      </c>
      <c r="HS33" t="n">
        <v>-10.13</v>
      </c>
      <c r="ID33" t="n">
        <v>8.44</v>
      </c>
      <c r="IF33" t="n">
        <v>15</v>
      </c>
      <c r="IG33" t="n">
        <v>217</v>
      </c>
      <c r="IH33" t="n">
        <v>3472</v>
      </c>
      <c r="II33" t="n">
        <v>-3038</v>
      </c>
      <c r="IJ33" t="n">
        <v>213.2248057008329</v>
      </c>
      <c r="IK33" t="n">
        <v>207.8280900981188</v>
      </c>
      <c r="IL33" t="n">
        <v>202.51277870832</v>
      </c>
      <c r="IM33" t="n">
        <v>214.3865088732617</v>
      </c>
      <c r="IN33" t="n">
        <v>207.3195337944127</v>
      </c>
      <c r="IO33" t="n">
        <v>213.6511629076578</v>
      </c>
      <c r="IP33" t="n">
        <v>206.1902405027531</v>
      </c>
      <c r="KH33" t="n">
        <v>209.302</v>
      </c>
      <c r="KS33" t="n">
        <v>-3.55</v>
      </c>
      <c r="LD33" t="n">
        <v>1.99</v>
      </c>
    </row>
    <row r="34">
      <c r="A34" t="inlineStr">
        <is>
          <t>2026-06-16</t>
        </is>
      </c>
      <c r="B34" t="inlineStr">
        <is>
          <t>Critical Care 26</t>
        </is>
      </c>
      <c r="C34" t="inlineStr">
        <is>
          <t>105726061602</t>
        </is>
      </c>
      <c r="D34" t="inlineStr">
        <is>
          <t>BUN</t>
        </is>
      </c>
      <c r="F34" t="n">
        <v>9</v>
      </c>
      <c r="G34" t="n">
        <v>14.8</v>
      </c>
      <c r="H34" t="n">
        <v>148</v>
      </c>
      <c r="I34" t="n">
        <v>-118.4</v>
      </c>
      <c r="J34" t="n">
        <v>14.32373541861228</v>
      </c>
      <c r="K34" t="n">
        <v>14.77865156497489</v>
      </c>
      <c r="L34" t="n">
        <v>14.96098156531149</v>
      </c>
      <c r="M34" t="n">
        <v>14.65074696467872</v>
      </c>
      <c r="N34" t="n">
        <v>14.5768622448422</v>
      </c>
      <c r="O34" t="n">
        <v>14.75947249527247</v>
      </c>
      <c r="BH34" t="n">
        <v>14.675</v>
      </c>
      <c r="BS34" t="n">
        <v>-0.84</v>
      </c>
      <c r="CD34" t="n">
        <v>1.34</v>
      </c>
      <c r="CF34" t="n">
        <v>9</v>
      </c>
      <c r="CG34" t="n">
        <v>44.7</v>
      </c>
      <c r="CH34" t="n">
        <v>447</v>
      </c>
      <c r="CI34" t="n">
        <v>-357.6</v>
      </c>
      <c r="CJ34" t="n">
        <v>45.13888623795732</v>
      </c>
      <c r="CK34" t="n">
        <v>45.58115498318578</v>
      </c>
      <c r="CL34" t="n">
        <v>46.31396229327032</v>
      </c>
      <c r="CM34" t="n">
        <v>45.98407238616944</v>
      </c>
      <c r="CN34" t="n">
        <v>45.68537623943259</v>
      </c>
      <c r="CO34" t="n">
        <v>46.80273989873777</v>
      </c>
      <c r="EH34" t="n">
        <v>45.918</v>
      </c>
      <c r="ES34" t="n">
        <v>2.72</v>
      </c>
      <c r="FD34" t="n">
        <v>1.17</v>
      </c>
      <c r="FF34" t="n">
        <v>9</v>
      </c>
      <c r="FG34" t="n">
        <v>14.7</v>
      </c>
      <c r="FH34" t="n">
        <v>147</v>
      </c>
      <c r="FI34" t="n">
        <v>-117.6</v>
      </c>
      <c r="FJ34" t="n">
        <v>14.84278092558292</v>
      </c>
      <c r="FK34" t="n">
        <v>14.44753594032964</v>
      </c>
      <c r="FL34" t="n">
        <v>14.39790840225115</v>
      </c>
      <c r="FM34" t="n">
        <v>14.977752950733</v>
      </c>
      <c r="FN34" t="n">
        <v>14.30409968702517</v>
      </c>
      <c r="FO34" t="n">
        <v>14.77370650478008</v>
      </c>
      <c r="FP34" t="n">
        <v>14.7649479089272</v>
      </c>
      <c r="HH34" t="n">
        <v>14.644</v>
      </c>
      <c r="HS34" t="n">
        <v>-0.38</v>
      </c>
      <c r="ID34" t="n">
        <v>1.63</v>
      </c>
      <c r="IF34" t="n">
        <v>9</v>
      </c>
      <c r="IG34" t="n">
        <v>65.7</v>
      </c>
      <c r="IH34" t="n">
        <v>657</v>
      </c>
      <c r="II34" t="n">
        <v>-525.6</v>
      </c>
      <c r="IJ34" t="n">
        <v>65.45364653837181</v>
      </c>
      <c r="IK34" t="n">
        <v>64.96133958542293</v>
      </c>
      <c r="IL34" t="n">
        <v>65.81197252649788</v>
      </c>
      <c r="IM34" t="n">
        <v>66.75293884713177</v>
      </c>
      <c r="IN34" t="n">
        <v>66.45998923937819</v>
      </c>
      <c r="IO34" t="n">
        <v>65.93107723895713</v>
      </c>
      <c r="IP34" t="n">
        <v>65.76501722842303</v>
      </c>
      <c r="KH34" t="n">
        <v>65.877</v>
      </c>
      <c r="KS34" t="n">
        <v>0.27</v>
      </c>
      <c r="LD34" t="n">
        <v>0.84</v>
      </c>
    </row>
    <row r="35">
      <c r="A35" t="inlineStr">
        <is>
          <t>2026-06-16</t>
        </is>
      </c>
      <c r="B35" t="inlineStr">
        <is>
          <t>Critical Care 26</t>
        </is>
      </c>
      <c r="C35" t="inlineStr">
        <is>
          <t>105726061602</t>
        </is>
      </c>
      <c r="D35" t="inlineStr">
        <is>
          <t>CREA</t>
        </is>
      </c>
      <c r="F35" t="n">
        <v>10</v>
      </c>
      <c r="G35" t="n">
        <v>1.5</v>
      </c>
      <c r="H35" t="n">
        <v>16.5</v>
      </c>
      <c r="I35" t="n">
        <v>-13.5</v>
      </c>
      <c r="J35" t="n">
        <v>1.159854211936544</v>
      </c>
      <c r="K35" t="n">
        <v>1.214206100463177</v>
      </c>
      <c r="L35" t="n">
        <v>1.258682489351287</v>
      </c>
      <c r="M35" t="n">
        <v>1.279805609384993</v>
      </c>
      <c r="N35" t="n">
        <v>1.240113427942488</v>
      </c>
      <c r="O35" t="n">
        <v>1.206991878009164</v>
      </c>
      <c r="BH35" t="n">
        <v>1.227</v>
      </c>
      <c r="BS35" t="n">
        <v>-18.23</v>
      </c>
      <c r="CD35" t="n">
        <v>3.16</v>
      </c>
      <c r="CF35" t="n">
        <v>10</v>
      </c>
      <c r="CG35" t="n">
        <v>5.55</v>
      </c>
      <c r="CH35" t="n">
        <v>61.05</v>
      </c>
      <c r="CI35" t="n">
        <v>-49.95</v>
      </c>
      <c r="CJ35" t="n">
        <v>4.724035318957162</v>
      </c>
      <c r="CK35" t="n">
        <v>4.823309431617513</v>
      </c>
      <c r="CL35" t="n">
        <v>4.683046687498543</v>
      </c>
      <c r="CM35" t="n">
        <v>4.892722202913381</v>
      </c>
      <c r="CN35" t="n">
        <v>4.646591836028248</v>
      </c>
      <c r="CO35" t="n">
        <v>4.792142631901217</v>
      </c>
      <c r="EH35" t="n">
        <v>4.76</v>
      </c>
      <c r="ES35" t="n">
        <v>-14.23</v>
      </c>
      <c r="FD35" t="n">
        <v>1.77</v>
      </c>
      <c r="FF35" t="n">
        <v>10</v>
      </c>
      <c r="FG35" t="n">
        <v>0.97</v>
      </c>
      <c r="FH35" t="n">
        <v>10.67</v>
      </c>
      <c r="FI35" t="n">
        <v>-8.73</v>
      </c>
      <c r="FJ35" t="n">
        <v>0.608217218215358</v>
      </c>
      <c r="FK35" t="n">
        <v>0.6245022128870568</v>
      </c>
      <c r="FL35" t="n">
        <v>0.6131594701701434</v>
      </c>
      <c r="FM35" t="n">
        <v>0.6329658832301226</v>
      </c>
      <c r="FN35" t="n">
        <v>0.6513894017514497</v>
      </c>
      <c r="FO35" t="n">
        <v>0.6373788236631802</v>
      </c>
      <c r="FP35" t="n">
        <v>0.6628799902277344</v>
      </c>
      <c r="HH35" t="n">
        <v>0.633</v>
      </c>
      <c r="HS35" t="n">
        <v>-34.75</v>
      </c>
      <c r="ID35" t="n">
        <v>2.88</v>
      </c>
      <c r="IF35" t="n">
        <v>10</v>
      </c>
      <c r="IG35" t="n">
        <v>5.95</v>
      </c>
      <c r="IH35" t="n">
        <v>65.45</v>
      </c>
      <c r="II35" t="n">
        <v>-53.55</v>
      </c>
      <c r="IJ35" t="n">
        <v>5.485854896256449</v>
      </c>
      <c r="IK35" t="n">
        <v>5.377739634048528</v>
      </c>
      <c r="IL35" t="n">
        <v>5.407025035559305</v>
      </c>
      <c r="IM35" t="n">
        <v>5.464381309695991</v>
      </c>
      <c r="IN35" t="n">
        <v>5.556490827116615</v>
      </c>
      <c r="IO35" t="n">
        <v>5.523911058145969</v>
      </c>
      <c r="IP35" t="n">
        <v>5.451784696879403</v>
      </c>
      <c r="KH35" t="n">
        <v>5.467</v>
      </c>
      <c r="KS35" t="n">
        <v>-8.119999999999999</v>
      </c>
      <c r="LD35" t="n">
        <v>1.06</v>
      </c>
    </row>
    <row r="36">
      <c r="A36" t="inlineStr">
        <is>
          <t>2026-06-16</t>
        </is>
      </c>
      <c r="B36" t="inlineStr">
        <is>
          <t>Critical Care 26</t>
        </is>
      </c>
      <c r="C36" t="inlineStr">
        <is>
          <t>105726061602</t>
        </is>
      </c>
      <c r="D36" t="inlineStr">
        <is>
          <t>GLU</t>
        </is>
      </c>
      <c r="F36" t="n">
        <v>8</v>
      </c>
      <c r="G36" t="n">
        <v>90.16</v>
      </c>
      <c r="H36" t="n">
        <v>811.4399999999999</v>
      </c>
      <c r="I36" t="n">
        <v>-631.12</v>
      </c>
      <c r="J36" t="n">
        <v>88.71594062227727</v>
      </c>
      <c r="K36" t="n">
        <v>91.24852563942385</v>
      </c>
      <c r="L36" t="n">
        <v>90.70226577499318</v>
      </c>
      <c r="M36" t="n">
        <v>90.90442983815832</v>
      </c>
      <c r="N36" t="n">
        <v>90.38345184742811</v>
      </c>
      <c r="O36" t="n">
        <v>90.15581829956355</v>
      </c>
      <c r="BH36" t="n">
        <v>90.352</v>
      </c>
      <c r="BS36" t="n">
        <v>0.21</v>
      </c>
      <c r="CD36" t="n">
        <v>0.9</v>
      </c>
      <c r="CF36" t="n">
        <v>8</v>
      </c>
      <c r="CG36" t="n">
        <v>293.02</v>
      </c>
      <c r="CH36" t="n">
        <v>2637.18</v>
      </c>
      <c r="CI36" t="n">
        <v>-2051.14</v>
      </c>
      <c r="CJ36" t="n">
        <v>303.9176524772224</v>
      </c>
      <c r="CK36" t="n">
        <v>306.1641484064321</v>
      </c>
      <c r="CL36" t="n">
        <v>307.7789195024676</v>
      </c>
      <c r="CM36" t="n">
        <v>310.6770810157127</v>
      </c>
      <c r="CN36" t="n">
        <v>307.7038383618672</v>
      </c>
      <c r="CO36" t="n">
        <v>313.1739914474702</v>
      </c>
      <c r="EH36" t="n">
        <v>308.236</v>
      </c>
      <c r="ES36" t="n">
        <v>5.19</v>
      </c>
      <c r="FD36" t="n">
        <v>0.97</v>
      </c>
      <c r="FF36" t="n">
        <v>8</v>
      </c>
      <c r="FG36" t="n">
        <v>65.66</v>
      </c>
      <c r="FH36" t="n">
        <v>590.9399999999999</v>
      </c>
      <c r="FI36" t="n">
        <v>-459.62</v>
      </c>
      <c r="FJ36" t="n">
        <v>65.9657999432619</v>
      </c>
      <c r="FK36" t="n">
        <v>65.39881336046527</v>
      </c>
      <c r="FL36" t="n">
        <v>65.48015847040287</v>
      </c>
      <c r="FM36" t="n">
        <v>66.71688780562276</v>
      </c>
      <c r="FN36" t="n">
        <v>65.97362659453815</v>
      </c>
      <c r="FO36" t="n">
        <v>67.1967225444029</v>
      </c>
      <c r="FP36" t="n">
        <v>66.87587331893776</v>
      </c>
      <c r="HH36" t="n">
        <v>66.23</v>
      </c>
      <c r="HS36" t="n">
        <v>0.87</v>
      </c>
      <c r="ID36" t="n">
        <v>0.98</v>
      </c>
      <c r="IF36" t="n">
        <v>8</v>
      </c>
      <c r="IG36" t="n">
        <v>359.66</v>
      </c>
      <c r="IH36" t="n">
        <v>3236.94</v>
      </c>
      <c r="II36" t="n">
        <v>-2517.62</v>
      </c>
      <c r="IJ36" t="n">
        <v>364.4533266705506</v>
      </c>
      <c r="IK36" t="n">
        <v>362.8333005139762</v>
      </c>
      <c r="IL36" t="n">
        <v>354.4157382418495</v>
      </c>
      <c r="IM36" t="n">
        <v>365.1612937378899</v>
      </c>
      <c r="IN36" t="n">
        <v>363.4570801152375</v>
      </c>
      <c r="IO36" t="n">
        <v>367.3968781435975</v>
      </c>
      <c r="IP36" t="n">
        <v>364.5968462449562</v>
      </c>
      <c r="KH36" t="n">
        <v>363.188</v>
      </c>
      <c r="KS36" t="n">
        <v>0.98</v>
      </c>
      <c r="LD36" t="n">
        <v>1.05</v>
      </c>
    </row>
    <row r="37">
      <c r="A37" t="inlineStr">
        <is>
          <t>2026-06-16</t>
        </is>
      </c>
      <c r="B37" t="inlineStr">
        <is>
          <t>Critical Care 26</t>
        </is>
      </c>
      <c r="C37" t="inlineStr">
        <is>
          <t>105726061602</t>
        </is>
      </c>
      <c r="D37" t="inlineStr">
        <is>
          <t>TP</t>
        </is>
      </c>
      <c r="F37" t="n">
        <v>8</v>
      </c>
      <c r="G37" t="n">
        <v>6.4</v>
      </c>
      <c r="H37" t="n">
        <v>57.6</v>
      </c>
      <c r="I37" t="n">
        <v>-44.8</v>
      </c>
      <c r="J37" t="n">
        <v>6.359215349565581</v>
      </c>
      <c r="K37" t="n">
        <v>6.574271783736677</v>
      </c>
      <c r="L37" t="n">
        <v>6.510738209960513</v>
      </c>
      <c r="M37" t="n">
        <v>6.516174952845466</v>
      </c>
      <c r="N37" t="n">
        <v>6.499931961276372</v>
      </c>
      <c r="O37" t="n">
        <v>6.43962217262791</v>
      </c>
      <c r="BH37" t="n">
        <v>6.483</v>
      </c>
      <c r="BS37" t="n">
        <v>1.3</v>
      </c>
      <c r="CD37" t="n">
        <v>1.05</v>
      </c>
      <c r="CF37" t="n">
        <v>8</v>
      </c>
      <c r="CG37" t="n">
        <v>4.1</v>
      </c>
      <c r="CH37" t="n">
        <v>36.9</v>
      </c>
      <c r="CI37" t="n">
        <v>-28.7</v>
      </c>
      <c r="CJ37" t="n">
        <v>4.414099060634451</v>
      </c>
      <c r="CK37" t="n">
        <v>4.375610512032893</v>
      </c>
      <c r="CL37" t="n">
        <v>4.35261463071446</v>
      </c>
      <c r="CM37" t="n">
        <v>4.46328208285268</v>
      </c>
      <c r="CN37" t="n">
        <v>4.372584506299978</v>
      </c>
      <c r="CO37" t="n">
        <v>4.477122079640311</v>
      </c>
      <c r="EH37" t="n">
        <v>4.409</v>
      </c>
      <c r="ES37" t="n">
        <v>7.54</v>
      </c>
      <c r="FD37" t="n">
        <v>1.07</v>
      </c>
      <c r="FF37" t="n">
        <v>8</v>
      </c>
      <c r="FG37" t="n">
        <v>4.2</v>
      </c>
      <c r="FH37" t="n">
        <v>37.8</v>
      </c>
      <c r="FI37" t="n">
        <v>-29.4</v>
      </c>
      <c r="FJ37" t="n">
        <v>4.030576366601409</v>
      </c>
      <c r="FK37" t="n">
        <v>3.992636179793486</v>
      </c>
      <c r="FL37" t="n">
        <v>3.929809406103267</v>
      </c>
      <c r="FM37" t="n">
        <v>4.016840663351272</v>
      </c>
      <c r="FN37" t="n">
        <v>3.987764042722044</v>
      </c>
      <c r="FO37" t="n">
        <v>4.115603771591246</v>
      </c>
      <c r="FP37" t="n">
        <v>3.947016558960335</v>
      </c>
      <c r="HH37" t="n">
        <v>4.003</v>
      </c>
      <c r="HS37" t="n">
        <v>-4.69</v>
      </c>
      <c r="ID37" t="n">
        <v>1.42</v>
      </c>
      <c r="IF37" t="n">
        <v>8</v>
      </c>
      <c r="IG37" t="n">
        <v>7.5</v>
      </c>
      <c r="IH37" t="n">
        <v>67.5</v>
      </c>
      <c r="II37" t="n">
        <v>-52.5</v>
      </c>
      <c r="IJ37" t="n">
        <v>7.382549867478691</v>
      </c>
      <c r="IK37" t="n">
        <v>7.379548918199989</v>
      </c>
      <c r="IL37" t="n">
        <v>7.354046432432067</v>
      </c>
      <c r="IM37" t="n">
        <v>7.386951099904287</v>
      </c>
      <c r="IN37" t="n">
        <v>7.439562916407072</v>
      </c>
      <c r="IO37" t="n">
        <v>7.447219584063681</v>
      </c>
      <c r="IP37" t="n">
        <v>7.335686924404197</v>
      </c>
      <c r="KH37" t="n">
        <v>7.389</v>
      </c>
      <c r="KS37" t="n">
        <v>-1.48</v>
      </c>
      <c r="LD37" t="n">
        <v>0.52</v>
      </c>
    </row>
    <row r="38">
      <c r="A38" t="inlineStr">
        <is>
          <t>2026-06-12</t>
        </is>
      </c>
      <c r="B38" t="inlineStr">
        <is>
          <t>Critical Care 26</t>
        </is>
      </c>
      <c r="C38" t="inlineStr">
        <is>
          <t>205826061201</t>
        </is>
      </c>
      <c r="D38" t="inlineStr">
        <is>
          <t>CK</t>
        </is>
      </c>
      <c r="F38" t="n">
        <v>20</v>
      </c>
      <c r="J38" t="n">
        <v>78.43924</v>
      </c>
      <c r="K38" t="n">
        <v>134.6623015720377</v>
      </c>
      <c r="L38" t="n">
        <v>135.6742382028267</v>
      </c>
      <c r="M38" t="n">
        <v>136.4461863589096</v>
      </c>
      <c r="BH38" t="n">
        <v>121.305</v>
      </c>
      <c r="CD38" t="n">
        <v>20.41</v>
      </c>
      <c r="CF38" t="n">
        <v>20</v>
      </c>
      <c r="CJ38" t="n">
        <v>483.05194</v>
      </c>
      <c r="CK38" t="n">
        <v>480.3556040671724</v>
      </c>
      <c r="CL38" t="n">
        <v>478.6990635532167</v>
      </c>
      <c r="CM38" t="n">
        <v>463.5604208639957</v>
      </c>
      <c r="EH38" t="n">
        <v>476.417</v>
      </c>
      <c r="FD38" t="n">
        <v>1.59</v>
      </c>
      <c r="FF38" t="n">
        <v>20</v>
      </c>
      <c r="FJ38" t="n">
        <v>81.72226999999999</v>
      </c>
      <c r="FK38" t="n">
        <v>73.5953930860514</v>
      </c>
      <c r="FL38" t="n">
        <v>73.53870373524981</v>
      </c>
      <c r="FM38" t="n">
        <v>77.2441085424972</v>
      </c>
      <c r="HH38" t="n">
        <v>76.52500000000001</v>
      </c>
      <c r="ID38" t="n">
        <v>4.38</v>
      </c>
      <c r="IF38" t="n">
        <v>20</v>
      </c>
      <c r="IJ38" t="n">
        <v>652.32855</v>
      </c>
      <c r="IK38" t="n">
        <v>622.9876222631982</v>
      </c>
      <c r="IL38" t="n">
        <v>644.2033987940222</v>
      </c>
      <c r="IM38" t="n">
        <v>635.4767970152591</v>
      </c>
      <c r="KH38" t="n">
        <v>638.749</v>
      </c>
      <c r="LD38" t="n">
        <v>1.7</v>
      </c>
    </row>
    <row r="39">
      <c r="A39" t="inlineStr">
        <is>
          <t>2026-06-12</t>
        </is>
      </c>
      <c r="B39" t="inlineStr">
        <is>
          <t>Critical Care 26</t>
        </is>
      </c>
      <c r="C39" t="inlineStr">
        <is>
          <t>205826061201</t>
        </is>
      </c>
      <c r="D39" t="inlineStr">
        <is>
          <t>Ca</t>
        </is>
      </c>
      <c r="G39" t="n">
        <v>9.1</v>
      </c>
      <c r="J39" t="n">
        <v>4.3813357</v>
      </c>
      <c r="K39" t="n">
        <v>8.928793842695974</v>
      </c>
      <c r="L39" t="n">
        <v>8.936954544030794</v>
      </c>
      <c r="M39" t="n">
        <v>9.00469776485825</v>
      </c>
      <c r="BH39" t="n">
        <v>7.813</v>
      </c>
      <c r="BS39" t="n">
        <v>-14.14</v>
      </c>
      <c r="CD39" t="n">
        <v>25.36</v>
      </c>
      <c r="CG39" t="n">
        <v>12.4</v>
      </c>
      <c r="CJ39" t="n">
        <v>11.464941</v>
      </c>
      <c r="CK39" t="n">
        <v>11.60513062800661</v>
      </c>
      <c r="CL39" t="n">
        <v>11.94758293537864</v>
      </c>
      <c r="CM39" t="n">
        <v>11.54521767444719</v>
      </c>
      <c r="EH39" t="n">
        <v>11.641</v>
      </c>
      <c r="ES39" t="n">
        <v>-6.12</v>
      </c>
      <c r="FD39" t="n">
        <v>1.58</v>
      </c>
      <c r="FG39" t="n">
        <v>5.9</v>
      </c>
      <c r="FJ39" t="n">
        <v>5.468866</v>
      </c>
      <c r="FK39" t="n">
        <v>5.428445396295444</v>
      </c>
      <c r="FL39" t="n">
        <v>5.693962986954969</v>
      </c>
      <c r="FM39" t="n">
        <v>5.433060037403425</v>
      </c>
      <c r="HH39" t="n">
        <v>5.506</v>
      </c>
      <c r="HS39" t="n">
        <v>-6.68</v>
      </c>
      <c r="ID39" t="n">
        <v>1.99</v>
      </c>
      <c r="IG39" t="n">
        <v>12.7</v>
      </c>
      <c r="IJ39" t="n">
        <v>11.466743</v>
      </c>
      <c r="IK39" t="n">
        <v>11.83743934127632</v>
      </c>
      <c r="IL39" t="n">
        <v>11.30361944517066</v>
      </c>
      <c r="IM39" t="n">
        <v>11.74476415578607</v>
      </c>
      <c r="KH39" t="n">
        <v>11.588</v>
      </c>
      <c r="KS39" t="n">
        <v>-8.75</v>
      </c>
      <c r="LD39" t="n">
        <v>1.84</v>
      </c>
    </row>
    <row r="40">
      <c r="A40" t="inlineStr">
        <is>
          <t>2026-06-12</t>
        </is>
      </c>
      <c r="B40" t="inlineStr">
        <is>
          <t>Critical Care 26</t>
        </is>
      </c>
      <c r="C40" t="inlineStr">
        <is>
          <t>205826061201</t>
        </is>
      </c>
      <c r="D40" t="inlineStr">
        <is>
          <t>Cl</t>
        </is>
      </c>
      <c r="F40" t="n">
        <v>5</v>
      </c>
      <c r="G40" t="n">
        <v>90</v>
      </c>
      <c r="H40" t="n">
        <v>540</v>
      </c>
      <c r="I40" t="n">
        <v>-360</v>
      </c>
      <c r="J40" t="n">
        <v>44.323395</v>
      </c>
      <c r="K40" t="n">
        <v>89.28499365416339</v>
      </c>
      <c r="L40" t="n">
        <v>93.27746162560791</v>
      </c>
      <c r="M40" t="n">
        <v>90.41629927216007</v>
      </c>
      <c r="BH40" t="n">
        <v>79.32599999999999</v>
      </c>
      <c r="BS40" t="n">
        <v>-11.86</v>
      </c>
      <c r="CD40" t="n">
        <v>25.54</v>
      </c>
      <c r="CF40" t="n">
        <v>5</v>
      </c>
      <c r="CG40" t="n">
        <v>91</v>
      </c>
      <c r="CH40" t="n">
        <v>546</v>
      </c>
      <c r="CI40" t="n">
        <v>-364</v>
      </c>
      <c r="CJ40" t="n">
        <v>82.74834</v>
      </c>
      <c r="CK40" t="n">
        <v>84.52437968777745</v>
      </c>
      <c r="CL40" t="n">
        <v>86.19120220563609</v>
      </c>
      <c r="CM40" t="n">
        <v>84.56551860143428</v>
      </c>
      <c r="EH40" t="n">
        <v>84.50700000000001</v>
      </c>
      <c r="ES40" t="n">
        <v>-7.13</v>
      </c>
      <c r="FD40" t="n">
        <v>1.44</v>
      </c>
      <c r="FF40" t="n">
        <v>5</v>
      </c>
      <c r="FG40" t="n">
        <v>77</v>
      </c>
      <c r="FH40" t="n">
        <v>462</v>
      </c>
      <c r="FI40" t="n">
        <v>-308</v>
      </c>
      <c r="FJ40" t="n">
        <v>75.64225999999999</v>
      </c>
      <c r="FK40" t="n">
        <v>74.08206695959019</v>
      </c>
      <c r="FL40" t="n">
        <v>75.87403431149163</v>
      </c>
      <c r="FM40" t="n">
        <v>76.59964303355</v>
      </c>
      <c r="HH40" t="n">
        <v>75.55</v>
      </c>
      <c r="HS40" t="n">
        <v>-1.88</v>
      </c>
      <c r="ID40" t="n">
        <v>1.21</v>
      </c>
      <c r="IF40" t="n">
        <v>5</v>
      </c>
      <c r="IG40" t="n">
        <v>118</v>
      </c>
      <c r="IH40" t="n">
        <v>708</v>
      </c>
      <c r="II40" t="n">
        <v>-472</v>
      </c>
      <c r="IJ40" t="n">
        <v>114.06754</v>
      </c>
      <c r="IK40" t="n">
        <v>114.6845388989999</v>
      </c>
      <c r="IL40" t="n">
        <v>117.5674474988222</v>
      </c>
      <c r="IM40" t="n">
        <v>116.1362354330362</v>
      </c>
      <c r="KH40" t="n">
        <v>115.614</v>
      </c>
      <c r="KS40" t="n">
        <v>-2.02</v>
      </c>
      <c r="LD40" t="n">
        <v>1.17</v>
      </c>
    </row>
    <row r="41">
      <c r="A41" t="inlineStr">
        <is>
          <t>2026-06-12</t>
        </is>
      </c>
      <c r="B41" t="inlineStr">
        <is>
          <t>Critical Care 26</t>
        </is>
      </c>
      <c r="C41" t="inlineStr">
        <is>
          <t>205826061201</t>
        </is>
      </c>
      <c r="D41" t="inlineStr">
        <is>
          <t>K</t>
        </is>
      </c>
      <c r="G41" t="n">
        <v>3.9</v>
      </c>
      <c r="J41" t="n">
        <v>1.1743056</v>
      </c>
      <c r="K41" t="n">
        <v>3.429034157020925</v>
      </c>
      <c r="L41" t="n">
        <v>3.533688614969053</v>
      </c>
      <c r="M41" t="n">
        <v>3.606730224909631</v>
      </c>
      <c r="BH41" t="n">
        <v>2.936</v>
      </c>
      <c r="BS41" t="n">
        <v>-24.72</v>
      </c>
      <c r="CD41" t="n">
        <v>34.71</v>
      </c>
      <c r="CG41" t="n">
        <v>6</v>
      </c>
      <c r="CJ41" t="n">
        <v>6.270712</v>
      </c>
      <c r="CK41" t="n">
        <v>6.002812162158205</v>
      </c>
      <c r="CL41" t="n">
        <v>6.15734471078995</v>
      </c>
      <c r="CM41" t="n">
        <v>6.203583693095109</v>
      </c>
      <c r="EH41" t="n">
        <v>6.159</v>
      </c>
      <c r="ES41" t="n">
        <v>2.64</v>
      </c>
      <c r="FD41" t="n">
        <v>1.6</v>
      </c>
      <c r="FG41" t="n">
        <v>2.2</v>
      </c>
      <c r="FJ41" t="n">
        <v>2.528953</v>
      </c>
      <c r="FK41" t="n">
        <v>2.214692533543413</v>
      </c>
      <c r="FL41" t="n">
        <v>2.162164768286068</v>
      </c>
      <c r="FM41" t="n">
        <v>2.215679306501575</v>
      </c>
      <c r="HH41" t="n">
        <v>2.28</v>
      </c>
      <c r="HS41" t="n">
        <v>3.65</v>
      </c>
      <c r="ID41" t="n">
        <v>6.36</v>
      </c>
      <c r="IG41" t="n">
        <v>8.4</v>
      </c>
      <c r="IJ41" t="n">
        <v>8.248189</v>
      </c>
      <c r="IK41" t="n">
        <v>7.994544728674549</v>
      </c>
      <c r="IL41" t="n">
        <v>8.024649066325576</v>
      </c>
      <c r="IM41" t="n">
        <v>8.095477485411235</v>
      </c>
      <c r="KH41" t="n">
        <v>8.090999999999999</v>
      </c>
      <c r="KS41" t="n">
        <v>-3.68</v>
      </c>
      <c r="LD41" t="n">
        <v>1.21</v>
      </c>
    </row>
    <row r="42">
      <c r="A42" t="inlineStr">
        <is>
          <t>2026-06-12</t>
        </is>
      </c>
      <c r="B42" t="inlineStr">
        <is>
          <t>Critical Care 26</t>
        </is>
      </c>
      <c r="C42" t="inlineStr">
        <is>
          <t>205826061201</t>
        </is>
      </c>
      <c r="D42" t="inlineStr">
        <is>
          <t>LAC</t>
        </is>
      </c>
      <c r="F42" t="n">
        <v>15</v>
      </c>
      <c r="G42" t="n">
        <v>4.399999999999999</v>
      </c>
      <c r="H42" t="n">
        <v>70.39999999999999</v>
      </c>
      <c r="I42" t="n">
        <v>-61.59999999999999</v>
      </c>
      <c r="J42" t="n">
        <v>1.7657925</v>
      </c>
      <c r="K42" t="n">
        <v>4.080369421694422</v>
      </c>
      <c r="L42" t="n">
        <v>4.110193089320967</v>
      </c>
      <c r="M42" t="n">
        <v>4.160865842491331</v>
      </c>
      <c r="BH42" t="n">
        <v>3.529</v>
      </c>
      <c r="BS42" t="n">
        <v>-19.79</v>
      </c>
      <c r="CD42" t="n">
        <v>28.86</v>
      </c>
      <c r="CF42" t="n">
        <v>15</v>
      </c>
      <c r="CG42" t="n">
        <v>1.15</v>
      </c>
      <c r="CH42" t="n">
        <v>18.4</v>
      </c>
      <c r="CI42" t="n">
        <v>-16.1</v>
      </c>
      <c r="CJ42" t="n">
        <v>1.0143123</v>
      </c>
      <c r="CK42" t="n">
        <v>0.9920475544270102</v>
      </c>
      <c r="CL42" t="n">
        <v>0.9961562663693371</v>
      </c>
      <c r="CM42" t="n">
        <v>0.9793205956114723</v>
      </c>
      <c r="EH42" t="n">
        <v>0.995</v>
      </c>
      <c r="ES42" t="n">
        <v>-13.44</v>
      </c>
      <c r="FD42" t="n">
        <v>1.26</v>
      </c>
      <c r="FF42" t="n">
        <v>15</v>
      </c>
      <c r="FG42" t="n">
        <v>1.45</v>
      </c>
      <c r="FH42" t="n">
        <v>23.2</v>
      </c>
      <c r="FI42" t="n">
        <v>-20.3</v>
      </c>
      <c r="FJ42" t="n">
        <v>1.2648686</v>
      </c>
      <c r="FK42" t="n">
        <v>1.303381467925673</v>
      </c>
      <c r="FL42" t="n">
        <v>1.337922339315891</v>
      </c>
      <c r="FM42" t="n">
        <v>1.309638758105058</v>
      </c>
      <c r="HH42" t="n">
        <v>1.304</v>
      </c>
      <c r="HS42" t="n">
        <v>-10.07</v>
      </c>
      <c r="ID42" t="n">
        <v>2</v>
      </c>
      <c r="IF42" t="n">
        <v>15</v>
      </c>
      <c r="IG42" t="n">
        <v>5.899999999999999</v>
      </c>
      <c r="IH42" t="n">
        <v>94.39999999999999</v>
      </c>
      <c r="II42" t="n">
        <v>-82.59999999999999</v>
      </c>
      <c r="IJ42" t="n">
        <v>5.108078</v>
      </c>
      <c r="IK42" t="n">
        <v>5.040059161516673</v>
      </c>
      <c r="IL42" t="n">
        <v>5.421378051441494</v>
      </c>
      <c r="IM42" t="n">
        <v>4.986963062092696</v>
      </c>
      <c r="KH42" t="n">
        <v>5.139</v>
      </c>
      <c r="KS42" t="n">
        <v>-12.9</v>
      </c>
      <c r="LD42" t="n">
        <v>3.28</v>
      </c>
    </row>
    <row r="43">
      <c r="A43" t="inlineStr">
        <is>
          <t>2026-06-12</t>
        </is>
      </c>
      <c r="B43" t="inlineStr">
        <is>
          <t>Critical Care 26</t>
        </is>
      </c>
      <c r="C43" t="inlineStr">
        <is>
          <t>205826061201</t>
        </is>
      </c>
      <c r="D43" t="inlineStr">
        <is>
          <t>Na</t>
        </is>
      </c>
      <c r="G43" t="n">
        <v>141</v>
      </c>
      <c r="J43" t="n">
        <v>100.99987</v>
      </c>
      <c r="K43" t="n">
        <v>141.7647174753674</v>
      </c>
      <c r="L43" t="n">
        <v>144.3884187853006</v>
      </c>
      <c r="M43" t="n">
        <v>147.7423177342565</v>
      </c>
      <c r="BH43" t="n">
        <v>133.724</v>
      </c>
      <c r="BS43" t="n">
        <v>-5.16</v>
      </c>
      <c r="CD43" t="n">
        <v>14.22</v>
      </c>
      <c r="CG43" t="n">
        <v>129</v>
      </c>
      <c r="CJ43" t="n">
        <v>134.67688</v>
      </c>
      <c r="CK43" t="n">
        <v>135.2289735525623</v>
      </c>
      <c r="CL43" t="n">
        <v>137.380202335424</v>
      </c>
      <c r="CM43" t="n">
        <v>134.2193188501452</v>
      </c>
      <c r="EH43" t="n">
        <v>135.376</v>
      </c>
      <c r="ES43" t="n">
        <v>4.94</v>
      </c>
      <c r="FD43" t="n">
        <v>0.89</v>
      </c>
      <c r="FG43" t="n">
        <v>118</v>
      </c>
      <c r="FJ43" t="n">
        <v>126.131996</v>
      </c>
      <c r="FK43" t="n">
        <v>122.4926477795561</v>
      </c>
      <c r="FL43" t="n">
        <v>123.9293593413778</v>
      </c>
      <c r="FM43" t="n">
        <v>123.7434464532101</v>
      </c>
      <c r="HH43" t="n">
        <v>124.074</v>
      </c>
      <c r="HS43" t="n">
        <v>5.15</v>
      </c>
      <c r="ID43" t="n">
        <v>1.06</v>
      </c>
      <c r="IG43" t="n">
        <v>166</v>
      </c>
      <c r="IJ43" t="n">
        <v>165.24886</v>
      </c>
      <c r="IK43" t="n">
        <v>163.2216100133133</v>
      </c>
      <c r="IL43" t="n">
        <v>161.1200200747917</v>
      </c>
      <c r="IM43" t="n">
        <v>162.9594048766594</v>
      </c>
      <c r="KH43" t="n">
        <v>163.137</v>
      </c>
      <c r="KS43" t="n">
        <v>-1.72</v>
      </c>
      <c r="LD43" t="n">
        <v>0.9</v>
      </c>
    </row>
    <row r="44">
      <c r="A44" t="inlineStr">
        <is>
          <t>2026-06-12</t>
        </is>
      </c>
      <c r="B44" t="inlineStr">
        <is>
          <t>Critical Care 26</t>
        </is>
      </c>
      <c r="C44" t="inlineStr">
        <is>
          <t>205826061201</t>
        </is>
      </c>
      <c r="D44" t="inlineStr">
        <is>
          <t>TCO2</t>
        </is>
      </c>
      <c r="F44" t="n">
        <v>20</v>
      </c>
      <c r="G44" t="n">
        <v>32.5</v>
      </c>
      <c r="H44" t="n">
        <v>682.5</v>
      </c>
      <c r="I44" t="n">
        <v>-617.5</v>
      </c>
      <c r="J44" t="n">
        <v>16.741236</v>
      </c>
      <c r="K44" t="n">
        <v>33.36703855230721</v>
      </c>
      <c r="L44" t="n">
        <v>31.52319633772729</v>
      </c>
      <c r="M44" t="n">
        <v>36.66009990560832</v>
      </c>
      <c r="BH44" t="n">
        <v>29.573</v>
      </c>
      <c r="BS44" t="n">
        <v>-9.01</v>
      </c>
      <c r="CD44" t="n">
        <v>25.81</v>
      </c>
      <c r="CF44" t="n">
        <v>20</v>
      </c>
      <c r="CG44" t="n">
        <v>21.2</v>
      </c>
      <c r="CH44" t="n">
        <v>445.2</v>
      </c>
      <c r="CI44" t="n">
        <v>-402.8</v>
      </c>
      <c r="CJ44" t="n">
        <v>18.478508</v>
      </c>
      <c r="CK44" t="n">
        <v>20.27336358121555</v>
      </c>
      <c r="CL44" t="n">
        <v>18.98478948119325</v>
      </c>
      <c r="CM44" t="n">
        <v>19.90719418807253</v>
      </c>
      <c r="EH44" t="n">
        <v>19.411</v>
      </c>
      <c r="ES44" t="n">
        <v>-8.44</v>
      </c>
      <c r="FD44" t="n">
        <v>3.68</v>
      </c>
      <c r="FF44" t="n">
        <v>20</v>
      </c>
      <c r="FG44" t="n">
        <v>17.3</v>
      </c>
      <c r="FH44" t="n">
        <v>363.3</v>
      </c>
      <c r="FI44" t="n">
        <v>-328.7</v>
      </c>
      <c r="FJ44" t="n">
        <v>22.169373</v>
      </c>
      <c r="FK44" t="n">
        <v>22.45267704227137</v>
      </c>
      <c r="FL44" t="n">
        <v>18.8803899978791</v>
      </c>
      <c r="FM44" t="n">
        <v>22.29219418836107</v>
      </c>
      <c r="HH44" t="n">
        <v>21.449</v>
      </c>
      <c r="HS44" t="n">
        <v>23.98</v>
      </c>
      <c r="ID44" t="n">
        <v>6.93</v>
      </c>
      <c r="IF44" t="n">
        <v>20</v>
      </c>
      <c r="IG44" t="n">
        <v>26.7</v>
      </c>
      <c r="IH44" t="n">
        <v>560.6999999999999</v>
      </c>
      <c r="II44" t="n">
        <v>-507.3</v>
      </c>
      <c r="IJ44" t="n">
        <v>27.547096</v>
      </c>
      <c r="IK44" t="n">
        <v>28.78299814566013</v>
      </c>
      <c r="IL44" t="n">
        <v>27.7865359003275</v>
      </c>
      <c r="IM44" t="n">
        <v>29.62030947949524</v>
      </c>
      <c r="KH44" t="n">
        <v>28.434</v>
      </c>
      <c r="KS44" t="n">
        <v>6.5</v>
      </c>
      <c r="LD44" t="n">
        <v>2.91</v>
      </c>
    </row>
    <row r="45">
      <c r="A45" t="inlineStr">
        <is>
          <t>2026-06-12</t>
        </is>
      </c>
      <c r="B45" t="inlineStr">
        <is>
          <t>Optimum Wellness 37</t>
        </is>
      </c>
      <c r="C45" t="inlineStr">
        <is>
          <t>109126061201</t>
        </is>
      </c>
      <c r="D45" t="inlineStr">
        <is>
          <t>ALB</t>
        </is>
      </c>
      <c r="F45" t="n">
        <v>8</v>
      </c>
      <c r="G45" t="n">
        <v>4.2</v>
      </c>
      <c r="H45" t="n">
        <v>37.8</v>
      </c>
      <c r="I45" t="n">
        <v>-29.4</v>
      </c>
      <c r="CF45" t="n">
        <v>8</v>
      </c>
      <c r="CG45" t="n">
        <v>2.7</v>
      </c>
      <c r="CH45" t="n">
        <v>24.3</v>
      </c>
      <c r="CI45" t="n">
        <v>-18.9</v>
      </c>
      <c r="CJ45" t="n">
        <v>2.7678773</v>
      </c>
      <c r="CK45" t="n">
        <v>2.7129772</v>
      </c>
      <c r="CL45" t="n">
        <v>2.7531538</v>
      </c>
      <c r="EH45" t="n">
        <v>2.745</v>
      </c>
      <c r="ES45" t="n">
        <v>1.65</v>
      </c>
      <c r="FD45" t="n">
        <v>0.85</v>
      </c>
      <c r="FF45" t="n">
        <v>8</v>
      </c>
      <c r="FG45" t="n">
        <v>2.6</v>
      </c>
      <c r="FH45" t="n">
        <v>23.4</v>
      </c>
      <c r="FI45" t="n">
        <v>-18.2</v>
      </c>
      <c r="IF45" t="n">
        <v>8</v>
      </c>
      <c r="IG45" t="n">
        <v>4.2</v>
      </c>
      <c r="IH45" t="n">
        <v>37.8</v>
      </c>
      <c r="II45" t="n">
        <v>-29.4</v>
      </c>
    </row>
    <row r="46">
      <c r="A46" t="inlineStr">
        <is>
          <t>2026-06-12</t>
        </is>
      </c>
      <c r="B46" t="inlineStr">
        <is>
          <t>Critical Care 26</t>
        </is>
      </c>
      <c r="C46" t="inlineStr">
        <is>
          <t>105726061201</t>
        </is>
      </c>
      <c r="D46" t="inlineStr">
        <is>
          <t>ALB</t>
        </is>
      </c>
      <c r="F46" t="n">
        <v>8</v>
      </c>
      <c r="G46" t="n">
        <v>4.2</v>
      </c>
      <c r="H46" t="n">
        <v>37.8</v>
      </c>
      <c r="I46" t="n">
        <v>-29.4</v>
      </c>
      <c r="J46" t="n">
        <v>3.916427</v>
      </c>
      <c r="K46" t="n">
        <v>3.929213478058041</v>
      </c>
      <c r="L46" t="n">
        <v>4.048701759277995</v>
      </c>
      <c r="M46" t="n">
        <v>3.924480220393545</v>
      </c>
      <c r="BH46" t="n">
        <v>3.955</v>
      </c>
      <c r="BS46" t="n">
        <v>-5.84</v>
      </c>
      <c r="CD46" t="n">
        <v>1.38</v>
      </c>
      <c r="CF46" t="n">
        <v>8</v>
      </c>
      <c r="CG46" t="n">
        <v>2.7</v>
      </c>
      <c r="CH46" t="n">
        <v>24.3</v>
      </c>
      <c r="CI46" t="n">
        <v>-18.9</v>
      </c>
      <c r="CJ46" t="n">
        <v>2.655314</v>
      </c>
      <c r="CK46" t="n">
        <v>2.646437212854519</v>
      </c>
      <c r="CL46" t="n">
        <v>2.665587015048366</v>
      </c>
      <c r="CM46" t="n">
        <v>2.676679277221622</v>
      </c>
      <c r="EH46" t="n">
        <v>2.661</v>
      </c>
      <c r="ES46" t="n">
        <v>-1.44</v>
      </c>
      <c r="FD46" t="n">
        <v>0.42</v>
      </c>
      <c r="FF46" t="n">
        <v>8</v>
      </c>
      <c r="FG46" t="n">
        <v>2.6</v>
      </c>
      <c r="FH46" t="n">
        <v>23.4</v>
      </c>
      <c r="FI46" t="n">
        <v>-18.2</v>
      </c>
      <c r="FJ46" t="n">
        <v>2.5173404</v>
      </c>
      <c r="FK46" t="n">
        <v>2.506020345747527</v>
      </c>
      <c r="FL46" t="n">
        <v>2.530887714809023</v>
      </c>
      <c r="FM46" t="n">
        <v>2.531713772216943</v>
      </c>
      <c r="HH46" t="n">
        <v>2.521</v>
      </c>
      <c r="HS46" t="n">
        <v>-3.02</v>
      </c>
      <c r="ID46" t="n">
        <v>0.42</v>
      </c>
      <c r="IF46" t="n">
        <v>8</v>
      </c>
      <c r="IG46" t="n">
        <v>4.2</v>
      </c>
      <c r="IH46" t="n">
        <v>37.8</v>
      </c>
      <c r="II46" t="n">
        <v>-29.4</v>
      </c>
      <c r="IJ46" t="n">
        <v>3.9032755</v>
      </c>
      <c r="IK46" t="n">
        <v>4.025195121614448</v>
      </c>
      <c r="IL46" t="n">
        <v>4.053093300726942</v>
      </c>
      <c r="IM46" t="n">
        <v>3.951465756719297</v>
      </c>
      <c r="KH46" t="n">
        <v>3.983</v>
      </c>
      <c r="KS46" t="n">
        <v>-5.16</v>
      </c>
      <c r="LD46" t="n">
        <v>1.49</v>
      </c>
    </row>
    <row r="47">
      <c r="A47" t="inlineStr">
        <is>
          <t>2026-06-12</t>
        </is>
      </c>
      <c r="B47" t="inlineStr">
        <is>
          <t>Critical Care 26</t>
        </is>
      </c>
      <c r="C47" t="inlineStr">
        <is>
          <t>105726061201</t>
        </is>
      </c>
      <c r="D47" t="inlineStr">
        <is>
          <t>ALP</t>
        </is>
      </c>
      <c r="F47" t="n">
        <v>20</v>
      </c>
      <c r="G47" t="n">
        <v>136</v>
      </c>
      <c r="H47" t="n">
        <v>2856</v>
      </c>
      <c r="I47" t="n">
        <v>-2584</v>
      </c>
      <c r="J47" t="n">
        <v>141.79726</v>
      </c>
      <c r="K47" t="n">
        <v>142.5893165380968</v>
      </c>
      <c r="L47" t="n">
        <v>144.2477973497648</v>
      </c>
      <c r="M47" t="n">
        <v>142.0909190546847</v>
      </c>
      <c r="BH47" t="n">
        <v>142.681</v>
      </c>
      <c r="BS47" t="n">
        <v>4.91</v>
      </c>
      <c r="CD47" t="n">
        <v>0.66</v>
      </c>
      <c r="CF47" t="n">
        <v>20</v>
      </c>
      <c r="CG47" t="n">
        <v>456</v>
      </c>
      <c r="CH47" t="n">
        <v>9576</v>
      </c>
      <c r="CI47" t="n">
        <v>-8664</v>
      </c>
      <c r="CJ47" t="n">
        <v>467.28073</v>
      </c>
      <c r="CK47" t="n">
        <v>463.0569826962802</v>
      </c>
      <c r="CL47" t="n">
        <v>468.4610395727788</v>
      </c>
      <c r="CM47" t="n">
        <v>462.300813648465</v>
      </c>
      <c r="EH47" t="n">
        <v>465.275</v>
      </c>
      <c r="ES47" t="n">
        <v>2.03</v>
      </c>
      <c r="FD47" t="n">
        <v>0.57</v>
      </c>
      <c r="FF47" t="n">
        <v>20</v>
      </c>
      <c r="FG47" t="n">
        <v>75</v>
      </c>
      <c r="FH47" t="n">
        <v>1575</v>
      </c>
      <c r="FI47" t="n">
        <v>-1425</v>
      </c>
      <c r="FJ47" t="n">
        <v>73.20469</v>
      </c>
      <c r="FK47" t="n">
        <v>72.08911066137424</v>
      </c>
      <c r="FL47" t="n">
        <v>71.80069154897343</v>
      </c>
      <c r="FM47" t="n">
        <v>72.9008701584586</v>
      </c>
      <c r="HH47" t="n">
        <v>72.499</v>
      </c>
      <c r="HS47" t="n">
        <v>-3.33</v>
      </c>
      <c r="ID47" t="n">
        <v>0.79</v>
      </c>
      <c r="IF47" t="n">
        <v>20</v>
      </c>
      <c r="IG47" t="n">
        <v>251</v>
      </c>
      <c r="IH47" t="n">
        <v>5271</v>
      </c>
      <c r="II47" t="n">
        <v>-4769</v>
      </c>
      <c r="IJ47" t="n">
        <v>237.02759</v>
      </c>
      <c r="IK47" t="n">
        <v>233.8825210854688</v>
      </c>
      <c r="IL47" t="n">
        <v>238.669935393891</v>
      </c>
      <c r="IM47" t="n">
        <v>236.716702447407</v>
      </c>
      <c r="KH47" t="n">
        <v>236.574</v>
      </c>
      <c r="KS47" t="n">
        <v>-5.75</v>
      </c>
      <c r="LD47" t="n">
        <v>0.73</v>
      </c>
    </row>
    <row r="48">
      <c r="A48" t="inlineStr">
        <is>
          <t>2026-06-12</t>
        </is>
      </c>
      <c r="B48" t="inlineStr">
        <is>
          <t>Critical Care 26</t>
        </is>
      </c>
      <c r="C48" t="inlineStr">
        <is>
          <t>105726061201</t>
        </is>
      </c>
      <c r="D48" t="inlineStr">
        <is>
          <t>ALT</t>
        </is>
      </c>
      <c r="F48" t="n">
        <v>15</v>
      </c>
      <c r="G48" t="n">
        <v>28</v>
      </c>
      <c r="H48" t="n">
        <v>448</v>
      </c>
      <c r="I48" t="n">
        <v>-392</v>
      </c>
      <c r="J48" t="n">
        <v>27.105425</v>
      </c>
      <c r="K48" t="n">
        <v>31.59718126040389</v>
      </c>
      <c r="L48" t="n">
        <v>29.87768818033352</v>
      </c>
      <c r="M48" t="n">
        <v>31.97199972635784</v>
      </c>
      <c r="BH48" t="n">
        <v>30.138</v>
      </c>
      <c r="BS48" t="n">
        <v>7.64</v>
      </c>
      <c r="CD48" t="n">
        <v>6.37</v>
      </c>
      <c r="CF48" t="n">
        <v>15</v>
      </c>
      <c r="CG48" t="n">
        <v>115</v>
      </c>
      <c r="CH48" t="n">
        <v>1840</v>
      </c>
      <c r="CI48" t="n">
        <v>-1610</v>
      </c>
      <c r="CJ48" t="n">
        <v>118.618576</v>
      </c>
      <c r="CK48" t="n">
        <v>118.2615334735187</v>
      </c>
      <c r="CL48" t="n">
        <v>124.7048844940106</v>
      </c>
      <c r="CM48" t="n">
        <v>120.4305757069054</v>
      </c>
      <c r="EH48" t="n">
        <v>120.504</v>
      </c>
      <c r="ES48" t="n">
        <v>4.79</v>
      </c>
      <c r="FD48" t="n">
        <v>2.13</v>
      </c>
      <c r="FF48" t="n">
        <v>15</v>
      </c>
      <c r="FG48" t="n">
        <v>26</v>
      </c>
      <c r="FH48" t="n">
        <v>416</v>
      </c>
      <c r="FI48" t="n">
        <v>-364</v>
      </c>
      <c r="FJ48" t="n">
        <v>28.391197</v>
      </c>
      <c r="FK48" t="n">
        <v>24.61411126836099</v>
      </c>
      <c r="FL48" t="n">
        <v>22.45879180477518</v>
      </c>
      <c r="FM48" t="n">
        <v>24.08150477397177</v>
      </c>
      <c r="HH48" t="n">
        <v>24.886</v>
      </c>
      <c r="HS48" t="n">
        <v>-4.28</v>
      </c>
      <c r="ID48" t="n">
        <v>8.73</v>
      </c>
      <c r="IF48" t="n">
        <v>15</v>
      </c>
      <c r="IG48" t="n">
        <v>217</v>
      </c>
      <c r="IH48" t="n">
        <v>3472</v>
      </c>
      <c r="II48" t="n">
        <v>-3038</v>
      </c>
      <c r="IJ48" t="n">
        <v>221.41792</v>
      </c>
      <c r="IK48" t="n">
        <v>221.7139066835911</v>
      </c>
      <c r="IL48" t="n">
        <v>223.9484961733297</v>
      </c>
      <c r="IM48" t="n">
        <v>219.3754101973038</v>
      </c>
      <c r="KH48" t="n">
        <v>221.614</v>
      </c>
      <c r="KS48" t="n">
        <v>2.13</v>
      </c>
      <c r="LD48" t="n">
        <v>0.73</v>
      </c>
    </row>
    <row r="49">
      <c r="A49" t="inlineStr">
        <is>
          <t>2026-06-12</t>
        </is>
      </c>
      <c r="B49" t="inlineStr">
        <is>
          <t>Critical Care 26</t>
        </is>
      </c>
      <c r="C49" t="inlineStr">
        <is>
          <t>105726061201</t>
        </is>
      </c>
      <c r="D49" t="inlineStr">
        <is>
          <t>BUN</t>
        </is>
      </c>
      <c r="F49" t="n">
        <v>9</v>
      </c>
      <c r="G49" t="n">
        <v>14.8</v>
      </c>
      <c r="H49" t="n">
        <v>148</v>
      </c>
      <c r="I49" t="n">
        <v>-118.4</v>
      </c>
      <c r="J49" t="n">
        <v>14.678883</v>
      </c>
      <c r="K49" t="n">
        <v>14.77429441032323</v>
      </c>
      <c r="L49" t="n">
        <v>15.08074050901307</v>
      </c>
      <c r="M49" t="n">
        <v>14.93674509854774</v>
      </c>
      <c r="BH49" t="n">
        <v>14.868</v>
      </c>
      <c r="BS49" t="n">
        <v>0.46</v>
      </c>
      <c r="CD49" t="n">
        <v>1.03</v>
      </c>
      <c r="CF49" t="n">
        <v>9</v>
      </c>
      <c r="CG49" t="n">
        <v>44.7</v>
      </c>
      <c r="CH49" t="n">
        <v>447</v>
      </c>
      <c r="CI49" t="n">
        <v>-357.6</v>
      </c>
      <c r="CJ49" t="n">
        <v>46.15411</v>
      </c>
      <c r="CK49" t="n">
        <v>45.66768040542834</v>
      </c>
      <c r="CL49" t="n">
        <v>45.9347734853309</v>
      </c>
      <c r="CM49" t="n">
        <v>46.23310237161262</v>
      </c>
      <c r="EH49" t="n">
        <v>45.997</v>
      </c>
      <c r="ES49" t="n">
        <v>2.9</v>
      </c>
      <c r="FD49" t="n">
        <v>0.48</v>
      </c>
      <c r="FF49" t="n">
        <v>9</v>
      </c>
      <c r="FG49" t="n">
        <v>14.7</v>
      </c>
      <c r="FH49" t="n">
        <v>147</v>
      </c>
      <c r="FI49" t="n">
        <v>-117.6</v>
      </c>
      <c r="FJ49" t="n">
        <v>15.351206</v>
      </c>
      <c r="FK49" t="n">
        <v>15.04760448042162</v>
      </c>
      <c r="FL49" t="n">
        <v>14.77820087988051</v>
      </c>
      <c r="FM49" t="n">
        <v>15.08055017297151</v>
      </c>
      <c r="HH49" t="n">
        <v>15.064</v>
      </c>
      <c r="HS49" t="n">
        <v>2.48</v>
      </c>
      <c r="ID49" t="n">
        <v>1.35</v>
      </c>
      <c r="IF49" t="n">
        <v>9</v>
      </c>
      <c r="IG49" t="n">
        <v>65.7</v>
      </c>
      <c r="IH49" t="n">
        <v>657</v>
      </c>
      <c r="II49" t="n">
        <v>-525.6</v>
      </c>
      <c r="IJ49" t="n">
        <v>68.0314</v>
      </c>
      <c r="IK49" t="n">
        <v>67.27142751197545</v>
      </c>
      <c r="IL49" t="n">
        <v>67.55656847865349</v>
      </c>
      <c r="IM49" t="n">
        <v>67.22504760093474</v>
      </c>
      <c r="KH49" t="n">
        <v>67.521</v>
      </c>
      <c r="KS49" t="n">
        <v>2.77</v>
      </c>
      <c r="LD49" t="n">
        <v>0.48</v>
      </c>
    </row>
    <row r="50">
      <c r="A50" t="inlineStr">
        <is>
          <t>2026-06-12</t>
        </is>
      </c>
      <c r="B50" t="inlineStr">
        <is>
          <t>Critical Care 26</t>
        </is>
      </c>
      <c r="C50" t="inlineStr">
        <is>
          <t>105726061201</t>
        </is>
      </c>
      <c r="D50" t="inlineStr">
        <is>
          <t>CREA</t>
        </is>
      </c>
      <c r="F50" t="n">
        <v>10</v>
      </c>
      <c r="G50" t="n">
        <v>1.5</v>
      </c>
      <c r="H50" t="n">
        <v>16.5</v>
      </c>
      <c r="I50" t="n">
        <v>-13.5</v>
      </c>
      <c r="J50" t="n">
        <v>1.2032228</v>
      </c>
      <c r="K50" t="n">
        <v>1.202576402899249</v>
      </c>
      <c r="L50" t="n">
        <v>1.338615956254282</v>
      </c>
      <c r="M50" t="n">
        <v>1.268755024975957</v>
      </c>
      <c r="BH50" t="n">
        <v>1.253</v>
      </c>
      <c r="BS50" t="n">
        <v>-16.45</v>
      </c>
      <c r="CD50" t="n">
        <v>4.48</v>
      </c>
      <c r="CF50" t="n">
        <v>10</v>
      </c>
      <c r="CG50" t="n">
        <v>5.55</v>
      </c>
      <c r="CH50" t="n">
        <v>61.05</v>
      </c>
      <c r="CI50" t="n">
        <v>-49.95</v>
      </c>
      <c r="CJ50" t="n">
        <v>4.7201104</v>
      </c>
      <c r="CK50" t="n">
        <v>4.715712089060977</v>
      </c>
      <c r="CL50" t="n">
        <v>4.86886983770962</v>
      </c>
      <c r="CM50" t="n">
        <v>4.879758761956897</v>
      </c>
      <c r="EH50" t="n">
        <v>4.796</v>
      </c>
      <c r="ES50" t="n">
        <v>-13.58</v>
      </c>
      <c r="FD50" t="n">
        <v>1.63</v>
      </c>
      <c r="FF50" t="n">
        <v>10</v>
      </c>
      <c r="FG50" t="n">
        <v>0.97</v>
      </c>
      <c r="FH50" t="n">
        <v>10.67</v>
      </c>
      <c r="FI50" t="n">
        <v>-8.73</v>
      </c>
      <c r="FJ50" t="n">
        <v>0.6633679</v>
      </c>
      <c r="FK50" t="n">
        <v>0.6601830805426138</v>
      </c>
      <c r="FL50" t="n">
        <v>0.6693556296834068</v>
      </c>
      <c r="FM50" t="n">
        <v>0.6825389557902123</v>
      </c>
      <c r="HH50" t="n">
        <v>0.669</v>
      </c>
      <c r="HS50" t="n">
        <v>-31.05</v>
      </c>
      <c r="ID50" t="n">
        <v>1.28</v>
      </c>
      <c r="IF50" t="n">
        <v>10</v>
      </c>
      <c r="IG50" t="n">
        <v>5.95</v>
      </c>
      <c r="IH50" t="n">
        <v>65.45</v>
      </c>
      <c r="II50" t="n">
        <v>-53.55</v>
      </c>
      <c r="IJ50" t="n">
        <v>5.558937</v>
      </c>
      <c r="IK50" t="n">
        <v>5.569838130820686</v>
      </c>
      <c r="IL50" t="n">
        <v>5.553667290001797</v>
      </c>
      <c r="IM50" t="n">
        <v>5.677941571283654</v>
      </c>
      <c r="KH50" t="n">
        <v>5.59</v>
      </c>
      <c r="KS50" t="n">
        <v>-6.05</v>
      </c>
      <c r="LD50" t="n">
        <v>0.91</v>
      </c>
    </row>
    <row r="51">
      <c r="A51" t="inlineStr">
        <is>
          <t>2026-06-12</t>
        </is>
      </c>
      <c r="B51" t="inlineStr">
        <is>
          <t>Critical Care 26</t>
        </is>
      </c>
      <c r="C51" t="inlineStr">
        <is>
          <t>105726061201</t>
        </is>
      </c>
      <c r="D51" t="inlineStr">
        <is>
          <t>GLU</t>
        </is>
      </c>
      <c r="F51" t="n">
        <v>8</v>
      </c>
      <c r="G51" t="n">
        <v>90.16</v>
      </c>
      <c r="H51" t="n">
        <v>811.4399999999999</v>
      </c>
      <c r="I51" t="n">
        <v>-631.12</v>
      </c>
      <c r="J51" t="n">
        <v>90.51242000000001</v>
      </c>
      <c r="K51" t="n">
        <v>91.77107836266779</v>
      </c>
      <c r="L51" t="n">
        <v>92.72412944845621</v>
      </c>
      <c r="M51" t="n">
        <v>92.2567780170982</v>
      </c>
      <c r="BH51" t="n">
        <v>91.816</v>
      </c>
      <c r="BS51" t="n">
        <v>1.84</v>
      </c>
      <c r="CD51" t="n">
        <v>0.9</v>
      </c>
      <c r="CF51" t="n">
        <v>8</v>
      </c>
      <c r="CG51" t="n">
        <v>293.02</v>
      </c>
      <c r="CH51" t="n">
        <v>2637.18</v>
      </c>
      <c r="CI51" t="n">
        <v>-2051.14</v>
      </c>
      <c r="CJ51" t="n">
        <v>305.10898</v>
      </c>
      <c r="CK51" t="n">
        <v>301.9749758133104</v>
      </c>
      <c r="CL51" t="n">
        <v>301.9794954599239</v>
      </c>
      <c r="CM51" t="n">
        <v>306.6533866054122</v>
      </c>
      <c r="EH51" t="n">
        <v>303.929</v>
      </c>
      <c r="ES51" t="n">
        <v>3.72</v>
      </c>
      <c r="FD51" t="n">
        <v>0.67</v>
      </c>
      <c r="FF51" t="n">
        <v>8</v>
      </c>
      <c r="FG51" t="n">
        <v>65.66</v>
      </c>
      <c r="FH51" t="n">
        <v>590.9399999999999</v>
      </c>
      <c r="FI51" t="n">
        <v>-459.62</v>
      </c>
      <c r="FJ51" t="n">
        <v>69.06816000000001</v>
      </c>
      <c r="FK51" t="n">
        <v>67.60497745828437</v>
      </c>
      <c r="FL51" t="n">
        <v>67.07420683749443</v>
      </c>
      <c r="FM51" t="n">
        <v>67.39277224537308</v>
      </c>
      <c r="HH51" t="n">
        <v>67.785</v>
      </c>
      <c r="HS51" t="n">
        <v>3.24</v>
      </c>
      <c r="ID51" t="n">
        <v>1.13</v>
      </c>
      <c r="IF51" t="n">
        <v>8</v>
      </c>
      <c r="IG51" t="n">
        <v>359.66</v>
      </c>
      <c r="IH51" t="n">
        <v>3236.94</v>
      </c>
      <c r="II51" t="n">
        <v>-2517.62</v>
      </c>
      <c r="IJ51" t="n">
        <v>377.78098</v>
      </c>
      <c r="IK51" t="n">
        <v>380.3811137047404</v>
      </c>
      <c r="IL51" t="n">
        <v>379.8212659898837</v>
      </c>
      <c r="IM51" t="n">
        <v>379.2970068377425</v>
      </c>
      <c r="KH51" t="n">
        <v>379.32</v>
      </c>
      <c r="KS51" t="n">
        <v>5.47</v>
      </c>
      <c r="LD51" t="n">
        <v>0.26</v>
      </c>
    </row>
    <row r="52">
      <c r="A52" t="inlineStr">
        <is>
          <t>2026-06-12</t>
        </is>
      </c>
      <c r="B52" t="inlineStr">
        <is>
          <t>Critical Care 26</t>
        </is>
      </c>
      <c r="C52" t="inlineStr">
        <is>
          <t>105726061201</t>
        </is>
      </c>
      <c r="D52" t="inlineStr">
        <is>
          <t>TP</t>
        </is>
      </c>
      <c r="F52" t="n">
        <v>8</v>
      </c>
      <c r="G52" t="n">
        <v>6.4</v>
      </c>
      <c r="H52" t="n">
        <v>57.6</v>
      </c>
      <c r="I52" t="n">
        <v>-44.8</v>
      </c>
      <c r="J52" t="n">
        <v>6.349029</v>
      </c>
      <c r="K52" t="n">
        <v>6.526827676339694</v>
      </c>
      <c r="L52" t="n">
        <v>6.685325430635723</v>
      </c>
      <c r="M52" t="n">
        <v>6.596396882103658</v>
      </c>
      <c r="BH52" t="n">
        <v>6.539</v>
      </c>
      <c r="BS52" t="n">
        <v>2.18</v>
      </c>
      <c r="CD52" t="n">
        <v>1.89</v>
      </c>
      <c r="CF52" t="n">
        <v>8</v>
      </c>
      <c r="CG52" t="n">
        <v>4.1</v>
      </c>
      <c r="CH52" t="n">
        <v>36.9</v>
      </c>
      <c r="CI52" t="n">
        <v>-28.7</v>
      </c>
      <c r="CJ52" t="n">
        <v>4.32815</v>
      </c>
      <c r="CK52" t="n">
        <v>4.325591885859383</v>
      </c>
      <c r="CL52" t="n">
        <v>4.33581171447824</v>
      </c>
      <c r="CM52" t="n">
        <v>4.394816561470424</v>
      </c>
      <c r="EH52" t="n">
        <v>4.346</v>
      </c>
      <c r="ES52" t="n">
        <v>6</v>
      </c>
      <c r="FD52" t="n">
        <v>0.65</v>
      </c>
      <c r="FF52" t="n">
        <v>8</v>
      </c>
      <c r="FG52" t="n">
        <v>4.2</v>
      </c>
      <c r="FH52" t="n">
        <v>37.8</v>
      </c>
      <c r="FI52" t="n">
        <v>-29.4</v>
      </c>
      <c r="FJ52" t="n">
        <v>4.1783395</v>
      </c>
      <c r="FK52" t="n">
        <v>4.158422250458955</v>
      </c>
      <c r="FL52" t="n">
        <v>4.080008758341042</v>
      </c>
      <c r="FM52" t="n">
        <v>4.095269849081678</v>
      </c>
      <c r="HH52" t="n">
        <v>4.128</v>
      </c>
      <c r="HS52" t="n">
        <v>-1.71</v>
      </c>
      <c r="ID52" t="n">
        <v>1</v>
      </c>
      <c r="IF52" t="n">
        <v>8</v>
      </c>
      <c r="IG52" t="n">
        <v>7.5</v>
      </c>
      <c r="IH52" t="n">
        <v>67.5</v>
      </c>
      <c r="II52" t="n">
        <v>-52.5</v>
      </c>
      <c r="IJ52" t="n">
        <v>7.5143657</v>
      </c>
      <c r="IK52" t="n">
        <v>7.580907804962791</v>
      </c>
      <c r="IL52" t="n">
        <v>7.613777727816114</v>
      </c>
      <c r="IM52" t="n">
        <v>7.525001168697269</v>
      </c>
      <c r="KH52" t="n">
        <v>7.559</v>
      </c>
      <c r="KS52" t="n">
        <v>0.78</v>
      </c>
      <c r="LD52" t="n">
        <v>0.54</v>
      </c>
    </row>
    <row r="53">
      <c r="A53" t="inlineStr">
        <is>
          <t>2026-06-11</t>
        </is>
      </c>
      <c r="B53" t="inlineStr">
        <is>
          <t>Diabetes 10</t>
        </is>
      </c>
      <c r="C53" t="inlineStr">
        <is>
          <t>100526061102 &amp; 200526061102</t>
        </is>
      </c>
      <c r="D53" t="inlineStr">
        <is>
          <t>ALB</t>
        </is>
      </c>
      <c r="F53" t="n">
        <v>8</v>
      </c>
      <c r="G53" t="n">
        <v>4.2</v>
      </c>
      <c r="H53" t="n">
        <v>37.8</v>
      </c>
      <c r="I53" t="n">
        <v>-29.4</v>
      </c>
      <c r="J53" t="n">
        <v>4.155220998086845</v>
      </c>
      <c r="K53" t="n">
        <v>4.183173939801145</v>
      </c>
      <c r="BH53" t="n">
        <v>4.169</v>
      </c>
      <c r="BS53" t="n">
        <v>-0.73</v>
      </c>
      <c r="CD53" t="n">
        <v>0.34</v>
      </c>
      <c r="CF53" t="n">
        <v>8</v>
      </c>
      <c r="CG53" t="n">
        <v>2.7</v>
      </c>
      <c r="CH53" t="n">
        <v>24.3</v>
      </c>
      <c r="CI53" t="n">
        <v>-18.9</v>
      </c>
      <c r="CJ53" t="n">
        <v>2.864959950938053</v>
      </c>
      <c r="CK53" t="n">
        <v>2.730270660103073</v>
      </c>
      <c r="EH53" t="n">
        <v>2.798</v>
      </c>
      <c r="ES53" t="n">
        <v>3.62</v>
      </c>
      <c r="FD53" t="n">
        <v>2.41</v>
      </c>
      <c r="FF53" t="n">
        <v>8</v>
      </c>
      <c r="FG53" t="n">
        <v>2.6</v>
      </c>
      <c r="FH53" t="n">
        <v>23.4</v>
      </c>
      <c r="FI53" t="n">
        <v>-18.2</v>
      </c>
      <c r="FJ53" t="n">
        <v>2.497947</v>
      </c>
      <c r="FK53" t="n">
        <v>2.537426741707505</v>
      </c>
      <c r="HH53" t="n">
        <v>2.518</v>
      </c>
      <c r="HS53" t="n">
        <v>-3.17</v>
      </c>
      <c r="ID53" t="n">
        <v>0.78</v>
      </c>
      <c r="IF53" t="n">
        <v>8</v>
      </c>
      <c r="IG53" t="n">
        <v>4.2</v>
      </c>
      <c r="IH53" t="n">
        <v>37.8</v>
      </c>
      <c r="II53" t="n">
        <v>-29.4</v>
      </c>
      <c r="IJ53" t="n">
        <v>4.082191506784076</v>
      </c>
      <c r="IK53" t="n">
        <v>4.049961</v>
      </c>
      <c r="KH53" t="n">
        <v>4.066</v>
      </c>
      <c r="KS53" t="n">
        <v>-3.19</v>
      </c>
      <c r="LD53" t="n">
        <v>0.4</v>
      </c>
    </row>
    <row r="54">
      <c r="A54" t="inlineStr">
        <is>
          <t>2026-06-11</t>
        </is>
      </c>
      <c r="B54" t="inlineStr">
        <is>
          <t>Diabetes 10</t>
        </is>
      </c>
      <c r="C54" t="inlineStr">
        <is>
          <t>100526061102 &amp; 200526061102</t>
        </is>
      </c>
      <c r="D54" t="inlineStr">
        <is>
          <t>AMY</t>
        </is>
      </c>
      <c r="F54" t="n">
        <v>10</v>
      </c>
      <c r="G54" t="n">
        <v>78</v>
      </c>
      <c r="H54" t="n">
        <v>858</v>
      </c>
      <c r="I54" t="n">
        <v>-702</v>
      </c>
      <c r="J54" t="n">
        <v>77.50354704896245</v>
      </c>
      <c r="K54" t="n">
        <v>76.46236893570789</v>
      </c>
      <c r="BH54" t="n">
        <v>76.983</v>
      </c>
      <c r="BS54" t="n">
        <v>-1.3</v>
      </c>
      <c r="CD54" t="n">
        <v>0.68</v>
      </c>
      <c r="CF54" t="n">
        <v>10</v>
      </c>
      <c r="CG54" t="n">
        <v>404</v>
      </c>
      <c r="CH54" t="n">
        <v>4444</v>
      </c>
      <c r="CI54" t="n">
        <v>-3636</v>
      </c>
      <c r="CJ54" t="n">
        <v>426.3357449255379</v>
      </c>
      <c r="CK54" t="n">
        <v>405.8696204582118</v>
      </c>
      <c r="EH54" t="n">
        <v>416.103</v>
      </c>
      <c r="ES54" t="n">
        <v>3</v>
      </c>
      <c r="FD54" t="n">
        <v>2.46</v>
      </c>
      <c r="FF54" t="n">
        <v>10</v>
      </c>
      <c r="FG54" t="n">
        <v>63</v>
      </c>
      <c r="FH54" t="n">
        <v>693</v>
      </c>
      <c r="FI54" t="n">
        <v>-567</v>
      </c>
      <c r="FJ54" t="n">
        <v>66.593704</v>
      </c>
      <c r="FK54" t="n">
        <v>64.05056172851383</v>
      </c>
      <c r="HH54" t="n">
        <v>65.322</v>
      </c>
      <c r="HS54" t="n">
        <v>3.69</v>
      </c>
      <c r="ID54" t="n">
        <v>1.95</v>
      </c>
      <c r="IF54" t="n">
        <v>10</v>
      </c>
      <c r="IG54" t="n">
        <v>297</v>
      </c>
      <c r="IH54" t="n">
        <v>3267</v>
      </c>
      <c r="II54" t="n">
        <v>-2673</v>
      </c>
      <c r="IJ54" t="n">
        <v>300.8587788360556</v>
      </c>
      <c r="IK54" t="n">
        <v>299.72852</v>
      </c>
      <c r="KH54" t="n">
        <v>300.294</v>
      </c>
      <c r="KS54" t="n">
        <v>1.11</v>
      </c>
      <c r="LD54" t="n">
        <v>0.19</v>
      </c>
    </row>
    <row r="55">
      <c r="A55" t="inlineStr">
        <is>
          <t>2026-06-11</t>
        </is>
      </c>
      <c r="B55" t="inlineStr">
        <is>
          <t>Diabetes 10</t>
        </is>
      </c>
      <c r="C55" t="inlineStr">
        <is>
          <t>100526061102 &amp; 200526061102</t>
        </is>
      </c>
      <c r="D55" t="inlineStr">
        <is>
          <t>CHOL</t>
        </is>
      </c>
      <c r="F55" t="n">
        <v>10</v>
      </c>
      <c r="G55" t="n">
        <v>228</v>
      </c>
      <c r="H55" t="n">
        <v>2508</v>
      </c>
      <c r="I55" t="n">
        <v>-2052</v>
      </c>
      <c r="J55" t="n">
        <v>237.2972996350159</v>
      </c>
      <c r="K55" t="n">
        <v>193.3576771739372</v>
      </c>
      <c r="BH55" t="n">
        <v>215.327</v>
      </c>
      <c r="BS55" t="n">
        <v>-5.56</v>
      </c>
      <c r="CD55" t="n">
        <v>10.2</v>
      </c>
      <c r="CF55" t="n">
        <v>10</v>
      </c>
      <c r="CG55" t="n">
        <v>99</v>
      </c>
      <c r="CH55" t="n">
        <v>1089</v>
      </c>
      <c r="CI55" t="n">
        <v>-891</v>
      </c>
      <c r="CJ55" t="n">
        <v>104.8005896547084</v>
      </c>
      <c r="CK55" t="n">
        <v>63.57008155975393</v>
      </c>
      <c r="EH55" t="n">
        <v>84.185</v>
      </c>
      <c r="ES55" t="n">
        <v>-14.96</v>
      </c>
      <c r="FD55" t="n">
        <v>24.49</v>
      </c>
      <c r="FF55" t="n">
        <v>10</v>
      </c>
      <c r="FG55" t="n">
        <v>115</v>
      </c>
      <c r="FH55" t="n">
        <v>1265</v>
      </c>
      <c r="FI55" t="n">
        <v>-1035</v>
      </c>
      <c r="FJ55" t="n">
        <v>91.54142</v>
      </c>
      <c r="FK55" t="n">
        <v>71.1959458260569</v>
      </c>
      <c r="HH55" t="n">
        <v>81.369</v>
      </c>
      <c r="HS55" t="n">
        <v>-29.24</v>
      </c>
      <c r="ID55" t="n">
        <v>12.5</v>
      </c>
      <c r="IF55" t="n">
        <v>10</v>
      </c>
      <c r="IG55" t="n">
        <v>269</v>
      </c>
      <c r="IH55" t="n">
        <v>2959</v>
      </c>
      <c r="II55" t="n">
        <v>-2421</v>
      </c>
      <c r="IJ55" t="n">
        <v>262.5057067148969</v>
      </c>
      <c r="IK55" t="n">
        <v>250.46713</v>
      </c>
      <c r="KH55" t="n">
        <v>256.486</v>
      </c>
      <c r="KS55" t="n">
        <v>-4.65</v>
      </c>
      <c r="LD55" t="n">
        <v>2.35</v>
      </c>
    </row>
    <row r="56">
      <c r="A56" t="inlineStr">
        <is>
          <t>2026-06-11</t>
        </is>
      </c>
      <c r="B56" t="inlineStr">
        <is>
          <t>Diabetes 10</t>
        </is>
      </c>
      <c r="C56" t="inlineStr">
        <is>
          <t>100526061102 &amp; 200526061102</t>
        </is>
      </c>
      <c r="D56" t="inlineStr">
        <is>
          <t>FRU</t>
        </is>
      </c>
      <c r="F56" t="n">
        <v>10</v>
      </c>
      <c r="J56" t="n">
        <v>219.3279905973634</v>
      </c>
      <c r="K56" t="n">
        <v>213.0246778544867</v>
      </c>
      <c r="BH56" t="n">
        <v>216.176</v>
      </c>
      <c r="CD56" t="n">
        <v>1.46</v>
      </c>
      <c r="CF56" t="n">
        <v>10</v>
      </c>
      <c r="CJ56" t="n">
        <v>283.7443016929093</v>
      </c>
      <c r="CK56" t="n">
        <v>280.1827044364433</v>
      </c>
      <c r="EH56" t="n">
        <v>281.964</v>
      </c>
      <c r="FD56" t="n">
        <v>0.63</v>
      </c>
      <c r="FF56" t="n">
        <v>10</v>
      </c>
      <c r="FJ56" t="n">
        <v>149.79732</v>
      </c>
      <c r="FK56" t="n">
        <v>149.6877513110404</v>
      </c>
      <c r="HH56" t="n">
        <v>149.743</v>
      </c>
      <c r="ID56" t="n">
        <v>0.04</v>
      </c>
      <c r="IF56" t="n">
        <v>10</v>
      </c>
      <c r="IJ56" t="n">
        <v>224.7158017159564</v>
      </c>
      <c r="IK56" t="n">
        <v>224.72336</v>
      </c>
      <c r="KH56" t="n">
        <v>224.72</v>
      </c>
      <c r="LD56" t="n">
        <v>0</v>
      </c>
    </row>
    <row r="57">
      <c r="A57" t="inlineStr">
        <is>
          <t>2026-06-11</t>
        </is>
      </c>
      <c r="B57" t="inlineStr">
        <is>
          <t>Diabetes 10</t>
        </is>
      </c>
      <c r="C57" t="inlineStr">
        <is>
          <t>100526061102 &amp; 200526061102</t>
        </is>
      </c>
      <c r="D57" t="inlineStr">
        <is>
          <t>GLU</t>
        </is>
      </c>
      <c r="F57" t="n">
        <v>8</v>
      </c>
      <c r="G57" t="n">
        <v>90.16</v>
      </c>
      <c r="H57" t="n">
        <v>811.4399999999999</v>
      </c>
      <c r="I57" t="n">
        <v>-631.12</v>
      </c>
      <c r="J57" t="n">
        <v>94.10845255741073</v>
      </c>
      <c r="K57" t="n">
        <v>92.64797800350243</v>
      </c>
      <c r="BH57" t="n">
        <v>93.378</v>
      </c>
      <c r="BS57" t="n">
        <v>3.57</v>
      </c>
      <c r="CD57" t="n">
        <v>0.78</v>
      </c>
      <c r="CF57" t="n">
        <v>8</v>
      </c>
      <c r="CG57" t="n">
        <v>293.02</v>
      </c>
      <c r="CH57" t="n">
        <v>2637.18</v>
      </c>
      <c r="CI57" t="n">
        <v>-2051.14</v>
      </c>
      <c r="CJ57" t="n">
        <v>320.1219431228524</v>
      </c>
      <c r="CK57" t="n">
        <v>299.9343183939423</v>
      </c>
      <c r="EH57" t="n">
        <v>310.028</v>
      </c>
      <c r="ES57" t="n">
        <v>5.8</v>
      </c>
      <c r="FD57" t="n">
        <v>3.26</v>
      </c>
      <c r="FF57" t="n">
        <v>8</v>
      </c>
      <c r="FG57" t="n">
        <v>65.66</v>
      </c>
      <c r="FH57" t="n">
        <v>590.9399999999999</v>
      </c>
      <c r="FI57" t="n">
        <v>-459.62</v>
      </c>
      <c r="FJ57" t="n">
        <v>67.2761</v>
      </c>
      <c r="FK57" t="n">
        <v>67.90230991886831</v>
      </c>
      <c r="HH57" t="n">
        <v>67.589</v>
      </c>
      <c r="HS57" t="n">
        <v>2.94</v>
      </c>
      <c r="ID57" t="n">
        <v>0.46</v>
      </c>
      <c r="IF57" t="n">
        <v>8</v>
      </c>
      <c r="IG57" t="n">
        <v>359.66</v>
      </c>
      <c r="IH57" t="n">
        <v>3236.94</v>
      </c>
      <c r="II57" t="n">
        <v>-2517.62</v>
      </c>
      <c r="IJ57" t="n">
        <v>371.4440850648816</v>
      </c>
      <c r="IK57" t="n">
        <v>371.54898</v>
      </c>
      <c r="KH57" t="n">
        <v>371.497</v>
      </c>
      <c r="KS57" t="n">
        <v>3.29</v>
      </c>
      <c r="LD57" t="n">
        <v>0.01</v>
      </c>
    </row>
    <row r="58">
      <c r="A58" t="inlineStr">
        <is>
          <t>2026-06-11</t>
        </is>
      </c>
      <c r="B58" t="inlineStr">
        <is>
          <t>Diabetes 10</t>
        </is>
      </c>
      <c r="C58" t="inlineStr">
        <is>
          <t>100526061102 &amp; 200526061102</t>
        </is>
      </c>
      <c r="D58" t="inlineStr">
        <is>
          <t>P-LIPA</t>
        </is>
      </c>
      <c r="F58" t="n">
        <v>30</v>
      </c>
      <c r="J58" t="n">
        <v>72.75782167482171</v>
      </c>
      <c r="K58" t="n">
        <v>72.50523470837797</v>
      </c>
      <c r="BH58" t="n">
        <v>72.63200000000001</v>
      </c>
      <c r="CD58" t="n">
        <v>0.17</v>
      </c>
      <c r="CF58" t="n">
        <v>30</v>
      </c>
      <c r="CJ58" t="n">
        <v>93.35775337805143</v>
      </c>
      <c r="CK58" t="n">
        <v>90.13532336760764</v>
      </c>
      <c r="EH58" t="n">
        <v>91.747</v>
      </c>
      <c r="FD58" t="n">
        <v>1.76</v>
      </c>
      <c r="FF58" t="n">
        <v>30</v>
      </c>
      <c r="FJ58" t="n">
        <v>47.882458</v>
      </c>
      <c r="FK58" t="n">
        <v>40.45672935894689</v>
      </c>
      <c r="HH58" t="n">
        <v>44.17</v>
      </c>
      <c r="ID58" t="n">
        <v>8.41</v>
      </c>
      <c r="IF58" t="n">
        <v>30</v>
      </c>
      <c r="IJ58" t="n">
        <v>113.1451395389888</v>
      </c>
      <c r="IK58" t="n">
        <v>113.11548</v>
      </c>
      <c r="KH58" t="n">
        <v>113.13</v>
      </c>
      <c r="LD58" t="n">
        <v>0.01</v>
      </c>
    </row>
    <row r="59">
      <c r="A59" t="inlineStr">
        <is>
          <t>2026-06-11</t>
        </is>
      </c>
      <c r="B59" t="inlineStr">
        <is>
          <t>Diabetes 10</t>
        </is>
      </c>
      <c r="C59" t="inlineStr">
        <is>
          <t>100526061102 &amp; 200526061102</t>
        </is>
      </c>
      <c r="D59" t="inlineStr">
        <is>
          <t>TP</t>
        </is>
      </c>
      <c r="F59" t="n">
        <v>8</v>
      </c>
      <c r="G59" t="n">
        <v>6.4</v>
      </c>
      <c r="H59" t="n">
        <v>57.6</v>
      </c>
      <c r="I59" t="n">
        <v>-44.8</v>
      </c>
      <c r="J59" t="n">
        <v>6.809658985596588</v>
      </c>
      <c r="K59" t="n">
        <v>6.654351091834581</v>
      </c>
      <c r="BH59" t="n">
        <v>6.732</v>
      </c>
      <c r="BS59" t="n">
        <v>5.19</v>
      </c>
      <c r="CD59" t="n">
        <v>1.15</v>
      </c>
      <c r="CF59" t="n">
        <v>8</v>
      </c>
      <c r="CG59" t="n">
        <v>4.1</v>
      </c>
      <c r="CH59" t="n">
        <v>36.9</v>
      </c>
      <c r="CI59" t="n">
        <v>-28.7</v>
      </c>
      <c r="CJ59" t="n">
        <v>4.65762696813389</v>
      </c>
      <c r="CK59" t="n">
        <v>4.438065593374713</v>
      </c>
      <c r="EH59" t="n">
        <v>4.548</v>
      </c>
      <c r="ES59" t="n">
        <v>10.92</v>
      </c>
      <c r="FD59" t="n">
        <v>2.41</v>
      </c>
      <c r="FF59" t="n">
        <v>8</v>
      </c>
      <c r="FG59" t="n">
        <v>4.2</v>
      </c>
      <c r="FH59" t="n">
        <v>37.8</v>
      </c>
      <c r="FI59" t="n">
        <v>-29.4</v>
      </c>
      <c r="FJ59" t="n">
        <v>4.0826855</v>
      </c>
      <c r="FK59" t="n">
        <v>4.192694996372415</v>
      </c>
      <c r="HH59" t="n">
        <v>4.138</v>
      </c>
      <c r="HS59" t="n">
        <v>-1.48</v>
      </c>
      <c r="ID59" t="n">
        <v>1.33</v>
      </c>
      <c r="IF59" t="n">
        <v>8</v>
      </c>
      <c r="IG59" t="n">
        <v>7.5</v>
      </c>
      <c r="IH59" t="n">
        <v>67.5</v>
      </c>
      <c r="II59" t="n">
        <v>-52.5</v>
      </c>
      <c r="IJ59" t="n">
        <v>7.488913461780973</v>
      </c>
      <c r="IK59" t="n">
        <v>7.4934525</v>
      </c>
      <c r="KH59" t="n">
        <v>7.491</v>
      </c>
      <c r="KS59" t="n">
        <v>-0.12</v>
      </c>
      <c r="LD59" t="n">
        <v>0.03</v>
      </c>
    </row>
    <row r="60">
      <c r="A60" t="inlineStr">
        <is>
          <t>2026-06-11</t>
        </is>
      </c>
      <c r="B60" t="inlineStr">
        <is>
          <t>Diabetes 10</t>
        </is>
      </c>
      <c r="C60" t="inlineStr">
        <is>
          <t>100526061102 &amp; 200526061102</t>
        </is>
      </c>
      <c r="D60" t="inlineStr">
        <is>
          <t>TRIG</t>
        </is>
      </c>
      <c r="F60" t="n">
        <v>15</v>
      </c>
      <c r="J60" t="n">
        <v>184.4838334154689</v>
      </c>
      <c r="K60" t="n">
        <v>182.2008355002191</v>
      </c>
      <c r="BH60" t="n">
        <v>183.342</v>
      </c>
      <c r="CD60" t="n">
        <v>0.62</v>
      </c>
      <c r="CF60" t="n">
        <v>15</v>
      </c>
      <c r="CJ60" t="n">
        <v>106.4856470099357</v>
      </c>
      <c r="CK60" t="n">
        <v>96.19358953334698</v>
      </c>
      <c r="EH60" t="n">
        <v>101.34</v>
      </c>
      <c r="FD60" t="n">
        <v>5.08</v>
      </c>
      <c r="FF60" t="n">
        <v>15</v>
      </c>
      <c r="FJ60" t="n">
        <v>110.25998</v>
      </c>
      <c r="FK60" t="n">
        <v>113.0930042444446</v>
      </c>
      <c r="HH60" t="n">
        <v>111.676</v>
      </c>
      <c r="ID60" t="n">
        <v>1.27</v>
      </c>
      <c r="IF60" t="n">
        <v>15</v>
      </c>
      <c r="IJ60" t="n">
        <v>225.2103733779041</v>
      </c>
      <c r="IK60" t="n">
        <v>227.95386</v>
      </c>
      <c r="KH60" t="n">
        <v>226.582</v>
      </c>
      <c r="LD60" t="n">
        <v>0.61</v>
      </c>
    </row>
    <row r="61">
      <c r="A61" t="inlineStr">
        <is>
          <t>2026-06-11</t>
        </is>
      </c>
      <c r="B61" t="inlineStr">
        <is>
          <t>Exotic Pets 13</t>
        </is>
      </c>
      <c r="C61" t="inlineStr">
        <is>
          <t>100426061101</t>
        </is>
      </c>
      <c r="D61" t="inlineStr">
        <is>
          <t>ALB</t>
        </is>
      </c>
      <c r="F61" t="n">
        <v>8</v>
      </c>
      <c r="G61" t="n">
        <v>4.2</v>
      </c>
      <c r="H61" t="n">
        <v>37.8</v>
      </c>
      <c r="I61" t="n">
        <v>-29.4</v>
      </c>
      <c r="J61" t="n">
        <v>4.106919016339321</v>
      </c>
      <c r="K61" t="n">
        <v>4.1183944</v>
      </c>
      <c r="L61" t="n">
        <v>4.033425124760532</v>
      </c>
      <c r="M61" t="n">
        <v>3.9685895</v>
      </c>
      <c r="N61" t="n">
        <v>3.881582745733633</v>
      </c>
      <c r="BH61" t="n">
        <v>4.022</v>
      </c>
      <c r="BS61" t="n">
        <v>-4.24</v>
      </c>
      <c r="CD61" t="n">
        <v>2.2</v>
      </c>
      <c r="CF61" t="n">
        <v>8</v>
      </c>
      <c r="CG61" t="n">
        <v>2.7</v>
      </c>
      <c r="CH61" t="n">
        <v>24.3</v>
      </c>
      <c r="CI61" t="n">
        <v>-18.9</v>
      </c>
      <c r="CJ61" t="n">
        <v>2.755535379270385</v>
      </c>
      <c r="CK61" t="n">
        <v>2.346756</v>
      </c>
      <c r="CL61" t="n">
        <v>2.699228489891707</v>
      </c>
      <c r="CM61" t="n">
        <v>2.773938</v>
      </c>
      <c r="CN61" t="n">
        <v>2.644781156004858</v>
      </c>
      <c r="EH61" t="n">
        <v>2.644</v>
      </c>
      <c r="ES61" t="n">
        <v>-2.07</v>
      </c>
      <c r="FD61" t="n">
        <v>5.88</v>
      </c>
      <c r="FF61" t="n">
        <v>8</v>
      </c>
      <c r="FG61" t="n">
        <v>2.6</v>
      </c>
      <c r="FH61" t="n">
        <v>23.4</v>
      </c>
      <c r="FI61" t="n">
        <v>-18.2</v>
      </c>
      <c r="FJ61" t="n">
        <v>2.2570047</v>
      </c>
      <c r="FK61" t="n">
        <v>2.437078</v>
      </c>
      <c r="FL61" t="n">
        <v>2.40971293510942</v>
      </c>
      <c r="FM61" t="n">
        <v>2.439528</v>
      </c>
      <c r="FN61" t="n">
        <v>2.471965202108025</v>
      </c>
      <c r="HH61" t="n">
        <v>2.403</v>
      </c>
      <c r="HS61" t="n">
        <v>-7.57</v>
      </c>
      <c r="ID61" t="n">
        <v>3.15</v>
      </c>
      <c r="IF61" t="n">
        <v>8</v>
      </c>
      <c r="IG61" t="n">
        <v>4.2</v>
      </c>
      <c r="IH61" t="n">
        <v>37.8</v>
      </c>
      <c r="II61" t="n">
        <v>-29.4</v>
      </c>
      <c r="IJ61" t="n">
        <v>4.1132646</v>
      </c>
      <c r="IK61" t="n">
        <v>4.039806617904533</v>
      </c>
      <c r="IL61" t="n">
        <v>4.0833144</v>
      </c>
      <c r="IM61" t="n">
        <v>4.073493319060979</v>
      </c>
      <c r="KH61" t="n">
        <v>4.077</v>
      </c>
      <c r="KS61" t="n">
        <v>-2.92</v>
      </c>
      <c r="LD61" t="n">
        <v>0.64</v>
      </c>
    </row>
    <row r="62">
      <c r="A62" t="inlineStr">
        <is>
          <t>2026-06-11</t>
        </is>
      </c>
      <c r="B62" t="inlineStr">
        <is>
          <t>Exotic Pets 13</t>
        </is>
      </c>
      <c r="C62" t="inlineStr">
        <is>
          <t>100426061101</t>
        </is>
      </c>
      <c r="D62" t="inlineStr">
        <is>
          <t>AST</t>
        </is>
      </c>
      <c r="F62" t="n">
        <v>15</v>
      </c>
      <c r="G62" t="n">
        <v>44</v>
      </c>
      <c r="H62" t="n">
        <v>704</v>
      </c>
      <c r="I62" t="n">
        <v>-616</v>
      </c>
      <c r="J62" t="n">
        <v>43.63127175030968</v>
      </c>
      <c r="K62" t="n">
        <v>49.354137</v>
      </c>
      <c r="L62" t="n">
        <v>43.9341781704431</v>
      </c>
      <c r="M62" t="n">
        <v>45.247726</v>
      </c>
      <c r="N62" t="n">
        <v>44.26130436104138</v>
      </c>
      <c r="BH62" t="n">
        <v>45.286</v>
      </c>
      <c r="BS62" t="n">
        <v>2.92</v>
      </c>
      <c r="CD62" t="n">
        <v>4.65</v>
      </c>
      <c r="CF62" t="n">
        <v>15</v>
      </c>
      <c r="CG62" t="n">
        <v>221</v>
      </c>
      <c r="CH62" t="n">
        <v>3536</v>
      </c>
      <c r="CI62" t="n">
        <v>-3094</v>
      </c>
      <c r="CJ62" t="n">
        <v>231.5059983605453</v>
      </c>
      <c r="CK62" t="n">
        <v>233.982</v>
      </c>
      <c r="CL62" t="n">
        <v>233.4278827939241</v>
      </c>
      <c r="CM62" t="n">
        <v>232.2321</v>
      </c>
      <c r="CN62" t="n">
        <v>234.960198156055</v>
      </c>
      <c r="EH62" t="n">
        <v>233.222</v>
      </c>
      <c r="ES62" t="n">
        <v>5.53</v>
      </c>
      <c r="FD62" t="n">
        <v>0.53</v>
      </c>
      <c r="FF62" t="n">
        <v>15</v>
      </c>
      <c r="FG62" t="n">
        <v>45</v>
      </c>
      <c r="FH62" t="n">
        <v>720</v>
      </c>
      <c r="FI62" t="n">
        <v>-630</v>
      </c>
      <c r="FJ62" t="n">
        <v>48.392097</v>
      </c>
      <c r="FK62" t="n">
        <v>47.403595</v>
      </c>
      <c r="FL62" t="n">
        <v>46.83508262718921</v>
      </c>
      <c r="FM62" t="n">
        <v>46.080994</v>
      </c>
      <c r="FN62" t="n">
        <v>44.94595706438835</v>
      </c>
      <c r="HH62" t="n">
        <v>46.732</v>
      </c>
      <c r="HS62" t="n">
        <v>3.85</v>
      </c>
      <c r="ID62" t="n">
        <v>2.5</v>
      </c>
      <c r="IF62" t="n">
        <v>15</v>
      </c>
      <c r="IG62" t="n">
        <v>282</v>
      </c>
      <c r="IH62" t="n">
        <v>4512</v>
      </c>
      <c r="II62" t="n">
        <v>-3948</v>
      </c>
      <c r="IJ62" t="n">
        <v>298.86575</v>
      </c>
      <c r="IK62" t="n">
        <v>300.3571873882076</v>
      </c>
      <c r="IL62" t="n">
        <v>285.68765</v>
      </c>
      <c r="IM62" t="n">
        <v>287.6744785319258</v>
      </c>
      <c r="KH62" t="n">
        <v>293.146</v>
      </c>
      <c r="KS62" t="n">
        <v>3.95</v>
      </c>
      <c r="LD62" t="n">
        <v>2.23</v>
      </c>
    </row>
    <row r="63">
      <c r="A63" t="inlineStr">
        <is>
          <t>2026-06-11</t>
        </is>
      </c>
      <c r="B63" t="inlineStr">
        <is>
          <t>Exotic Pets 13</t>
        </is>
      </c>
      <c r="C63" t="inlineStr">
        <is>
          <t>100426061101</t>
        </is>
      </c>
      <c r="D63" t="inlineStr">
        <is>
          <t>CK</t>
        </is>
      </c>
      <c r="F63" t="n">
        <v>20</v>
      </c>
      <c r="J63" t="n">
        <v>138.3218943762111</v>
      </c>
      <c r="K63" t="n">
        <v>148.42712</v>
      </c>
      <c r="L63" t="n">
        <v>134.9475211638697</v>
      </c>
      <c r="M63" t="n">
        <v>139.62953</v>
      </c>
      <c r="N63" t="n">
        <v>138.3646788291457</v>
      </c>
      <c r="BH63" t="n">
        <v>139.938</v>
      </c>
      <c r="CD63" t="n">
        <v>3.23</v>
      </c>
      <c r="CF63" t="n">
        <v>20</v>
      </c>
      <c r="CJ63" t="n">
        <v>481.6127744144011</v>
      </c>
      <c r="CK63" t="n">
        <v>501.07422</v>
      </c>
      <c r="CL63" t="n">
        <v>489.6006055130525</v>
      </c>
      <c r="CM63" t="n">
        <v>522.0606</v>
      </c>
      <c r="CN63" t="n">
        <v>504.7387232749284</v>
      </c>
      <c r="EH63" t="n">
        <v>499.817</v>
      </c>
      <c r="FD63" t="n">
        <v>2.77</v>
      </c>
      <c r="FF63" t="n">
        <v>20</v>
      </c>
      <c r="FJ63" t="n">
        <v>77.80383999999999</v>
      </c>
      <c r="FK63" t="n">
        <v>77.13401</v>
      </c>
      <c r="FL63" t="n">
        <v>73.53227577787507</v>
      </c>
      <c r="FM63" t="n">
        <v>75.25595</v>
      </c>
      <c r="FN63" t="n">
        <v>67.03613966365133</v>
      </c>
      <c r="HH63" t="n">
        <v>74.152</v>
      </c>
      <c r="ID63" t="n">
        <v>5.2</v>
      </c>
      <c r="IF63" t="n">
        <v>20</v>
      </c>
      <c r="IJ63" t="n">
        <v>682.37415</v>
      </c>
      <c r="IK63" t="n">
        <v>664.1454094463272</v>
      </c>
      <c r="IL63" t="n">
        <v>650.2471</v>
      </c>
      <c r="IM63" t="n">
        <v>655.7386612774704</v>
      </c>
      <c r="KH63" t="n">
        <v>663.126</v>
      </c>
      <c r="LD63" t="n">
        <v>1.83</v>
      </c>
    </row>
    <row r="64">
      <c r="A64" t="inlineStr">
        <is>
          <t>2026-06-11</t>
        </is>
      </c>
      <c r="B64" t="inlineStr">
        <is>
          <t>Exotic Pets 13</t>
        </is>
      </c>
      <c r="C64" t="inlineStr">
        <is>
          <t>100426061101</t>
        </is>
      </c>
      <c r="D64" t="inlineStr">
        <is>
          <t>Ca</t>
        </is>
      </c>
      <c r="G64" t="n">
        <v>9.1</v>
      </c>
      <c r="J64" t="n">
        <v>9.730096074006596</v>
      </c>
      <c r="K64" t="n">
        <v>9.889085</v>
      </c>
      <c r="L64" t="n">
        <v>9.898726530299378</v>
      </c>
      <c r="M64" t="n">
        <v>9.46045</v>
      </c>
      <c r="N64" t="n">
        <v>9.710099929064096</v>
      </c>
      <c r="BH64" t="n">
        <v>9.738</v>
      </c>
      <c r="BS64" t="n">
        <v>7.01</v>
      </c>
      <c r="CD64" t="n">
        <v>1.63</v>
      </c>
      <c r="CG64" t="n">
        <v>12.4</v>
      </c>
      <c r="CJ64" t="n">
        <v>13.08024010686237</v>
      </c>
      <c r="CK64" t="n">
        <v>12.882075</v>
      </c>
      <c r="CL64" t="n">
        <v>12.81243585946398</v>
      </c>
      <c r="CM64" t="n">
        <v>13.115704</v>
      </c>
      <c r="CN64" t="n">
        <v>13.11529938946041</v>
      </c>
      <c r="EH64" t="n">
        <v>13.001</v>
      </c>
      <c r="ES64" t="n">
        <v>4.85</v>
      </c>
      <c r="FD64" t="n">
        <v>0.99</v>
      </c>
      <c r="FG64" t="n">
        <v>5.9</v>
      </c>
      <c r="FJ64" t="n">
        <v>5.8368835</v>
      </c>
      <c r="FK64" t="n">
        <v>6.2077475</v>
      </c>
      <c r="FL64" t="n">
        <v>6.107823108649574</v>
      </c>
      <c r="FM64" t="n">
        <v>5.87481</v>
      </c>
      <c r="FN64" t="n">
        <v>5.83514583528611</v>
      </c>
      <c r="HH64" t="n">
        <v>5.972</v>
      </c>
      <c r="HS64" t="n">
        <v>1.23</v>
      </c>
      <c r="ID64" t="n">
        <v>2.6</v>
      </c>
      <c r="IG64" t="n">
        <v>12.7</v>
      </c>
      <c r="IJ64" t="n">
        <v>12.857787</v>
      </c>
      <c r="IK64" t="n">
        <v>12.9390879900125</v>
      </c>
      <c r="IL64" t="n">
        <v>12.876158</v>
      </c>
      <c r="IM64" t="n">
        <v>13.37963704006332</v>
      </c>
      <c r="KH64" t="n">
        <v>13.013</v>
      </c>
      <c r="KS64" t="n">
        <v>2.47</v>
      </c>
      <c r="LD64" t="n">
        <v>1.64</v>
      </c>
    </row>
    <row r="65">
      <c r="A65" t="inlineStr">
        <is>
          <t>2026-06-11</t>
        </is>
      </c>
      <c r="B65" t="inlineStr">
        <is>
          <t>Exotic Pets 13</t>
        </is>
      </c>
      <c r="C65" t="inlineStr">
        <is>
          <t>100426061101</t>
        </is>
      </c>
      <c r="D65" t="inlineStr">
        <is>
          <t>GLU</t>
        </is>
      </c>
      <c r="F65" t="n">
        <v>8</v>
      </c>
      <c r="G65" t="n">
        <v>90.16</v>
      </c>
      <c r="H65" t="n">
        <v>811.4399999999999</v>
      </c>
      <c r="I65" t="n">
        <v>-631.12</v>
      </c>
      <c r="J65" t="n">
        <v>95.37587915961231</v>
      </c>
      <c r="K65" t="n">
        <v>94.96214999999999</v>
      </c>
      <c r="L65" t="n">
        <v>95.06450949340135</v>
      </c>
      <c r="M65" t="n">
        <v>95.04295</v>
      </c>
      <c r="N65" t="n">
        <v>94.28533126251303</v>
      </c>
      <c r="BH65" t="n">
        <v>94.946</v>
      </c>
      <c r="BS65" t="n">
        <v>5.31</v>
      </c>
      <c r="CD65" t="n">
        <v>0.38</v>
      </c>
      <c r="CF65" t="n">
        <v>8</v>
      </c>
      <c r="CG65" t="n">
        <v>293.02</v>
      </c>
      <c r="CH65" t="n">
        <v>2637.18</v>
      </c>
      <c r="CI65" t="n">
        <v>-2051.14</v>
      </c>
      <c r="CJ65" t="n">
        <v>306.51110513197</v>
      </c>
      <c r="CK65" t="n">
        <v>316.41837</v>
      </c>
      <c r="CL65" t="n">
        <v>315.2956031155903</v>
      </c>
      <c r="CM65" t="n">
        <v>318.47418</v>
      </c>
      <c r="CN65" t="n">
        <v>313.2195804241478</v>
      </c>
      <c r="EH65" t="n">
        <v>313.984</v>
      </c>
      <c r="ES65" t="n">
        <v>7.15</v>
      </c>
      <c r="FD65" t="n">
        <v>1.31</v>
      </c>
      <c r="FF65" t="n">
        <v>8</v>
      </c>
      <c r="FG65" t="n">
        <v>65.66</v>
      </c>
      <c r="FH65" t="n">
        <v>590.9399999999999</v>
      </c>
      <c r="FI65" t="n">
        <v>-459.62</v>
      </c>
      <c r="FJ65" t="n">
        <v>70.07116000000001</v>
      </c>
      <c r="FK65" t="n">
        <v>70.10871</v>
      </c>
      <c r="FL65" t="n">
        <v>70.35392023053227</v>
      </c>
      <c r="FM65" t="n">
        <v>68.30843</v>
      </c>
      <c r="FN65" t="n">
        <v>69.47936316478877</v>
      </c>
      <c r="HH65" t="n">
        <v>69.664</v>
      </c>
      <c r="HS65" t="n">
        <v>6.1</v>
      </c>
      <c r="ID65" t="n">
        <v>1.06</v>
      </c>
      <c r="IF65" t="n">
        <v>8</v>
      </c>
      <c r="IG65" t="n">
        <v>359.66</v>
      </c>
      <c r="IH65" t="n">
        <v>3236.94</v>
      </c>
      <c r="II65" t="n">
        <v>-2517.62</v>
      </c>
      <c r="IJ65" t="n">
        <v>389.1167</v>
      </c>
      <c r="IK65" t="n">
        <v>386.0915096259581</v>
      </c>
      <c r="IL65" t="n">
        <v>365.6815</v>
      </c>
      <c r="IM65" t="n">
        <v>385.9620592276048</v>
      </c>
      <c r="KH65" t="n">
        <v>381.713</v>
      </c>
      <c r="KS65" t="n">
        <v>6.13</v>
      </c>
      <c r="LD65" t="n">
        <v>2.45</v>
      </c>
    </row>
    <row r="66">
      <c r="A66" t="inlineStr">
        <is>
          <t>2026-06-11</t>
        </is>
      </c>
      <c r="B66" t="inlineStr">
        <is>
          <t>Exotic Pets 13</t>
        </is>
      </c>
      <c r="C66" t="inlineStr">
        <is>
          <t>100426061101</t>
        </is>
      </c>
      <c r="D66" t="inlineStr">
        <is>
          <t>PHOS</t>
        </is>
      </c>
      <c r="F66" t="n">
        <v>10</v>
      </c>
      <c r="G66" t="n">
        <v>3.3</v>
      </c>
      <c r="H66" t="n">
        <v>36.3</v>
      </c>
      <c r="I66" t="n">
        <v>-29.7</v>
      </c>
      <c r="J66" t="n">
        <v>3.319401359148991</v>
      </c>
      <c r="K66" t="n">
        <v>3.3606262</v>
      </c>
      <c r="L66" t="n">
        <v>3.068258187934717</v>
      </c>
      <c r="M66" t="n">
        <v>3.3356597</v>
      </c>
      <c r="N66" t="n">
        <v>3.2195188681331</v>
      </c>
      <c r="BH66" t="n">
        <v>3.261</v>
      </c>
      <c r="BS66" t="n">
        <v>-1.19</v>
      </c>
      <c r="CD66" t="n">
        <v>3.3</v>
      </c>
      <c r="CF66" t="n">
        <v>10</v>
      </c>
      <c r="CG66" t="n">
        <v>7.2</v>
      </c>
      <c r="CH66" t="n">
        <v>79.2</v>
      </c>
      <c r="CI66" t="n">
        <v>-64.8</v>
      </c>
      <c r="CJ66" t="n">
        <v>7.163557614572433</v>
      </c>
      <c r="CK66" t="n">
        <v>7.3766265</v>
      </c>
      <c r="CL66" t="n">
        <v>7.354214842583016</v>
      </c>
      <c r="CM66" t="n">
        <v>7.6460843</v>
      </c>
      <c r="CN66" t="n">
        <v>7.553853614514629</v>
      </c>
      <c r="EH66" t="n">
        <v>7.419</v>
      </c>
      <c r="ES66" t="n">
        <v>3.04</v>
      </c>
      <c r="FD66" t="n">
        <v>2.26</v>
      </c>
      <c r="FF66" t="n">
        <v>10</v>
      </c>
      <c r="FG66" t="n">
        <v>1.9</v>
      </c>
      <c r="FH66" t="n">
        <v>20.9</v>
      </c>
      <c r="FI66" t="n">
        <v>-17.1</v>
      </c>
      <c r="FJ66" t="n">
        <v>2.0166066</v>
      </c>
      <c r="FK66" t="n">
        <v>1.9854935</v>
      </c>
      <c r="FL66" t="n">
        <v>1.966889405212025</v>
      </c>
      <c r="FM66" t="n">
        <v>1.9948573</v>
      </c>
      <c r="FN66" t="n">
        <v>1.918363946007759</v>
      </c>
      <c r="HH66" t="n">
        <v>1.976</v>
      </c>
      <c r="HS66" t="n">
        <v>4.02</v>
      </c>
      <c r="ID66" t="n">
        <v>1.68</v>
      </c>
      <c r="IF66" t="n">
        <v>10</v>
      </c>
      <c r="IG66" t="n">
        <v>7.2</v>
      </c>
      <c r="IH66" t="n">
        <v>79.2</v>
      </c>
      <c r="II66" t="n">
        <v>-64.8</v>
      </c>
      <c r="IJ66" t="n">
        <v>7.5483975</v>
      </c>
      <c r="IK66" t="n">
        <v>7.585000082336738</v>
      </c>
      <c r="IL66" t="n">
        <v>7.289656</v>
      </c>
      <c r="IM66" t="n">
        <v>7.447758799276595</v>
      </c>
      <c r="KH66" t="n">
        <v>7.468</v>
      </c>
      <c r="KS66" t="n">
        <v>3.72</v>
      </c>
      <c r="LD66" t="n">
        <v>1.53</v>
      </c>
    </row>
    <row r="67">
      <c r="A67" t="inlineStr">
        <is>
          <t>2026-06-11</t>
        </is>
      </c>
      <c r="B67" t="inlineStr">
        <is>
          <t>Exotic Pets 13</t>
        </is>
      </c>
      <c r="C67" t="inlineStr">
        <is>
          <t>100426061101</t>
        </is>
      </c>
      <c r="D67" t="inlineStr">
        <is>
          <t>TP</t>
        </is>
      </c>
      <c r="F67" t="n">
        <v>8</v>
      </c>
      <c r="G67" t="n">
        <v>6.4</v>
      </c>
      <c r="H67" t="n">
        <v>57.6</v>
      </c>
      <c r="I67" t="n">
        <v>-44.8</v>
      </c>
      <c r="J67" t="n">
        <v>6.693831732865736</v>
      </c>
      <c r="K67" t="n">
        <v>6.6607156</v>
      </c>
      <c r="L67" t="n">
        <v>6.620534508792353</v>
      </c>
      <c r="M67" t="n">
        <v>6.6980104</v>
      </c>
      <c r="N67" t="n">
        <v>6.70724866913274</v>
      </c>
      <c r="BH67" t="n">
        <v>6.676</v>
      </c>
      <c r="BS67" t="n">
        <v>4.31</v>
      </c>
      <c r="CD67" t="n">
        <v>0.48</v>
      </c>
      <c r="CF67" t="n">
        <v>8</v>
      </c>
      <c r="CG67" t="n">
        <v>4.1</v>
      </c>
      <c r="CH67" t="n">
        <v>36.9</v>
      </c>
      <c r="CI67" t="n">
        <v>-28.7</v>
      </c>
      <c r="CJ67" t="n">
        <v>4.343990768840463</v>
      </c>
      <c r="CK67" t="n">
        <v>4.4989543</v>
      </c>
      <c r="CL67" t="n">
        <v>4.505096826309311</v>
      </c>
      <c r="CM67" t="n">
        <v>4.6307454</v>
      </c>
      <c r="CN67" t="n">
        <v>4.489604814982632</v>
      </c>
      <c r="EH67" t="n">
        <v>4.494</v>
      </c>
      <c r="ES67" t="n">
        <v>9.6</v>
      </c>
      <c r="FD67" t="n">
        <v>2.02</v>
      </c>
      <c r="FF67" t="n">
        <v>8</v>
      </c>
      <c r="FG67" t="n">
        <v>4.2</v>
      </c>
      <c r="FH67" t="n">
        <v>37.8</v>
      </c>
      <c r="FI67" t="n">
        <v>-29.4</v>
      </c>
      <c r="FJ67" t="n">
        <v>4.1643972</v>
      </c>
      <c r="FK67" t="n">
        <v>4.1813097</v>
      </c>
      <c r="FL67" t="n">
        <v>4.194531204291224</v>
      </c>
      <c r="FM67" t="n">
        <v>4.1591115</v>
      </c>
      <c r="FN67" t="n">
        <v>4.194860414264463</v>
      </c>
      <c r="HH67" t="n">
        <v>4.179</v>
      </c>
      <c r="HS67" t="n">
        <v>-0.5</v>
      </c>
      <c r="ID67" t="n">
        <v>0.36</v>
      </c>
      <c r="IF67" t="n">
        <v>8</v>
      </c>
      <c r="IG67" t="n">
        <v>7.5</v>
      </c>
      <c r="IH67" t="n">
        <v>67.5</v>
      </c>
      <c r="II67" t="n">
        <v>-52.5</v>
      </c>
      <c r="IJ67" t="n">
        <v>7.755552</v>
      </c>
      <c r="IK67" t="n">
        <v>7.778315103271773</v>
      </c>
      <c r="IL67" t="n">
        <v>7.476347</v>
      </c>
      <c r="IM67" t="n">
        <v>7.620096753026104</v>
      </c>
      <c r="KH67" t="n">
        <v>7.658</v>
      </c>
      <c r="KS67" t="n">
        <v>2.1</v>
      </c>
      <c r="LD67" t="n">
        <v>1.58</v>
      </c>
    </row>
    <row r="68">
      <c r="A68" t="inlineStr">
        <is>
          <t>2026-06-11</t>
        </is>
      </c>
      <c r="B68" t="inlineStr">
        <is>
          <t>Exotic Pets 13</t>
        </is>
      </c>
      <c r="C68" t="inlineStr">
        <is>
          <t>100426061101</t>
        </is>
      </c>
      <c r="D68" t="inlineStr">
        <is>
          <t>URIC</t>
        </is>
      </c>
      <c r="F68" t="n">
        <v>10</v>
      </c>
      <c r="G68" t="n">
        <v>4.561200670000002</v>
      </c>
      <c r="H68" t="n">
        <v>50.17320737000001</v>
      </c>
      <c r="I68" t="n">
        <v>-41.05080603000002</v>
      </c>
      <c r="J68" t="n">
        <v>4.806262847843561</v>
      </c>
      <c r="K68" t="n">
        <v>4.5779285</v>
      </c>
      <c r="L68" t="n">
        <v>4.842024723479981</v>
      </c>
      <c r="M68" t="n">
        <v>4.774685</v>
      </c>
      <c r="N68" t="n">
        <v>4.653635036765663</v>
      </c>
      <c r="BH68" t="n">
        <v>4.731</v>
      </c>
      <c r="BS68" t="n">
        <v>3.72</v>
      </c>
      <c r="CD68" t="n">
        <v>2.1</v>
      </c>
      <c r="CF68" t="n">
        <v>10</v>
      </c>
      <c r="CG68" t="n">
        <v>9.699999999999999</v>
      </c>
      <c r="CH68" t="n">
        <v>106.7</v>
      </c>
      <c r="CI68" t="n">
        <v>-87.3</v>
      </c>
      <c r="CJ68" t="n">
        <v>10.04186141710065</v>
      </c>
      <c r="CK68" t="n">
        <v>10.14498</v>
      </c>
      <c r="CL68" t="n">
        <v>10.20963610138033</v>
      </c>
      <c r="CM68" t="n">
        <v>10.35999</v>
      </c>
      <c r="CN68" t="n">
        <v>10.36875735751995</v>
      </c>
      <c r="EH68" t="n">
        <v>10.225</v>
      </c>
      <c r="ES68" t="n">
        <v>5.41</v>
      </c>
      <c r="FD68" t="n">
        <v>1.23</v>
      </c>
      <c r="FF68" t="n">
        <v>10</v>
      </c>
      <c r="FG68" t="n">
        <v>2.7</v>
      </c>
      <c r="FH68" t="n">
        <v>29.7</v>
      </c>
      <c r="FI68" t="n">
        <v>-24.3</v>
      </c>
      <c r="FJ68" t="n">
        <v>2.963374</v>
      </c>
      <c r="FK68" t="n">
        <v>2.8808289</v>
      </c>
      <c r="FL68" t="n">
        <v>3.070160228034129</v>
      </c>
      <c r="FM68" t="n">
        <v>2.9333951</v>
      </c>
      <c r="FN68" t="n">
        <v>2.990348078906442</v>
      </c>
      <c r="HH68" t="n">
        <v>2.968</v>
      </c>
      <c r="HS68" t="n">
        <v>9.91</v>
      </c>
      <c r="ID68" t="n">
        <v>2.12</v>
      </c>
      <c r="IF68" t="n">
        <v>10</v>
      </c>
      <c r="IG68" t="n">
        <v>9.300000000000001</v>
      </c>
      <c r="IH68" t="n">
        <v>102.3</v>
      </c>
      <c r="II68" t="n">
        <v>-83.7</v>
      </c>
      <c r="IJ68" t="n">
        <v>9.950049999999999</v>
      </c>
      <c r="IK68" t="n">
        <v>10.04926849059745</v>
      </c>
      <c r="IL68" t="n">
        <v>9.466385000000001</v>
      </c>
      <c r="IM68" t="n">
        <v>9.906480417587908</v>
      </c>
      <c r="KH68" t="n">
        <v>9.843</v>
      </c>
      <c r="KS68" t="n">
        <v>5.84</v>
      </c>
      <c r="LD68" t="n">
        <v>2.27</v>
      </c>
    </row>
    <row r="69">
      <c r="A69" t="inlineStr">
        <is>
          <t>2026-06-10</t>
        </is>
      </c>
      <c r="B69" t="inlineStr">
        <is>
          <t>Avian &amp; Reptile 26</t>
        </is>
      </c>
      <c r="C69" t="inlineStr">
        <is>
          <t>206426061050</t>
        </is>
      </c>
      <c r="D69" t="inlineStr">
        <is>
          <t>ALP</t>
        </is>
      </c>
      <c r="F69" t="n">
        <v>20</v>
      </c>
      <c r="G69" t="n">
        <v>136</v>
      </c>
      <c r="H69" t="n">
        <v>2856</v>
      </c>
      <c r="I69" t="n">
        <v>-2584</v>
      </c>
      <c r="J69" t="n">
        <v>163.80737</v>
      </c>
      <c r="K69" t="n">
        <v>169.261</v>
      </c>
      <c r="L69" t="n">
        <v>164.52893</v>
      </c>
      <c r="M69" t="n">
        <v>165.90102</v>
      </c>
      <c r="BH69" t="n">
        <v>165.875</v>
      </c>
      <c r="BS69" t="n">
        <v>21.97</v>
      </c>
      <c r="CD69" t="n">
        <v>1.26</v>
      </c>
      <c r="CF69" t="n">
        <v>20</v>
      </c>
      <c r="CG69" t="n">
        <v>456</v>
      </c>
      <c r="CH69" t="n">
        <v>9576</v>
      </c>
      <c r="CI69" t="n">
        <v>-8664</v>
      </c>
      <c r="CJ69" t="n">
        <v>540.2513</v>
      </c>
      <c r="CK69" t="n">
        <v>542.8095</v>
      </c>
      <c r="CL69" t="n">
        <v>540.5658</v>
      </c>
      <c r="CM69" t="n">
        <v>536.50806</v>
      </c>
      <c r="EH69" t="n">
        <v>540.034</v>
      </c>
      <c r="ES69" t="n">
        <v>18.43</v>
      </c>
      <c r="FD69" t="n">
        <v>0.42</v>
      </c>
      <c r="FF69" t="n">
        <v>20</v>
      </c>
      <c r="FG69" t="n">
        <v>75</v>
      </c>
      <c r="FH69" t="n">
        <v>1575</v>
      </c>
      <c r="FI69" t="n">
        <v>-1425</v>
      </c>
      <c r="FJ69" t="n">
        <v>80.52297</v>
      </c>
      <c r="FK69" t="n">
        <v>82.063</v>
      </c>
      <c r="FL69" t="n">
        <v>80.85167</v>
      </c>
      <c r="FM69" t="n">
        <v>81.89744</v>
      </c>
      <c r="HH69" t="n">
        <v>81.334</v>
      </c>
      <c r="HS69" t="n">
        <v>8.449999999999999</v>
      </c>
      <c r="ID69" t="n">
        <v>0.8100000000000001</v>
      </c>
      <c r="IF69" t="n">
        <v>20</v>
      </c>
      <c r="IG69" t="n">
        <v>251</v>
      </c>
      <c r="IH69" t="n">
        <v>5271</v>
      </c>
      <c r="II69" t="n">
        <v>-4769</v>
      </c>
      <c r="IJ69" t="n">
        <v>266.75385</v>
      </c>
      <c r="IK69" t="n">
        <v>268.36218</v>
      </c>
      <c r="IL69" t="n">
        <v>267.15198</v>
      </c>
      <c r="IM69" t="n">
        <v>266.5704</v>
      </c>
      <c r="KH69" t="n">
        <v>267.21</v>
      </c>
      <c r="KS69" t="n">
        <v>6.46</v>
      </c>
      <c r="LD69" t="n">
        <v>0.26</v>
      </c>
    </row>
    <row r="70">
      <c r="A70" t="inlineStr">
        <is>
          <t>2026-06-10</t>
        </is>
      </c>
      <c r="B70" t="inlineStr">
        <is>
          <t>Avian &amp; Reptile 26</t>
        </is>
      </c>
      <c r="C70" t="inlineStr">
        <is>
          <t>206426061050</t>
        </is>
      </c>
      <c r="D70" t="inlineStr">
        <is>
          <t>BUN</t>
        </is>
      </c>
      <c r="F70" t="n">
        <v>9</v>
      </c>
      <c r="G70" t="n">
        <v>14.8</v>
      </c>
      <c r="H70" t="n">
        <v>148</v>
      </c>
      <c r="I70" t="n">
        <v>-118.4</v>
      </c>
      <c r="J70" t="n">
        <v>14.842124</v>
      </c>
      <c r="K70" t="n">
        <v>14.842329</v>
      </c>
      <c r="L70" t="n">
        <v>14.782672</v>
      </c>
      <c r="M70" t="n">
        <v>14.6648855</v>
      </c>
      <c r="BH70" t="n">
        <v>14.783</v>
      </c>
      <c r="BS70" t="n">
        <v>-0.11</v>
      </c>
      <c r="CD70" t="n">
        <v>0.49</v>
      </c>
      <c r="CF70" t="n">
        <v>9</v>
      </c>
      <c r="CG70" t="n">
        <v>44.7</v>
      </c>
      <c r="CH70" t="n">
        <v>447</v>
      </c>
      <c r="CI70" t="n">
        <v>-357.6</v>
      </c>
      <c r="CJ70" t="n">
        <v>44.60012</v>
      </c>
      <c r="CK70" t="n">
        <v>46.249447</v>
      </c>
      <c r="CL70" t="n">
        <v>45.43976</v>
      </c>
      <c r="CM70" t="n">
        <v>45.865723</v>
      </c>
      <c r="EH70" t="n">
        <v>45.539</v>
      </c>
      <c r="ES70" t="n">
        <v>1.88</v>
      </c>
      <c r="FD70" t="n">
        <v>1.35</v>
      </c>
      <c r="FF70" t="n">
        <v>9</v>
      </c>
      <c r="FG70" t="n">
        <v>14.7</v>
      </c>
      <c r="FH70" t="n">
        <v>147</v>
      </c>
      <c r="FI70" t="n">
        <v>-117.6</v>
      </c>
      <c r="FJ70" t="n">
        <v>14.70839</v>
      </c>
      <c r="FK70" t="n">
        <v>14.845389</v>
      </c>
      <c r="FL70" t="n">
        <v>14.272182</v>
      </c>
      <c r="FM70" t="n">
        <v>14.710609</v>
      </c>
      <c r="HH70" t="n">
        <v>14.634</v>
      </c>
      <c r="HS70" t="n">
        <v>-0.45</v>
      </c>
      <c r="ID70" t="n">
        <v>1.48</v>
      </c>
      <c r="IF70" t="n">
        <v>9</v>
      </c>
      <c r="IG70" t="n">
        <v>65.7</v>
      </c>
      <c r="IH70" t="n">
        <v>657</v>
      </c>
      <c r="II70" t="n">
        <v>-525.6</v>
      </c>
      <c r="IJ70" t="n">
        <v>68.18867</v>
      </c>
      <c r="IK70" t="n">
        <v>67.217094</v>
      </c>
      <c r="IL70" t="n">
        <v>66.37533000000001</v>
      </c>
      <c r="IM70" t="n">
        <v>67.111206</v>
      </c>
      <c r="KH70" t="n">
        <v>67.223</v>
      </c>
      <c r="KS70" t="n">
        <v>2.32</v>
      </c>
      <c r="LD70" t="n">
        <v>0.96</v>
      </c>
    </row>
    <row r="71">
      <c r="A71" t="inlineStr">
        <is>
          <t>2026-06-10</t>
        </is>
      </c>
      <c r="B71" t="inlineStr">
        <is>
          <t>Avian &amp; Reptile 26</t>
        </is>
      </c>
      <c r="C71" t="inlineStr">
        <is>
          <t>206426061050</t>
        </is>
      </c>
      <c r="D71" t="inlineStr">
        <is>
          <t>CHOL</t>
        </is>
      </c>
      <c r="F71" t="n">
        <v>10</v>
      </c>
      <c r="G71" t="n">
        <v>228</v>
      </c>
      <c r="H71" t="n">
        <v>2508</v>
      </c>
      <c r="I71" t="n">
        <v>-2052</v>
      </c>
      <c r="J71" t="n">
        <v>234.73795</v>
      </c>
      <c r="K71" t="n">
        <v>245.89813</v>
      </c>
      <c r="L71" t="n">
        <v>238.0217</v>
      </c>
      <c r="M71" t="n">
        <v>242.07927</v>
      </c>
      <c r="BH71" t="n">
        <v>240.184</v>
      </c>
      <c r="BS71" t="n">
        <v>5.34</v>
      </c>
      <c r="CD71" t="n">
        <v>1.75</v>
      </c>
      <c r="CF71" t="n">
        <v>10</v>
      </c>
      <c r="CG71" t="n">
        <v>99</v>
      </c>
      <c r="CH71" t="n">
        <v>1089</v>
      </c>
      <c r="CI71" t="n">
        <v>-891</v>
      </c>
      <c r="CJ71" t="n">
        <v>101.34673</v>
      </c>
      <c r="CK71" t="n">
        <v>103.40204</v>
      </c>
      <c r="CL71" t="n">
        <v>102.3535</v>
      </c>
      <c r="CM71" t="n">
        <v>100.76129</v>
      </c>
      <c r="EH71" t="n">
        <v>101.966</v>
      </c>
      <c r="ES71" t="n">
        <v>3</v>
      </c>
      <c r="FD71" t="n">
        <v>0.99</v>
      </c>
      <c r="FF71" t="n">
        <v>10</v>
      </c>
      <c r="FG71" t="n">
        <v>115</v>
      </c>
      <c r="FH71" t="n">
        <v>1265</v>
      </c>
      <c r="FI71" t="n">
        <v>-1035</v>
      </c>
      <c r="FJ71" t="n">
        <v>112.69479</v>
      </c>
      <c r="FK71" t="n">
        <v>114.34316</v>
      </c>
      <c r="FL71" t="n">
        <v>115.56889</v>
      </c>
      <c r="FM71" t="n">
        <v>119.02913</v>
      </c>
      <c r="HH71" t="n">
        <v>115.409</v>
      </c>
      <c r="HS71" t="n">
        <v>0.36</v>
      </c>
      <c r="ID71" t="n">
        <v>2.02</v>
      </c>
      <c r="IF71" t="n">
        <v>10</v>
      </c>
      <c r="IG71" t="n">
        <v>269</v>
      </c>
      <c r="IH71" t="n">
        <v>2959</v>
      </c>
      <c r="II71" t="n">
        <v>-2421</v>
      </c>
      <c r="IJ71" t="n">
        <v>271.88782</v>
      </c>
      <c r="IK71" t="n">
        <v>270.91852</v>
      </c>
      <c r="IL71" t="n">
        <v>272.71396</v>
      </c>
      <c r="IM71" t="n">
        <v>271.46973</v>
      </c>
      <c r="KH71" t="n">
        <v>271.748</v>
      </c>
      <c r="KS71" t="n">
        <v>1.02</v>
      </c>
      <c r="LD71" t="n">
        <v>0.24</v>
      </c>
    </row>
    <row r="72">
      <c r="A72" t="inlineStr">
        <is>
          <t>2026-06-10</t>
        </is>
      </c>
      <c r="B72" t="inlineStr">
        <is>
          <t>Avian &amp; Reptile 26</t>
        </is>
      </c>
      <c r="C72" t="inlineStr">
        <is>
          <t>206426061050</t>
        </is>
      </c>
      <c r="D72" t="inlineStr">
        <is>
          <t>GGT</t>
        </is>
      </c>
      <c r="F72" t="n">
        <v>15</v>
      </c>
      <c r="G72" t="n">
        <v>57</v>
      </c>
      <c r="H72" t="n">
        <v>912</v>
      </c>
      <c r="I72" t="n">
        <v>-798</v>
      </c>
      <c r="J72" t="n">
        <v>55.701935</v>
      </c>
      <c r="K72" t="n">
        <v>56.84535</v>
      </c>
      <c r="L72" t="n">
        <v>56.634026</v>
      </c>
      <c r="M72" t="n">
        <v>55.879734</v>
      </c>
      <c r="BH72" t="n">
        <v>56.265</v>
      </c>
      <c r="BS72" t="n">
        <v>-1.29</v>
      </c>
      <c r="CD72" t="n">
        <v>0.86</v>
      </c>
      <c r="CF72" t="n">
        <v>15</v>
      </c>
      <c r="CG72" t="n">
        <v>164</v>
      </c>
      <c r="CH72" t="n">
        <v>2624</v>
      </c>
      <c r="CI72" t="n">
        <v>-2296</v>
      </c>
      <c r="CJ72" t="n">
        <v>162.50024</v>
      </c>
      <c r="CK72" t="n">
        <v>164.95245</v>
      </c>
      <c r="CL72" t="n">
        <v>163.3871</v>
      </c>
      <c r="CM72" t="n">
        <v>161.88907</v>
      </c>
      <c r="EH72" t="n">
        <v>163.182</v>
      </c>
      <c r="ES72" t="n">
        <v>-0.5</v>
      </c>
      <c r="FD72" t="n">
        <v>0.71</v>
      </c>
      <c r="FF72" t="n">
        <v>15</v>
      </c>
      <c r="FG72" t="n">
        <v>23</v>
      </c>
      <c r="FH72" t="n">
        <v>368</v>
      </c>
      <c r="FI72" t="n">
        <v>-322</v>
      </c>
      <c r="FJ72" t="n">
        <v>20.447727</v>
      </c>
      <c r="FK72" t="n">
        <v>21.512533</v>
      </c>
      <c r="FL72" t="n">
        <v>20.912085</v>
      </c>
      <c r="FM72" t="n">
        <v>21.27963</v>
      </c>
      <c r="HH72" t="n">
        <v>21.038</v>
      </c>
      <c r="HS72" t="n">
        <v>-8.529999999999999</v>
      </c>
      <c r="ID72" t="n">
        <v>1.91</v>
      </c>
      <c r="IF72" t="n">
        <v>15</v>
      </c>
      <c r="IG72" t="n">
        <v>126</v>
      </c>
      <c r="IH72" t="n">
        <v>2016</v>
      </c>
      <c r="II72" t="n">
        <v>-1764</v>
      </c>
      <c r="IJ72" t="n">
        <v>122.83965</v>
      </c>
      <c r="IK72" t="n">
        <v>126.04244</v>
      </c>
      <c r="IL72" t="n">
        <v>125.38702</v>
      </c>
      <c r="IM72" t="n">
        <v>123.2335</v>
      </c>
      <c r="KH72" t="n">
        <v>124.376</v>
      </c>
      <c r="KS72" t="n">
        <v>-1.29</v>
      </c>
      <c r="LD72" t="n">
        <v>1.1</v>
      </c>
    </row>
    <row r="73">
      <c r="A73" t="inlineStr">
        <is>
          <t>2026-06-10</t>
        </is>
      </c>
      <c r="B73" t="inlineStr">
        <is>
          <t>Avian &amp; Reptile 26</t>
        </is>
      </c>
      <c r="C73" t="inlineStr">
        <is>
          <t>206426061050</t>
        </is>
      </c>
      <c r="D73" t="inlineStr">
        <is>
          <t>K</t>
        </is>
      </c>
      <c r="G73" t="n">
        <v>3.9</v>
      </c>
      <c r="J73" t="n">
        <v>4.342512</v>
      </c>
      <c r="K73" t="n">
        <v>4.532461</v>
      </c>
      <c r="L73" t="n">
        <v>4.5317326</v>
      </c>
      <c r="M73" t="n">
        <v>4.6600533</v>
      </c>
      <c r="BH73" t="n">
        <v>4.517</v>
      </c>
      <c r="BS73" t="n">
        <v>15.81</v>
      </c>
      <c r="CD73" t="n">
        <v>2.51</v>
      </c>
      <c r="CG73" t="n">
        <v>6</v>
      </c>
      <c r="CJ73" t="n">
        <v>7.1683354</v>
      </c>
      <c r="CK73" t="n">
        <v>7.2741714</v>
      </c>
      <c r="CL73" t="n">
        <v>7.0050335</v>
      </c>
      <c r="CM73" t="n">
        <v>7.323459</v>
      </c>
      <c r="EH73" t="n">
        <v>7.193</v>
      </c>
      <c r="ES73" t="n">
        <v>19.88</v>
      </c>
      <c r="FD73" t="n">
        <v>1.7</v>
      </c>
      <c r="FG73" t="n">
        <v>2.2</v>
      </c>
      <c r="FJ73" t="n">
        <v>2.7871022</v>
      </c>
      <c r="FK73" t="n">
        <v>2.7423697</v>
      </c>
      <c r="FL73" t="n">
        <v>2.7025049</v>
      </c>
      <c r="FM73" t="n">
        <v>3.038587</v>
      </c>
      <c r="HH73" t="n">
        <v>2.818</v>
      </c>
      <c r="HS73" t="n">
        <v>28.07</v>
      </c>
      <c r="ID73" t="n">
        <v>4.65</v>
      </c>
      <c r="IG73" t="n">
        <v>8.4</v>
      </c>
      <c r="IJ73" t="n">
        <v>9.543638</v>
      </c>
      <c r="IK73" t="n">
        <v>9.691303</v>
      </c>
      <c r="IL73" t="n">
        <v>9.678689</v>
      </c>
      <c r="IM73" t="n">
        <v>9.547586000000001</v>
      </c>
      <c r="KH73" t="n">
        <v>9.615</v>
      </c>
      <c r="KS73" t="n">
        <v>14.47</v>
      </c>
      <c r="LD73" t="n">
        <v>0.73</v>
      </c>
    </row>
    <row r="74">
      <c r="A74" t="inlineStr">
        <is>
          <t>2026-06-10</t>
        </is>
      </c>
      <c r="B74" t="inlineStr">
        <is>
          <t>Avian &amp; Reptile 26</t>
        </is>
      </c>
      <c r="C74" t="inlineStr">
        <is>
          <t>206426061050</t>
        </is>
      </c>
      <c r="D74" t="inlineStr">
        <is>
          <t>LDH</t>
        </is>
      </c>
      <c r="F74" t="n">
        <v>15</v>
      </c>
      <c r="J74" t="n">
        <v>312.43982</v>
      </c>
      <c r="K74" t="n">
        <v>333.52264</v>
      </c>
      <c r="L74" t="n">
        <v>318.57828</v>
      </c>
      <c r="M74" t="n">
        <v>321.74786</v>
      </c>
      <c r="BH74" t="n">
        <v>321.572</v>
      </c>
      <c r="CD74" t="n">
        <v>2.38</v>
      </c>
      <c r="CF74" t="n">
        <v>15</v>
      </c>
      <c r="CJ74" t="n">
        <v>674.3842</v>
      </c>
      <c r="CK74" t="n">
        <v>675.03314</v>
      </c>
      <c r="CL74" t="n">
        <v>674.23474</v>
      </c>
      <c r="CM74" t="n">
        <v>673.80804</v>
      </c>
      <c r="EH74" t="n">
        <v>674.365</v>
      </c>
      <c r="FD74" t="n">
        <v>0.07000000000000001</v>
      </c>
      <c r="FF74" t="n">
        <v>15</v>
      </c>
      <c r="FJ74" t="n">
        <v>195.5958</v>
      </c>
      <c r="FK74" t="n">
        <v>190.98546</v>
      </c>
      <c r="FL74" t="n">
        <v>187.96255</v>
      </c>
      <c r="FM74" t="n">
        <v>195.25133</v>
      </c>
      <c r="HH74" t="n">
        <v>192.449</v>
      </c>
      <c r="ID74" t="n">
        <v>1.64</v>
      </c>
      <c r="IF74" t="n">
        <v>15</v>
      </c>
      <c r="IJ74" t="n">
        <v>816.385</v>
      </c>
      <c r="IK74" t="n">
        <v>820.68646</v>
      </c>
      <c r="IL74" t="n">
        <v>823.5542</v>
      </c>
      <c r="IM74" t="n">
        <v>810.87354</v>
      </c>
      <c r="KH74" t="n">
        <v>817.875</v>
      </c>
      <c r="LD74" t="n">
        <v>0.58</v>
      </c>
    </row>
    <row r="75">
      <c r="A75" t="inlineStr">
        <is>
          <t>2026-06-10</t>
        </is>
      </c>
      <c r="B75" t="inlineStr">
        <is>
          <t>Avian &amp; Reptile 26</t>
        </is>
      </c>
      <c r="C75" t="inlineStr">
        <is>
          <t>206426061050</t>
        </is>
      </c>
      <c r="D75" t="inlineStr">
        <is>
          <t>Na</t>
        </is>
      </c>
      <c r="G75" t="n">
        <v>141</v>
      </c>
      <c r="J75" t="n">
        <v>114.97127</v>
      </c>
      <c r="K75" t="n">
        <v>117.62129</v>
      </c>
      <c r="L75" t="n">
        <v>116.0773</v>
      </c>
      <c r="M75" t="n">
        <v>116.00364</v>
      </c>
      <c r="BH75" t="n">
        <v>116.168</v>
      </c>
      <c r="BS75" t="n">
        <v>-17.61</v>
      </c>
      <c r="CD75" t="n">
        <v>0.8100000000000001</v>
      </c>
      <c r="CG75" t="n">
        <v>129</v>
      </c>
      <c r="CJ75" t="n">
        <v>109.823135</v>
      </c>
      <c r="CK75" t="n">
        <v>109.945114</v>
      </c>
      <c r="CL75" t="n">
        <v>111.0877</v>
      </c>
      <c r="CM75" t="n">
        <v>109.58068</v>
      </c>
      <c r="EH75" t="n">
        <v>110.109</v>
      </c>
      <c r="ES75" t="n">
        <v>-14.64</v>
      </c>
      <c r="FD75" t="n">
        <v>0.53</v>
      </c>
      <c r="FG75" t="n">
        <v>118</v>
      </c>
      <c r="FJ75" t="n">
        <v>100.065765</v>
      </c>
      <c r="FK75" t="n">
        <v>100.6007</v>
      </c>
      <c r="FL75" t="n">
        <v>100.40903</v>
      </c>
      <c r="FM75" t="n">
        <v>102.30761</v>
      </c>
      <c r="HH75" t="n">
        <v>100.846</v>
      </c>
      <c r="HS75" t="n">
        <v>-14.54</v>
      </c>
      <c r="ID75" t="n">
        <v>0.86</v>
      </c>
      <c r="IG75" t="n">
        <v>166</v>
      </c>
      <c r="IJ75" t="n">
        <v>125.45288</v>
      </c>
      <c r="IK75" t="n">
        <v>123.49006</v>
      </c>
      <c r="IL75" t="n">
        <v>126.90703</v>
      </c>
      <c r="IM75" t="n">
        <v>125.222046</v>
      </c>
      <c r="KH75" t="n">
        <v>125.268</v>
      </c>
      <c r="KS75" t="n">
        <v>-24.54</v>
      </c>
      <c r="LD75" t="n">
        <v>0.97</v>
      </c>
    </row>
    <row r="76">
      <c r="A76" t="inlineStr">
        <is>
          <t>2026-06-10</t>
        </is>
      </c>
      <c r="B76" t="inlineStr">
        <is>
          <t>Electrolyte 7</t>
        </is>
      </c>
      <c r="C76" t="inlineStr">
        <is>
          <t>200326061002</t>
        </is>
      </c>
      <c r="D76" t="inlineStr">
        <is>
          <t>ALP</t>
        </is>
      </c>
      <c r="F76" t="n">
        <v>20</v>
      </c>
      <c r="G76" t="n">
        <v>136</v>
      </c>
      <c r="H76" t="n">
        <v>2856</v>
      </c>
      <c r="I76" t="n">
        <v>-2584</v>
      </c>
      <c r="J76" t="n">
        <v>148.7045562074423</v>
      </c>
      <c r="K76" t="n">
        <v>150.2390502942177</v>
      </c>
      <c r="L76" t="n">
        <v>147.8588958561581</v>
      </c>
      <c r="BH76" t="n">
        <v>148.934</v>
      </c>
      <c r="BS76" t="n">
        <v>9.51</v>
      </c>
      <c r="CD76" t="n">
        <v>0.66</v>
      </c>
      <c r="CF76" t="n">
        <v>20</v>
      </c>
      <c r="CG76" t="n">
        <v>456</v>
      </c>
      <c r="CH76" t="n">
        <v>9576</v>
      </c>
      <c r="CI76" t="n">
        <v>-8664</v>
      </c>
      <c r="CJ76" t="n">
        <v>476.8492</v>
      </c>
      <c r="CK76" t="n">
        <v>487.9192431655428</v>
      </c>
      <c r="CL76" t="n">
        <v>489.3940883294781</v>
      </c>
      <c r="EH76" t="n">
        <v>484.721</v>
      </c>
      <c r="ES76" t="n">
        <v>6.3</v>
      </c>
      <c r="FD76" t="n">
        <v>1.16</v>
      </c>
      <c r="FF76" t="n">
        <v>20</v>
      </c>
      <c r="FG76" t="n">
        <v>75</v>
      </c>
      <c r="FH76" t="n">
        <v>1575</v>
      </c>
      <c r="FI76" t="n">
        <v>-1425</v>
      </c>
      <c r="FJ76" t="n">
        <v>75.59981261643161</v>
      </c>
      <c r="FK76" t="n">
        <v>75.61823214996809</v>
      </c>
      <c r="FL76" t="n">
        <v>75.89408569369866</v>
      </c>
      <c r="HH76" t="n">
        <v>75.70399999999999</v>
      </c>
      <c r="HS76" t="n">
        <v>0.9399999999999999</v>
      </c>
      <c r="ID76" t="n">
        <v>0.18</v>
      </c>
      <c r="IF76" t="n">
        <v>20</v>
      </c>
      <c r="IG76" t="n">
        <v>251</v>
      </c>
      <c r="IH76" t="n">
        <v>5271</v>
      </c>
      <c r="II76" t="n">
        <v>-4769</v>
      </c>
      <c r="IJ76" t="n">
        <v>271.0206393806448</v>
      </c>
      <c r="IK76" t="n">
        <v>251.3004</v>
      </c>
      <c r="IL76" t="n">
        <v>250.7013358331797</v>
      </c>
      <c r="KH76" t="n">
        <v>257.674</v>
      </c>
      <c r="KS76" t="n">
        <v>2.66</v>
      </c>
      <c r="LD76" t="n">
        <v>3.66</v>
      </c>
    </row>
    <row r="77">
      <c r="A77" t="inlineStr">
        <is>
          <t>2026-06-10</t>
        </is>
      </c>
      <c r="B77" t="inlineStr">
        <is>
          <t>Electrolyte 7</t>
        </is>
      </c>
      <c r="C77" t="inlineStr">
        <is>
          <t>200326061002</t>
        </is>
      </c>
      <c r="D77" t="inlineStr">
        <is>
          <t>Cl</t>
        </is>
      </c>
      <c r="F77" t="n">
        <v>5</v>
      </c>
      <c r="G77" t="n">
        <v>90</v>
      </c>
      <c r="H77" t="n">
        <v>540</v>
      </c>
      <c r="I77" t="n">
        <v>-360</v>
      </c>
      <c r="J77" t="n">
        <v>98.98888838810154</v>
      </c>
      <c r="K77" t="n">
        <v>96.92491720413314</v>
      </c>
      <c r="L77" t="n">
        <v>98.98708268573458</v>
      </c>
      <c r="BH77" t="n">
        <v>98.3</v>
      </c>
      <c r="BS77" t="n">
        <v>9.220000000000001</v>
      </c>
      <c r="CD77" t="n">
        <v>0.99</v>
      </c>
      <c r="CF77" t="n">
        <v>5</v>
      </c>
      <c r="CG77" t="n">
        <v>91</v>
      </c>
      <c r="CH77" t="n">
        <v>546</v>
      </c>
      <c r="CI77" t="n">
        <v>-364</v>
      </c>
      <c r="CJ77" t="n">
        <v>91.88473500000001</v>
      </c>
      <c r="CK77" t="n">
        <v>88.99652843184386</v>
      </c>
      <c r="CL77" t="n">
        <v>90.3041630753839</v>
      </c>
      <c r="EH77" t="n">
        <v>90.395</v>
      </c>
      <c r="ES77" t="n">
        <v>-0.66</v>
      </c>
      <c r="FD77" t="n">
        <v>1.31</v>
      </c>
      <c r="FF77" t="n">
        <v>5</v>
      </c>
      <c r="FG77" t="n">
        <v>77</v>
      </c>
      <c r="FH77" t="n">
        <v>462</v>
      </c>
      <c r="FI77" t="n">
        <v>-308</v>
      </c>
      <c r="FJ77" t="n">
        <v>80.12806555645469</v>
      </c>
      <c r="FK77" t="n">
        <v>81.59601296207993</v>
      </c>
      <c r="FL77" t="n">
        <v>82.18372294667647</v>
      </c>
      <c r="HH77" t="n">
        <v>81.303</v>
      </c>
      <c r="HS77" t="n">
        <v>5.59</v>
      </c>
      <c r="ID77" t="n">
        <v>1.06</v>
      </c>
      <c r="IF77" t="n">
        <v>5</v>
      </c>
      <c r="IG77" t="n">
        <v>118</v>
      </c>
      <c r="IH77" t="n">
        <v>708</v>
      </c>
      <c r="II77" t="n">
        <v>-472</v>
      </c>
      <c r="IJ77" t="n">
        <v>128.3542374374559</v>
      </c>
      <c r="IK77" t="n">
        <v>127.383575</v>
      </c>
      <c r="IL77" t="n">
        <v>123.2968426154762</v>
      </c>
      <c r="KH77" t="n">
        <v>126.345</v>
      </c>
      <c r="KS77" t="n">
        <v>7.07</v>
      </c>
      <c r="LD77" t="n">
        <v>1.73</v>
      </c>
    </row>
    <row r="78">
      <c r="A78" t="inlineStr">
        <is>
          <t>2026-06-10</t>
        </is>
      </c>
      <c r="B78" t="inlineStr">
        <is>
          <t>Electrolyte 7</t>
        </is>
      </c>
      <c r="C78" t="inlineStr">
        <is>
          <t>200326061002</t>
        </is>
      </c>
      <c r="D78" t="inlineStr">
        <is>
          <t>K</t>
        </is>
      </c>
      <c r="G78" t="n">
        <v>3.9</v>
      </c>
      <c r="J78" t="n">
        <v>3.710460948426434</v>
      </c>
      <c r="K78" t="n">
        <v>3.678948915628968</v>
      </c>
      <c r="L78" t="n">
        <v>3.537046099366148</v>
      </c>
      <c r="BH78" t="n">
        <v>3.642</v>
      </c>
      <c r="BS78" t="n">
        <v>-6.61</v>
      </c>
      <c r="CD78" t="n">
        <v>2.07</v>
      </c>
      <c r="CG78" t="n">
        <v>6</v>
      </c>
      <c r="CJ78" t="n">
        <v>6.087011</v>
      </c>
      <c r="CK78" t="n">
        <v>6.133710318498622</v>
      </c>
      <c r="CL78" t="n">
        <v>6.115155683266339</v>
      </c>
      <c r="EH78" t="n">
        <v>6.112</v>
      </c>
      <c r="ES78" t="n">
        <v>1.87</v>
      </c>
      <c r="FD78" t="n">
        <v>0.31</v>
      </c>
      <c r="FG78" t="n">
        <v>2.2</v>
      </c>
      <c r="FJ78" t="n">
        <v>2.262079463985399</v>
      </c>
      <c r="FK78" t="n">
        <v>2.247414195964152</v>
      </c>
      <c r="FL78" t="n">
        <v>2.329217110569349</v>
      </c>
      <c r="HH78" t="n">
        <v>2.28</v>
      </c>
      <c r="HS78" t="n">
        <v>3.62</v>
      </c>
      <c r="ID78" t="n">
        <v>1.56</v>
      </c>
      <c r="IG78" t="n">
        <v>8.4</v>
      </c>
      <c r="IJ78" t="n">
        <v>8.318682194870135</v>
      </c>
      <c r="IK78" t="n">
        <v>8.644652000000001</v>
      </c>
      <c r="IL78" t="n">
        <v>8.228369414253404</v>
      </c>
      <c r="KH78" t="n">
        <v>8.397</v>
      </c>
      <c r="KS78" t="n">
        <v>-0.03</v>
      </c>
      <c r="LD78" t="n">
        <v>2.13</v>
      </c>
    </row>
    <row r="79">
      <c r="A79" t="inlineStr">
        <is>
          <t>2026-06-10</t>
        </is>
      </c>
      <c r="B79" t="inlineStr">
        <is>
          <t>Electrolyte 7</t>
        </is>
      </c>
      <c r="C79" t="inlineStr">
        <is>
          <t>200326061002</t>
        </is>
      </c>
      <c r="D79" t="inlineStr">
        <is>
          <t>Na</t>
        </is>
      </c>
      <c r="G79" t="n">
        <v>141</v>
      </c>
      <c r="J79" t="n">
        <v>143.5909941479347</v>
      </c>
      <c r="K79" t="n">
        <v>141.5302731419602</v>
      </c>
      <c r="L79" t="n">
        <v>141.7344224641175</v>
      </c>
      <c r="BH79" t="n">
        <v>142.285</v>
      </c>
      <c r="BS79" t="n">
        <v>0.91</v>
      </c>
      <c r="CD79" t="n">
        <v>0.65</v>
      </c>
      <c r="CG79" t="n">
        <v>129</v>
      </c>
      <c r="CJ79" t="n">
        <v>130.03952</v>
      </c>
      <c r="CK79" t="n">
        <v>130.8105295736158</v>
      </c>
      <c r="CL79" t="n">
        <v>130.6330900509091</v>
      </c>
      <c r="EH79" t="n">
        <v>130.494</v>
      </c>
      <c r="ES79" t="n">
        <v>1.16</v>
      </c>
      <c r="FD79" t="n">
        <v>0.25</v>
      </c>
      <c r="FG79" t="n">
        <v>118</v>
      </c>
      <c r="FJ79" t="n">
        <v>120.987004307493</v>
      </c>
      <c r="FK79" t="n">
        <v>119.3956228966089</v>
      </c>
      <c r="FL79" t="n">
        <v>122.0628163615346</v>
      </c>
      <c r="HH79" t="n">
        <v>120.815</v>
      </c>
      <c r="HS79" t="n">
        <v>2.39</v>
      </c>
      <c r="ID79" t="n">
        <v>0.91</v>
      </c>
      <c r="IG79" t="n">
        <v>166</v>
      </c>
      <c r="IJ79" t="n">
        <v>158.0548905531316</v>
      </c>
      <c r="IK79" t="n">
        <v>158.53589</v>
      </c>
      <c r="IL79" t="n">
        <v>156.9948019612989</v>
      </c>
      <c r="KH79" t="n">
        <v>157.862</v>
      </c>
      <c r="KS79" t="n">
        <v>-4.9</v>
      </c>
      <c r="LD79" t="n">
        <v>0.41</v>
      </c>
    </row>
    <row r="80">
      <c r="A80" t="inlineStr">
        <is>
          <t>2026-06-10</t>
        </is>
      </c>
      <c r="B80" t="inlineStr">
        <is>
          <t>Electrolyte 7</t>
        </is>
      </c>
      <c r="C80" t="inlineStr">
        <is>
          <t>200326061002</t>
        </is>
      </c>
      <c r="D80" t="inlineStr">
        <is>
          <t>TCO2</t>
        </is>
      </c>
      <c r="F80" t="n">
        <v>20</v>
      </c>
      <c r="G80" t="n">
        <v>32.5</v>
      </c>
      <c r="H80" t="n">
        <v>682.5</v>
      </c>
      <c r="I80" t="n">
        <v>-617.5</v>
      </c>
      <c r="J80" t="n">
        <v>24.34255074954376</v>
      </c>
      <c r="K80" t="n">
        <v>23.98863138732098</v>
      </c>
      <c r="L80" t="n">
        <v>23.30870540201214</v>
      </c>
      <c r="BH80" t="n">
        <v>23.88</v>
      </c>
      <c r="BS80" t="n">
        <v>-26.52</v>
      </c>
      <c r="CD80" t="n">
        <v>1.8</v>
      </c>
      <c r="CF80" t="n">
        <v>20</v>
      </c>
      <c r="CG80" t="n">
        <v>21.2</v>
      </c>
      <c r="CH80" t="n">
        <v>445.2</v>
      </c>
      <c r="CI80" t="n">
        <v>-402.8</v>
      </c>
      <c r="CJ80" t="n">
        <v>12.448435</v>
      </c>
      <c r="CK80" t="n">
        <v>11.18800548264676</v>
      </c>
      <c r="CL80" t="n">
        <v>11.80431504676116</v>
      </c>
      <c r="EH80" t="n">
        <v>11.814</v>
      </c>
      <c r="ES80" t="n">
        <v>-44.28</v>
      </c>
      <c r="FD80" t="n">
        <v>4.36</v>
      </c>
      <c r="FF80" t="n">
        <v>20</v>
      </c>
      <c r="FG80" t="n">
        <v>17.3</v>
      </c>
      <c r="FH80" t="n">
        <v>363.3</v>
      </c>
      <c r="FI80" t="n">
        <v>-328.7</v>
      </c>
      <c r="FJ80" t="n">
        <v>16.55109268812912</v>
      </c>
      <c r="FK80" t="n">
        <v>10.46651684333886</v>
      </c>
      <c r="FL80" t="n">
        <v>8.885229455108908</v>
      </c>
      <c r="HH80" t="n">
        <v>11.968</v>
      </c>
      <c r="HS80" t="n">
        <v>-30.82</v>
      </c>
      <c r="ID80" t="n">
        <v>27.61</v>
      </c>
      <c r="IF80" t="n">
        <v>20</v>
      </c>
      <c r="IG80" t="n">
        <v>26.7</v>
      </c>
      <c r="IH80" t="n">
        <v>560.6999999999999</v>
      </c>
      <c r="II80" t="n">
        <v>-507.3</v>
      </c>
      <c r="IJ80" t="n">
        <v>19.77525781583307</v>
      </c>
      <c r="IK80" t="n">
        <v>18.38386</v>
      </c>
      <c r="IL80" t="n">
        <v>17.84845667089286</v>
      </c>
      <c r="KH80" t="n">
        <v>18.669</v>
      </c>
      <c r="KS80" t="n">
        <v>-30.08</v>
      </c>
      <c r="LD80" t="n">
        <v>4.35</v>
      </c>
    </row>
    <row r="81">
      <c r="A81" t="inlineStr">
        <is>
          <t>2026-06-10</t>
        </is>
      </c>
      <c r="B81" t="inlineStr">
        <is>
          <t>Avian &amp; Reptile 26</t>
        </is>
      </c>
      <c r="C81" t="inlineStr">
        <is>
          <t>106326061050</t>
        </is>
      </c>
      <c r="D81" t="inlineStr">
        <is>
          <t>ALB</t>
        </is>
      </c>
      <c r="F81" t="n">
        <v>8</v>
      </c>
      <c r="G81" t="n">
        <v>4.2</v>
      </c>
      <c r="H81" t="n">
        <v>37.8</v>
      </c>
      <c r="I81" t="n">
        <v>-29.4</v>
      </c>
      <c r="J81" t="n">
        <v>1.692471174254234</v>
      </c>
      <c r="K81" t="n">
        <v>2.177514708642895</v>
      </c>
      <c r="L81" t="n">
        <v>1.294147241192678</v>
      </c>
      <c r="M81" t="n">
        <v>2.367387215866092</v>
      </c>
      <c r="N81" t="n">
        <v>3.2402954</v>
      </c>
      <c r="O81" t="n">
        <v>3.178159</v>
      </c>
      <c r="P81" t="n">
        <v>3.95166</v>
      </c>
      <c r="Q81" t="n">
        <v>2.8758535</v>
      </c>
      <c r="BH81" t="n">
        <v>2.597</v>
      </c>
      <c r="BS81" t="n">
        <v>-38.16</v>
      </c>
      <c r="CD81" t="n">
        <v>31.66</v>
      </c>
      <c r="CF81" t="n">
        <v>8</v>
      </c>
      <c r="CG81" t="n">
        <v>2.7</v>
      </c>
      <c r="CH81" t="n">
        <v>24.3</v>
      </c>
      <c r="CI81" t="n">
        <v>-18.9</v>
      </c>
      <c r="CJ81" t="n">
        <v>3.601805308668976</v>
      </c>
      <c r="CK81" t="n">
        <v>3.056899824573625</v>
      </c>
      <c r="CL81" t="n">
        <v>4.017130517566969</v>
      </c>
      <c r="CM81" t="n">
        <v>3.676698436968618</v>
      </c>
      <c r="CN81" t="n">
        <v>2.8011045</v>
      </c>
      <c r="CO81" t="n">
        <v>2.665035</v>
      </c>
      <c r="CP81" t="n">
        <v>2.8903296</v>
      </c>
      <c r="CQ81" t="n">
        <v>1.9652587</v>
      </c>
      <c r="EH81" t="n">
        <v>3.084</v>
      </c>
      <c r="ES81" t="n">
        <v>14.23</v>
      </c>
      <c r="FD81" t="n">
        <v>19.97</v>
      </c>
      <c r="FF81" t="n">
        <v>8</v>
      </c>
      <c r="FG81" t="n">
        <v>2.6</v>
      </c>
      <c r="FH81" t="n">
        <v>23.4</v>
      </c>
      <c r="FI81" t="n">
        <v>-18.2</v>
      </c>
      <c r="FJ81" t="n">
        <v>1.3027495</v>
      </c>
      <c r="FK81" t="n">
        <v>1.8867707</v>
      </c>
      <c r="FL81" t="n">
        <v>2.5580003</v>
      </c>
      <c r="FM81" t="n">
        <v>2.6269546</v>
      </c>
      <c r="HH81" t="n">
        <v>2.094</v>
      </c>
      <c r="HS81" t="n">
        <v>-19.48</v>
      </c>
      <c r="ID81" t="n">
        <v>25.81</v>
      </c>
      <c r="IF81" t="n">
        <v>8</v>
      </c>
      <c r="IG81" t="n">
        <v>4.2</v>
      </c>
      <c r="IH81" t="n">
        <v>37.8</v>
      </c>
      <c r="II81" t="n">
        <v>-29.4</v>
      </c>
      <c r="IJ81" t="n">
        <v>3.794706</v>
      </c>
      <c r="IK81" t="n">
        <v>3.9537694</v>
      </c>
      <c r="IL81" t="n">
        <v>3.9430625</v>
      </c>
      <c r="IM81" t="n">
        <v>3.2165906</v>
      </c>
      <c r="KH81" t="n">
        <v>3.727</v>
      </c>
      <c r="KS81" t="n">
        <v>-11.26</v>
      </c>
      <c r="LD81" t="n">
        <v>8.09</v>
      </c>
    </row>
    <row r="82">
      <c r="A82" t="inlineStr">
        <is>
          <t>2026-06-10</t>
        </is>
      </c>
      <c r="B82" t="inlineStr">
        <is>
          <t>Avian &amp; Reptile 26</t>
        </is>
      </c>
      <c r="C82" t="inlineStr">
        <is>
          <t>106326061050</t>
        </is>
      </c>
      <c r="D82" t="inlineStr">
        <is>
          <t>AST</t>
        </is>
      </c>
      <c r="F82" t="n">
        <v>15</v>
      </c>
      <c r="G82" t="n">
        <v>44</v>
      </c>
      <c r="H82" t="n">
        <v>704</v>
      </c>
      <c r="I82" t="n">
        <v>-616</v>
      </c>
      <c r="J82" t="n">
        <v>40.83309557340789</v>
      </c>
      <c r="K82" t="n">
        <v>39.73940807003201</v>
      </c>
      <c r="L82" t="n">
        <v>43.32105812027535</v>
      </c>
      <c r="M82" t="n">
        <v>40.67373889101706</v>
      </c>
      <c r="N82" t="n">
        <v>42.25883</v>
      </c>
      <c r="O82" t="n">
        <v>45.766266</v>
      </c>
      <c r="P82" t="n">
        <v>42.55775</v>
      </c>
      <c r="Q82" t="n">
        <v>43.791683</v>
      </c>
      <c r="BH82" t="n">
        <v>42.368</v>
      </c>
      <c r="BS82" t="n">
        <v>-3.71</v>
      </c>
      <c r="CD82" t="n">
        <v>4.31</v>
      </c>
      <c r="CF82" t="n">
        <v>15</v>
      </c>
      <c r="CG82" t="n">
        <v>221</v>
      </c>
      <c r="CH82" t="n">
        <v>3536</v>
      </c>
      <c r="CI82" t="n">
        <v>-3094</v>
      </c>
      <c r="CJ82" t="n">
        <v>295.1498586368805</v>
      </c>
      <c r="CK82" t="n">
        <v>300.4440419874132</v>
      </c>
      <c r="CL82" t="n">
        <v>296.3895109953883</v>
      </c>
      <c r="CM82" t="n">
        <v>296.8638336805955</v>
      </c>
      <c r="CN82" t="n">
        <v>227.72055</v>
      </c>
      <c r="CO82" t="n">
        <v>236.3171</v>
      </c>
      <c r="CP82" t="n">
        <v>231.49855</v>
      </c>
      <c r="CQ82" t="n">
        <v>229.02101</v>
      </c>
      <c r="EH82" t="n">
        <v>264.176</v>
      </c>
      <c r="ES82" t="n">
        <v>19.54</v>
      </c>
      <c r="FD82" t="n">
        <v>12.55</v>
      </c>
      <c r="FF82" t="n">
        <v>15</v>
      </c>
      <c r="FG82" t="n">
        <v>45</v>
      </c>
      <c r="FH82" t="n">
        <v>720</v>
      </c>
      <c r="FI82" t="n">
        <v>-630</v>
      </c>
      <c r="FJ82" t="n">
        <v>47.469444</v>
      </c>
      <c r="FK82" t="n">
        <v>46.759296</v>
      </c>
      <c r="FL82" t="n">
        <v>42.111485</v>
      </c>
      <c r="FM82" t="n">
        <v>43.51023</v>
      </c>
      <c r="HH82" t="n">
        <v>44.963</v>
      </c>
      <c r="HS82" t="n">
        <v>-0.08</v>
      </c>
      <c r="ID82" t="n">
        <v>4.94</v>
      </c>
      <c r="IF82" t="n">
        <v>15</v>
      </c>
      <c r="IG82" t="n">
        <v>282</v>
      </c>
      <c r="IH82" t="n">
        <v>4512</v>
      </c>
      <c r="II82" t="n">
        <v>-3948</v>
      </c>
      <c r="IJ82" t="n">
        <v>272.2869</v>
      </c>
      <c r="IK82" t="n">
        <v>280.7539</v>
      </c>
      <c r="IL82" t="n">
        <v>271.29416</v>
      </c>
      <c r="IM82" t="n">
        <v>271.0022</v>
      </c>
      <c r="KH82" t="n">
        <v>273.834</v>
      </c>
      <c r="KS82" t="n">
        <v>-2.9</v>
      </c>
      <c r="LD82" t="n">
        <v>1.47</v>
      </c>
    </row>
    <row r="83">
      <c r="A83" t="inlineStr">
        <is>
          <t>2026-06-10</t>
        </is>
      </c>
      <c r="B83" t="inlineStr">
        <is>
          <t>Avian &amp; Reptile 26</t>
        </is>
      </c>
      <c r="C83" t="inlineStr">
        <is>
          <t>106326061050</t>
        </is>
      </c>
      <c r="D83" t="inlineStr">
        <is>
          <t>CK</t>
        </is>
      </c>
      <c r="F83" t="n">
        <v>20</v>
      </c>
      <c r="J83" t="n">
        <v>83.30046358642467</v>
      </c>
      <c r="K83" t="n">
        <v>86.95648402382503</v>
      </c>
      <c r="L83" t="n">
        <v>87.54753089571582</v>
      </c>
      <c r="M83" t="n">
        <v>80.08250246834952</v>
      </c>
      <c r="N83" t="n">
        <v>135.55661</v>
      </c>
      <c r="O83" t="n">
        <v>146.43793</v>
      </c>
      <c r="P83" t="n">
        <v>132.83722</v>
      </c>
      <c r="Q83" t="n">
        <v>143.43079</v>
      </c>
      <c r="BH83" t="n">
        <v>112.019</v>
      </c>
      <c r="CD83" t="n">
        <v>24.91</v>
      </c>
      <c r="CF83" t="n">
        <v>20</v>
      </c>
      <c r="CJ83" t="n">
        <v>716.2807152854558</v>
      </c>
      <c r="CK83" t="n">
        <v>708.1314067732197</v>
      </c>
      <c r="CL83" t="n">
        <v>701.2134247440353</v>
      </c>
      <c r="CM83" t="n">
        <v>695.6517482857587</v>
      </c>
      <c r="CN83" t="n">
        <v>476.80905</v>
      </c>
      <c r="CO83" t="n">
        <v>513.7598</v>
      </c>
      <c r="CP83" t="n">
        <v>487.87524</v>
      </c>
      <c r="CQ83" t="n">
        <v>493.11438</v>
      </c>
      <c r="EH83" t="n">
        <v>599.104</v>
      </c>
      <c r="FD83" t="n">
        <v>17.82</v>
      </c>
      <c r="FF83" t="n">
        <v>20</v>
      </c>
      <c r="FJ83" t="n">
        <v>79.877655</v>
      </c>
      <c r="FK83" t="n">
        <v>72.385796</v>
      </c>
      <c r="FL83" t="n">
        <v>68.12841</v>
      </c>
      <c r="FM83" t="n">
        <v>67.6155</v>
      </c>
      <c r="HH83" t="n">
        <v>72.002</v>
      </c>
      <c r="ID83" t="n">
        <v>6.82</v>
      </c>
      <c r="IF83" t="n">
        <v>20</v>
      </c>
      <c r="IJ83" t="n">
        <v>601.08124</v>
      </c>
      <c r="IK83" t="n">
        <v>647.9662</v>
      </c>
      <c r="IL83" t="n">
        <v>593.1781</v>
      </c>
      <c r="IM83" t="n">
        <v>605.9758</v>
      </c>
      <c r="KH83" t="n">
        <v>612.05</v>
      </c>
      <c r="LD83" t="n">
        <v>3.47</v>
      </c>
    </row>
    <row r="84">
      <c r="A84" t="inlineStr">
        <is>
          <t>2026-06-10</t>
        </is>
      </c>
      <c r="B84" t="inlineStr">
        <is>
          <t>Avian &amp; Reptile 26</t>
        </is>
      </c>
      <c r="C84" t="inlineStr">
        <is>
          <t>106326061050</t>
        </is>
      </c>
      <c r="D84" t="inlineStr">
        <is>
          <t>Ca</t>
        </is>
      </c>
      <c r="G84" t="n">
        <v>9.1</v>
      </c>
      <c r="J84" t="n">
        <v>5.982747690104574</v>
      </c>
      <c r="K84" t="n">
        <v>5.921731615888781</v>
      </c>
      <c r="L84" t="n">
        <v>5.822865299135913</v>
      </c>
      <c r="M84" t="n">
        <v>5.878196050983007</v>
      </c>
      <c r="N84" t="n">
        <v>9.330418</v>
      </c>
      <c r="O84" t="n">
        <v>9.107912000000001</v>
      </c>
      <c r="P84" t="n">
        <v>9.339293</v>
      </c>
      <c r="Q84" t="n">
        <v>9.138029</v>
      </c>
      <c r="BH84" t="n">
        <v>7.565</v>
      </c>
      <c r="BS84" t="n">
        <v>-16.87</v>
      </c>
      <c r="CD84" t="n">
        <v>22.02</v>
      </c>
      <c r="CG84" t="n">
        <v>12.4</v>
      </c>
      <c r="CJ84" t="n">
        <v>12.37325091740435</v>
      </c>
      <c r="CK84" t="n">
        <v>12.22251455409786</v>
      </c>
      <c r="CL84" t="n">
        <v>12.41569342611574</v>
      </c>
      <c r="CM84" t="n">
        <v>12.50319105167281</v>
      </c>
      <c r="CN84" t="n">
        <v>11.984128</v>
      </c>
      <c r="CO84" t="n">
        <v>12.177447</v>
      </c>
      <c r="CP84" t="n">
        <v>12.259834</v>
      </c>
      <c r="CQ84" t="n">
        <v>12.466022</v>
      </c>
      <c r="EH84" t="n">
        <v>12.3</v>
      </c>
      <c r="ES84" t="n">
        <v>-0.8</v>
      </c>
      <c r="FD84" t="n">
        <v>1.32</v>
      </c>
      <c r="FG84" t="n">
        <v>5.9</v>
      </c>
      <c r="FJ84" t="n">
        <v>5.7043357</v>
      </c>
      <c r="FK84" t="n">
        <v>5.586549</v>
      </c>
      <c r="FL84" t="n">
        <v>5.4923105</v>
      </c>
      <c r="FM84" t="n">
        <v>5.6534877</v>
      </c>
      <c r="HH84" t="n">
        <v>5.609</v>
      </c>
      <c r="HS84" t="n">
        <v>-4.93</v>
      </c>
      <c r="ID84" t="n">
        <v>1.41</v>
      </c>
      <c r="IG84" t="n">
        <v>12.7</v>
      </c>
      <c r="IJ84" t="n">
        <v>12.577472</v>
      </c>
      <c r="IK84" t="n">
        <v>12.051262</v>
      </c>
      <c r="IL84" t="n">
        <v>12.301567</v>
      </c>
      <c r="IM84" t="n">
        <v>12.548519</v>
      </c>
      <c r="KH84" t="n">
        <v>12.37</v>
      </c>
      <c r="KS84" t="n">
        <v>-2.6</v>
      </c>
      <c r="LD84" t="n">
        <v>1.72</v>
      </c>
    </row>
    <row r="85">
      <c r="A85" t="inlineStr">
        <is>
          <t>2026-06-10</t>
        </is>
      </c>
      <c r="B85" t="inlineStr">
        <is>
          <t>Avian &amp; Reptile 26</t>
        </is>
      </c>
      <c r="C85" t="inlineStr">
        <is>
          <t>106326061050</t>
        </is>
      </c>
      <c r="D85" t="inlineStr">
        <is>
          <t>GLU</t>
        </is>
      </c>
      <c r="F85" t="n">
        <v>8</v>
      </c>
      <c r="G85" t="n">
        <v>90.16</v>
      </c>
      <c r="H85" t="n">
        <v>811.4399999999999</v>
      </c>
      <c r="I85" t="n">
        <v>-631.12</v>
      </c>
      <c r="J85" t="n">
        <v>67.51647206158576</v>
      </c>
      <c r="K85" t="n">
        <v>67.06478432988982</v>
      </c>
      <c r="L85" t="n">
        <v>67.31102566028468</v>
      </c>
      <c r="M85" t="n">
        <v>67.5527130256302</v>
      </c>
      <c r="N85" t="n">
        <v>92.25003</v>
      </c>
      <c r="O85" t="n">
        <v>93.96059</v>
      </c>
      <c r="P85" t="n">
        <v>92.70577</v>
      </c>
      <c r="Q85" t="n">
        <v>92.91336</v>
      </c>
      <c r="BH85" t="n">
        <v>80.15900000000001</v>
      </c>
      <c r="BS85" t="n">
        <v>-11.09</v>
      </c>
      <c r="CD85" t="n">
        <v>15.98</v>
      </c>
      <c r="CF85" t="n">
        <v>8</v>
      </c>
      <c r="CG85" t="n">
        <v>293.02</v>
      </c>
      <c r="CH85" t="n">
        <v>2637.18</v>
      </c>
      <c r="CI85" t="n">
        <v>-2051.14</v>
      </c>
      <c r="CJ85" t="n">
        <v>398.4776945926068</v>
      </c>
      <c r="CK85" t="n">
        <v>400.6977895102154</v>
      </c>
      <c r="CL85" t="n">
        <v>393.2450171878634</v>
      </c>
      <c r="CM85" t="n">
        <v>394.1385730230082</v>
      </c>
      <c r="CN85" t="n">
        <v>301.034</v>
      </c>
      <c r="CO85" t="n">
        <v>306.59537</v>
      </c>
      <c r="CP85" t="n">
        <v>305.62732</v>
      </c>
      <c r="CQ85" t="n">
        <v>305.06204</v>
      </c>
      <c r="EH85" t="n">
        <v>350.61</v>
      </c>
      <c r="ES85" t="n">
        <v>19.65</v>
      </c>
      <c r="FD85" t="n">
        <v>13.15</v>
      </c>
      <c r="FF85" t="n">
        <v>8</v>
      </c>
      <c r="FG85" t="n">
        <v>65.66</v>
      </c>
      <c r="FH85" t="n">
        <v>590.9399999999999</v>
      </c>
      <c r="FI85" t="n">
        <v>-459.62</v>
      </c>
      <c r="FJ85" t="n">
        <v>67.51703999999999</v>
      </c>
      <c r="FK85" t="n">
        <v>68.97519</v>
      </c>
      <c r="FL85" t="n">
        <v>67.89512000000001</v>
      </c>
      <c r="FM85" t="n">
        <v>67.81152</v>
      </c>
      <c r="HH85" t="n">
        <v>68.05</v>
      </c>
      <c r="HS85" t="n">
        <v>3.64</v>
      </c>
      <c r="ID85" t="n">
        <v>0.8100000000000001</v>
      </c>
      <c r="IF85" t="n">
        <v>8</v>
      </c>
      <c r="IG85" t="n">
        <v>359.66</v>
      </c>
      <c r="IH85" t="n">
        <v>3236.94</v>
      </c>
      <c r="II85" t="n">
        <v>-2517.62</v>
      </c>
      <c r="IJ85" t="n">
        <v>366.8914</v>
      </c>
      <c r="IK85" t="n">
        <v>371.12292</v>
      </c>
      <c r="IL85" t="n">
        <v>365.67368</v>
      </c>
      <c r="IM85" t="n">
        <v>371.84012</v>
      </c>
      <c r="KH85" t="n">
        <v>368.882</v>
      </c>
      <c r="KS85" t="n">
        <v>2.56</v>
      </c>
      <c r="LD85" t="n">
        <v>0.72</v>
      </c>
    </row>
    <row r="86">
      <c r="A86" t="inlineStr">
        <is>
          <t>2026-06-10</t>
        </is>
      </c>
      <c r="B86" t="inlineStr">
        <is>
          <t>Avian &amp; Reptile 26</t>
        </is>
      </c>
      <c r="C86" t="inlineStr">
        <is>
          <t>106326061050</t>
        </is>
      </c>
      <c r="D86" t="inlineStr">
        <is>
          <t>PHOS</t>
        </is>
      </c>
      <c r="F86" t="n">
        <v>10</v>
      </c>
      <c r="G86" t="n">
        <v>3.3</v>
      </c>
      <c r="H86" t="n">
        <v>36.3</v>
      </c>
      <c r="I86" t="n">
        <v>-29.7</v>
      </c>
      <c r="J86" t="n">
        <v>1.873802757290024</v>
      </c>
      <c r="K86" t="n">
        <v>1.895321828994643</v>
      </c>
      <c r="L86" t="n">
        <v>1.826613412264756</v>
      </c>
      <c r="M86" t="n">
        <v>1.812405784984541</v>
      </c>
      <c r="N86" t="n">
        <v>3.1708474</v>
      </c>
      <c r="O86" t="n">
        <v>3.248306</v>
      </c>
      <c r="P86" t="n">
        <v>3.159581</v>
      </c>
      <c r="Q86" t="n">
        <v>3.3125114</v>
      </c>
      <c r="BH86" t="n">
        <v>2.537</v>
      </c>
      <c r="BS86" t="n">
        <v>-23.11</v>
      </c>
      <c r="CD86" t="n">
        <v>27.08</v>
      </c>
      <c r="CF86" t="n">
        <v>10</v>
      </c>
      <c r="CG86" t="n">
        <v>7.2</v>
      </c>
      <c r="CH86" t="n">
        <v>79.2</v>
      </c>
      <c r="CI86" t="n">
        <v>-64.8</v>
      </c>
      <c r="CJ86" t="n">
        <v>7.479091123770834</v>
      </c>
      <c r="CK86" t="n">
        <v>7.482500105394731</v>
      </c>
      <c r="CL86" t="n">
        <v>7.495003441130405</v>
      </c>
      <c r="CM86" t="n">
        <v>7.381310079063967</v>
      </c>
      <c r="CN86" t="n">
        <v>7.0758176</v>
      </c>
      <c r="CO86" t="n">
        <v>7.083119</v>
      </c>
      <c r="CP86" t="n">
        <v>7.1267457</v>
      </c>
      <c r="CQ86" t="n">
        <v>7.122596</v>
      </c>
      <c r="EH86" t="n">
        <v>7.281</v>
      </c>
      <c r="ES86" t="n">
        <v>1.12</v>
      </c>
      <c r="FD86" t="n">
        <v>2.5</v>
      </c>
      <c r="FF86" t="n">
        <v>10</v>
      </c>
      <c r="FG86" t="n">
        <v>1.9</v>
      </c>
      <c r="FH86" t="n">
        <v>20.9</v>
      </c>
      <c r="FI86" t="n">
        <v>-17.1</v>
      </c>
      <c r="FJ86" t="n">
        <v>1.9393153</v>
      </c>
      <c r="FK86" t="n">
        <v>2.0045323</v>
      </c>
      <c r="FL86" t="n">
        <v>1.9475359</v>
      </c>
      <c r="FM86" t="n">
        <v>1.9282459</v>
      </c>
      <c r="HH86" t="n">
        <v>1.955</v>
      </c>
      <c r="HS86" t="n">
        <v>2.89</v>
      </c>
      <c r="ID86" t="n">
        <v>1.51</v>
      </c>
      <c r="IF86" t="n">
        <v>10</v>
      </c>
      <c r="IG86" t="n">
        <v>7.2</v>
      </c>
      <c r="IH86" t="n">
        <v>79.2</v>
      </c>
      <c r="II86" t="n">
        <v>-64.8</v>
      </c>
      <c r="IJ86" t="n">
        <v>7.280118</v>
      </c>
      <c r="IK86" t="n">
        <v>7.3863964</v>
      </c>
      <c r="IL86" t="n">
        <v>7.0974617</v>
      </c>
      <c r="IM86" t="n">
        <v>7.293838</v>
      </c>
      <c r="KH86" t="n">
        <v>7.264</v>
      </c>
      <c r="KS86" t="n">
        <v>0.9</v>
      </c>
      <c r="LD86" t="n">
        <v>1.44</v>
      </c>
    </row>
    <row r="87">
      <c r="A87" t="inlineStr">
        <is>
          <t>2026-06-10</t>
        </is>
      </c>
      <c r="B87" t="inlineStr">
        <is>
          <t>Avian &amp; Reptile 26</t>
        </is>
      </c>
      <c r="C87" t="inlineStr">
        <is>
          <t>106326061050</t>
        </is>
      </c>
      <c r="D87" t="inlineStr">
        <is>
          <t>TP</t>
        </is>
      </c>
      <c r="F87" t="n">
        <v>8</v>
      </c>
      <c r="G87" t="n">
        <v>6.4</v>
      </c>
      <c r="H87" t="n">
        <v>57.6</v>
      </c>
      <c r="I87" t="n">
        <v>-44.8</v>
      </c>
      <c r="J87" t="n">
        <v>3.754158511633699</v>
      </c>
      <c r="K87" t="n">
        <v>3.729571031238847</v>
      </c>
      <c r="L87" t="n">
        <v>3.686079393813821</v>
      </c>
      <c r="M87" t="n">
        <v>3.704226355856989</v>
      </c>
      <c r="N87" t="n">
        <v>6.3035903</v>
      </c>
      <c r="O87" t="n">
        <v>6.412736</v>
      </c>
      <c r="P87" t="n">
        <v>6.3641624</v>
      </c>
      <c r="Q87" t="n">
        <v>6.312654</v>
      </c>
      <c r="BH87" t="n">
        <v>5.033</v>
      </c>
      <c r="BS87" t="n">
        <v>-21.35</v>
      </c>
      <c r="CD87" t="n">
        <v>26.13</v>
      </c>
      <c r="CF87" t="n">
        <v>8</v>
      </c>
      <c r="CG87" t="n">
        <v>4.1</v>
      </c>
      <c r="CH87" t="n">
        <v>36.9</v>
      </c>
      <c r="CI87" t="n">
        <v>-28.7</v>
      </c>
      <c r="CJ87" t="n">
        <v>6.845719562925694</v>
      </c>
      <c r="CK87" t="n">
        <v>6.878615854514135</v>
      </c>
      <c r="CL87" t="n">
        <v>6.900505910320617</v>
      </c>
      <c r="CM87" t="n">
        <v>6.863264254271503</v>
      </c>
      <c r="CN87" t="n">
        <v>4.159869</v>
      </c>
      <c r="CO87" t="n">
        <v>4.188357</v>
      </c>
      <c r="CP87" t="n">
        <v>4.1925273</v>
      </c>
      <c r="CQ87" t="n">
        <v>4.2967153</v>
      </c>
      <c r="EH87" t="n">
        <v>5.541</v>
      </c>
      <c r="ES87" t="n">
        <v>35.14</v>
      </c>
      <c r="FD87" t="n">
        <v>24.04</v>
      </c>
      <c r="FF87" t="n">
        <v>8</v>
      </c>
      <c r="FG87" t="n">
        <v>4.2</v>
      </c>
      <c r="FH87" t="n">
        <v>37.8</v>
      </c>
      <c r="FI87" t="n">
        <v>-29.4</v>
      </c>
      <c r="FJ87" t="n">
        <v>3.912921</v>
      </c>
      <c r="FK87" t="n">
        <v>3.9979787</v>
      </c>
      <c r="FL87" t="n">
        <v>3.9126742</v>
      </c>
      <c r="FM87" t="n">
        <v>3.9308841</v>
      </c>
      <c r="HH87" t="n">
        <v>3.939</v>
      </c>
      <c r="HS87" t="n">
        <v>-6.22</v>
      </c>
      <c r="ID87" t="n">
        <v>0.89</v>
      </c>
      <c r="IF87" t="n">
        <v>8</v>
      </c>
      <c r="IG87" t="n">
        <v>7.5</v>
      </c>
      <c r="IH87" t="n">
        <v>67.5</v>
      </c>
      <c r="II87" t="n">
        <v>-52.5</v>
      </c>
      <c r="IJ87" t="n">
        <v>7.217701</v>
      </c>
      <c r="IK87" t="n">
        <v>7.2765813</v>
      </c>
      <c r="IL87" t="n">
        <v>7.140853</v>
      </c>
      <c r="IM87" t="n">
        <v>7.356004</v>
      </c>
      <c r="KH87" t="n">
        <v>7.248</v>
      </c>
      <c r="KS87" t="n">
        <v>-3.36</v>
      </c>
      <c r="LD87" t="n">
        <v>1.09</v>
      </c>
    </row>
    <row r="88">
      <c r="A88" t="inlineStr">
        <is>
          <t>2026-06-10</t>
        </is>
      </c>
      <c r="B88" t="inlineStr">
        <is>
          <t>Avian &amp; Reptile 26</t>
        </is>
      </c>
      <c r="C88" t="inlineStr">
        <is>
          <t>106326061050</t>
        </is>
      </c>
      <c r="D88" t="inlineStr">
        <is>
          <t>URIC</t>
        </is>
      </c>
      <c r="F88" t="n">
        <v>10</v>
      </c>
      <c r="G88" t="n">
        <v>4.561200670000002</v>
      </c>
      <c r="H88" t="n">
        <v>50.17320737000001</v>
      </c>
      <c r="I88" t="n">
        <v>-41.05080603000002</v>
      </c>
      <c r="J88" t="n">
        <v>2.848775087943855</v>
      </c>
      <c r="K88" t="n">
        <v>2.80816235737923</v>
      </c>
      <c r="L88" t="n">
        <v>2.789926660801672</v>
      </c>
      <c r="M88" t="n">
        <v>2.873985983625231</v>
      </c>
      <c r="N88" t="n">
        <v>4.4115367</v>
      </c>
      <c r="O88" t="n">
        <v>4.497421</v>
      </c>
      <c r="P88" t="n">
        <v>4.4686003</v>
      </c>
      <c r="Q88" t="n">
        <v>4.527314</v>
      </c>
      <c r="BH88" t="n">
        <v>3.653</v>
      </c>
      <c r="BS88" t="n">
        <v>-19.91</v>
      </c>
      <c r="CD88" t="n">
        <v>22.55</v>
      </c>
      <c r="CF88" t="n">
        <v>10</v>
      </c>
      <c r="CG88" t="n">
        <v>9.699999999999999</v>
      </c>
      <c r="CH88" t="n">
        <v>106.7</v>
      </c>
      <c r="CI88" t="n">
        <v>-87.3</v>
      </c>
      <c r="CJ88" t="n">
        <v>8.968301127010026</v>
      </c>
      <c r="CK88" t="n">
        <v>8.820862249365483</v>
      </c>
      <c r="CL88" t="n">
        <v>9.04487793059403</v>
      </c>
      <c r="CM88" t="n">
        <v>8.74549834056614</v>
      </c>
      <c r="CN88" t="n">
        <v>9.459042999999999</v>
      </c>
      <c r="CO88" t="n">
        <v>9.467571</v>
      </c>
      <c r="CP88" t="n">
        <v>9.603581999999999</v>
      </c>
      <c r="CQ88" t="n">
        <v>9.647898</v>
      </c>
      <c r="EH88" t="n">
        <v>9.220000000000001</v>
      </c>
      <c r="ES88" t="n">
        <v>-4.95</v>
      </c>
      <c r="FD88" t="n">
        <v>3.69</v>
      </c>
      <c r="FF88" t="n">
        <v>10</v>
      </c>
      <c r="FG88" t="n">
        <v>2.7</v>
      </c>
      <c r="FH88" t="n">
        <v>29.7</v>
      </c>
      <c r="FI88" t="n">
        <v>-24.3</v>
      </c>
      <c r="FJ88" t="n">
        <v>2.776073</v>
      </c>
      <c r="FK88" t="n">
        <v>3.0697145</v>
      </c>
      <c r="FL88" t="n">
        <v>3.020465</v>
      </c>
      <c r="FM88" t="n">
        <v>2.9739625</v>
      </c>
      <c r="HH88" t="n">
        <v>2.96</v>
      </c>
      <c r="HS88" t="n">
        <v>9.630000000000001</v>
      </c>
      <c r="ID88" t="n">
        <v>3.77</v>
      </c>
      <c r="IF88" t="n">
        <v>10</v>
      </c>
      <c r="IG88" t="n">
        <v>9.300000000000001</v>
      </c>
      <c r="IH88" t="n">
        <v>102.3</v>
      </c>
      <c r="II88" t="n">
        <v>-83.7</v>
      </c>
      <c r="IJ88" t="n">
        <v>9.618143</v>
      </c>
      <c r="IK88" t="n">
        <v>9.688226</v>
      </c>
      <c r="IL88" t="n">
        <v>9.428034</v>
      </c>
      <c r="IM88" t="n">
        <v>9.670165000000001</v>
      </c>
      <c r="KH88" t="n">
        <v>9.601000000000001</v>
      </c>
      <c r="KS88" t="n">
        <v>3.24</v>
      </c>
      <c r="LD88" t="n">
        <v>1.07</v>
      </c>
    </row>
    <row r="89">
      <c r="A89" t="inlineStr">
        <is>
          <t>2026-06-10</t>
        </is>
      </c>
      <c r="B89" t="inlineStr">
        <is>
          <t>Electrolyte 7</t>
        </is>
      </c>
      <c r="C89" t="inlineStr">
        <is>
          <t>100326061001 &amp; 200326061001</t>
        </is>
      </c>
      <c r="D89" t="inlineStr">
        <is>
          <t>ALP</t>
        </is>
      </c>
      <c r="F89" t="n">
        <v>20</v>
      </c>
      <c r="G89" t="n">
        <v>136</v>
      </c>
      <c r="H89" t="n">
        <v>2856</v>
      </c>
      <c r="I89" t="n">
        <v>-2584</v>
      </c>
      <c r="J89" t="n">
        <v>146.36864</v>
      </c>
      <c r="K89" t="n">
        <v>150.47818</v>
      </c>
      <c r="L89" t="n">
        <v>149.24872</v>
      </c>
      <c r="M89" t="n">
        <v>147.09792</v>
      </c>
      <c r="N89" t="n">
        <v>149.94995</v>
      </c>
      <c r="O89" t="n">
        <v>151.42345</v>
      </c>
      <c r="P89" t="n">
        <v>152.43758</v>
      </c>
      <c r="Q89" t="n">
        <v>151.71915</v>
      </c>
      <c r="R89" t="n">
        <v>147.0721</v>
      </c>
      <c r="BH89" t="n">
        <v>149.533</v>
      </c>
      <c r="BS89" t="n">
        <v>9.949999999999999</v>
      </c>
      <c r="CD89" t="n">
        <v>1.41</v>
      </c>
      <c r="CF89" t="n">
        <v>20</v>
      </c>
      <c r="CG89" t="n">
        <v>456</v>
      </c>
      <c r="CH89" t="n">
        <v>9576</v>
      </c>
      <c r="CI89" t="n">
        <v>-8664</v>
      </c>
      <c r="CJ89" t="n">
        <v>448.45505</v>
      </c>
      <c r="CK89" t="n">
        <v>482.00992</v>
      </c>
      <c r="CL89" t="n">
        <v>486.57162</v>
      </c>
      <c r="CM89" t="n">
        <v>475.90717</v>
      </c>
      <c r="CN89" t="n">
        <v>474.95148</v>
      </c>
      <c r="CO89" t="n">
        <v>486.56235</v>
      </c>
      <c r="CP89" t="n">
        <v>481.81512</v>
      </c>
      <c r="CQ89" t="n">
        <v>479.6964</v>
      </c>
      <c r="EH89" t="n">
        <v>476.996</v>
      </c>
      <c r="ES89" t="n">
        <v>4.6</v>
      </c>
      <c r="FD89" t="n">
        <v>2.41</v>
      </c>
      <c r="FF89" t="n">
        <v>20</v>
      </c>
      <c r="FG89" t="n">
        <v>75</v>
      </c>
      <c r="FH89" t="n">
        <v>1575</v>
      </c>
      <c r="FI89" t="n">
        <v>-1425</v>
      </c>
      <c r="FJ89" t="n">
        <v>77.07706</v>
      </c>
      <c r="FK89" t="n">
        <v>75.57590500000001</v>
      </c>
      <c r="FL89" t="n">
        <v>75.59139999999999</v>
      </c>
      <c r="HH89" t="n">
        <v>76.081</v>
      </c>
      <c r="HS89" t="n">
        <v>1.44</v>
      </c>
      <c r="ID89" t="n">
        <v>0.93</v>
      </c>
      <c r="IF89" t="n">
        <v>20</v>
      </c>
      <c r="IG89" t="n">
        <v>251</v>
      </c>
      <c r="IH89" t="n">
        <v>5271</v>
      </c>
      <c r="II89" t="n">
        <v>-4769</v>
      </c>
      <c r="IJ89" t="n">
        <v>232.58905</v>
      </c>
      <c r="IK89" t="n">
        <v>247.63873</v>
      </c>
      <c r="IL89" t="n">
        <v>245.71005</v>
      </c>
      <c r="KH89" t="n">
        <v>241.979</v>
      </c>
      <c r="KS89" t="n">
        <v>-3.59</v>
      </c>
      <c r="LD89" t="n">
        <v>2.76</v>
      </c>
    </row>
    <row r="90">
      <c r="A90" t="inlineStr">
        <is>
          <t>2026-06-10</t>
        </is>
      </c>
      <c r="B90" t="inlineStr">
        <is>
          <t>Electrolyte 7</t>
        </is>
      </c>
      <c r="C90" t="inlineStr">
        <is>
          <t>100326061001 &amp; 200326061001</t>
        </is>
      </c>
      <c r="D90" t="inlineStr">
        <is>
          <t>Cl</t>
        </is>
      </c>
      <c r="F90" t="n">
        <v>5</v>
      </c>
      <c r="G90" t="n">
        <v>90</v>
      </c>
      <c r="H90" t="n">
        <v>540</v>
      </c>
      <c r="I90" t="n">
        <v>-360</v>
      </c>
      <c r="J90" t="n">
        <v>100.657974</v>
      </c>
      <c r="K90" t="n">
        <v>101.8339</v>
      </c>
      <c r="L90" t="n">
        <v>100.93803</v>
      </c>
      <c r="M90" t="n">
        <v>99.382515</v>
      </c>
      <c r="N90" t="n">
        <v>98.99355</v>
      </c>
      <c r="O90" t="n">
        <v>97.39895</v>
      </c>
      <c r="P90" t="n">
        <v>99.30243</v>
      </c>
      <c r="Q90" t="n">
        <v>97.61673</v>
      </c>
      <c r="R90" t="n">
        <v>96.23043</v>
      </c>
      <c r="BH90" t="n">
        <v>99.151</v>
      </c>
      <c r="BS90" t="n">
        <v>10.17</v>
      </c>
      <c r="CD90" t="n">
        <v>1.74</v>
      </c>
      <c r="CF90" t="n">
        <v>5</v>
      </c>
      <c r="CG90" t="n">
        <v>91</v>
      </c>
      <c r="CH90" t="n">
        <v>546</v>
      </c>
      <c r="CI90" t="n">
        <v>-364</v>
      </c>
      <c r="CJ90" t="n">
        <v>95.89516</v>
      </c>
      <c r="CK90" t="n">
        <v>92.042404</v>
      </c>
      <c r="CL90" t="n">
        <v>93.51204</v>
      </c>
      <c r="CM90" t="n">
        <v>90.04577999999999</v>
      </c>
      <c r="CN90" t="n">
        <v>91.05099</v>
      </c>
      <c r="CO90" t="n">
        <v>91.222466</v>
      </c>
      <c r="CP90" t="n">
        <v>91.73801</v>
      </c>
      <c r="CQ90" t="n">
        <v>89.86266000000001</v>
      </c>
      <c r="EH90" t="n">
        <v>91.92100000000001</v>
      </c>
      <c r="ES90" t="n">
        <v>1.01</v>
      </c>
      <c r="FD90" t="n">
        <v>2.01</v>
      </c>
      <c r="FF90" t="n">
        <v>5</v>
      </c>
      <c r="FG90" t="n">
        <v>77</v>
      </c>
      <c r="FH90" t="n">
        <v>462</v>
      </c>
      <c r="FI90" t="n">
        <v>-308</v>
      </c>
      <c r="FJ90" t="n">
        <v>87.39995999999999</v>
      </c>
      <c r="FK90" t="n">
        <v>83.36017</v>
      </c>
      <c r="FL90" t="n">
        <v>81.49038</v>
      </c>
      <c r="HH90" t="n">
        <v>84.084</v>
      </c>
      <c r="HS90" t="n">
        <v>9.199999999999999</v>
      </c>
      <c r="ID90" t="n">
        <v>2.93</v>
      </c>
      <c r="IF90" t="n">
        <v>5</v>
      </c>
      <c r="IG90" t="n">
        <v>118</v>
      </c>
      <c r="IH90" t="n">
        <v>708</v>
      </c>
      <c r="II90" t="n">
        <v>-472</v>
      </c>
      <c r="IJ90" t="n">
        <v>134.99637</v>
      </c>
      <c r="IK90" t="n">
        <v>121.65541</v>
      </c>
      <c r="IL90" t="n">
        <v>124.08755</v>
      </c>
      <c r="KH90" t="n">
        <v>126.913</v>
      </c>
      <c r="KS90" t="n">
        <v>7.55</v>
      </c>
      <c r="LD90" t="n">
        <v>4.57</v>
      </c>
    </row>
    <row r="91">
      <c r="A91" t="inlineStr">
        <is>
          <t>2026-06-10</t>
        </is>
      </c>
      <c r="B91" t="inlineStr">
        <is>
          <t>Electrolyte 7</t>
        </is>
      </c>
      <c r="C91" t="inlineStr">
        <is>
          <t>100326061001 &amp; 200326061001</t>
        </is>
      </c>
      <c r="D91" t="inlineStr">
        <is>
          <t>K</t>
        </is>
      </c>
      <c r="G91" t="n">
        <v>3.9</v>
      </c>
      <c r="J91" t="n">
        <v>5.3248653</v>
      </c>
      <c r="K91" t="n">
        <v>3.7098165</v>
      </c>
      <c r="L91" t="n">
        <v>3.7033591</v>
      </c>
      <c r="M91" t="n">
        <v>3.6633856</v>
      </c>
      <c r="N91" t="n">
        <v>3.7600658</v>
      </c>
      <c r="O91" t="n">
        <v>3.590397</v>
      </c>
      <c r="P91" t="n">
        <v>3.8242803</v>
      </c>
      <c r="Q91" t="n">
        <v>3.8033228</v>
      </c>
      <c r="R91" t="n">
        <v>3.321912</v>
      </c>
      <c r="BH91" t="n">
        <v>3.856</v>
      </c>
      <c r="BS91" t="n">
        <v>-1.14</v>
      </c>
      <c r="CD91" t="n">
        <v>13.96</v>
      </c>
      <c r="CG91" t="n">
        <v>6</v>
      </c>
      <c r="CJ91" t="n">
        <v>8.480171</v>
      </c>
      <c r="CK91" t="n">
        <v>6.1330304</v>
      </c>
      <c r="CL91" t="n">
        <v>6.118389</v>
      </c>
      <c r="CM91" t="n">
        <v>6.2008104</v>
      </c>
      <c r="CN91" t="n">
        <v>6.0822997</v>
      </c>
      <c r="CO91" t="n">
        <v>6.19785</v>
      </c>
      <c r="CP91" t="n">
        <v>6.081669</v>
      </c>
      <c r="CQ91" t="n">
        <v>6.051195</v>
      </c>
      <c r="EH91" t="n">
        <v>6.418</v>
      </c>
      <c r="ES91" t="n">
        <v>6.97</v>
      </c>
      <c r="FD91" t="n">
        <v>12.17</v>
      </c>
      <c r="FG91" t="n">
        <v>2.2</v>
      </c>
      <c r="FJ91" t="n">
        <v>3.504662</v>
      </c>
      <c r="FK91" t="n">
        <v>2.2883487</v>
      </c>
      <c r="FL91" t="n">
        <v>2.4786346</v>
      </c>
      <c r="HH91" t="n">
        <v>2.757</v>
      </c>
      <c r="HS91" t="n">
        <v>25.33</v>
      </c>
      <c r="ID91" t="n">
        <v>19.37</v>
      </c>
      <c r="IG91" t="n">
        <v>8.4</v>
      </c>
      <c r="IJ91" t="n">
        <v>11.771487</v>
      </c>
      <c r="IK91" t="n">
        <v>8.235749999999999</v>
      </c>
      <c r="IL91" t="n">
        <v>8.170279000000001</v>
      </c>
      <c r="KH91" t="n">
        <v>9.393000000000001</v>
      </c>
      <c r="KS91" t="n">
        <v>11.82</v>
      </c>
      <c r="LD91" t="n">
        <v>17.91</v>
      </c>
    </row>
    <row r="92">
      <c r="A92" t="inlineStr">
        <is>
          <t>2026-06-10</t>
        </is>
      </c>
      <c r="B92" t="inlineStr">
        <is>
          <t>Electrolyte 7</t>
        </is>
      </c>
      <c r="C92" t="inlineStr">
        <is>
          <t>100326061001 &amp; 200326061001</t>
        </is>
      </c>
      <c r="D92" t="inlineStr">
        <is>
          <t>Na</t>
        </is>
      </c>
      <c r="G92" t="n">
        <v>141</v>
      </c>
      <c r="J92" t="n">
        <v>145.3847</v>
      </c>
      <c r="K92" t="n">
        <v>144.77219</v>
      </c>
      <c r="L92" t="n">
        <v>145.29002</v>
      </c>
      <c r="M92" t="n">
        <v>144.29901</v>
      </c>
      <c r="N92" t="n">
        <v>146.38095</v>
      </c>
      <c r="O92" t="n">
        <v>140.74185</v>
      </c>
      <c r="P92" t="n">
        <v>145.0555</v>
      </c>
      <c r="Q92" t="n">
        <v>143.70332</v>
      </c>
      <c r="R92" t="n">
        <v>136.18227</v>
      </c>
      <c r="BH92" t="n">
        <v>143.534</v>
      </c>
      <c r="BS92" t="n">
        <v>1.8</v>
      </c>
      <c r="CD92" t="n">
        <v>2.09</v>
      </c>
      <c r="CG92" t="n">
        <v>129</v>
      </c>
      <c r="CJ92" t="n">
        <v>140.13167</v>
      </c>
      <c r="CK92" t="n">
        <v>134.01614</v>
      </c>
      <c r="CL92" t="n">
        <v>131.59618</v>
      </c>
      <c r="CM92" t="n">
        <v>133.50964</v>
      </c>
      <c r="CN92" t="n">
        <v>131.28685</v>
      </c>
      <c r="CO92" t="n">
        <v>132.13515</v>
      </c>
      <c r="CP92" t="n">
        <v>133.19194</v>
      </c>
      <c r="CQ92" t="n">
        <v>130.96846</v>
      </c>
      <c r="EH92" t="n">
        <v>133.355</v>
      </c>
      <c r="ES92" t="n">
        <v>3.38</v>
      </c>
      <c r="FD92" t="n">
        <v>2.07</v>
      </c>
      <c r="FG92" t="n">
        <v>118</v>
      </c>
      <c r="FJ92" t="n">
        <v>127.87262</v>
      </c>
      <c r="FK92" t="n">
        <v>122.35635</v>
      </c>
      <c r="FL92" t="n">
        <v>122.17167</v>
      </c>
      <c r="HH92" t="n">
        <v>124.134</v>
      </c>
      <c r="HS92" t="n">
        <v>5.2</v>
      </c>
      <c r="ID92" t="n">
        <v>2.13</v>
      </c>
      <c r="IG92" t="n">
        <v>166</v>
      </c>
      <c r="IJ92" t="n">
        <v>170.69794</v>
      </c>
      <c r="IK92" t="n">
        <v>158.4792</v>
      </c>
      <c r="IL92" t="n">
        <v>158.51268</v>
      </c>
      <c r="KH92" t="n">
        <v>162.563</v>
      </c>
      <c r="KS92" t="n">
        <v>-2.07</v>
      </c>
      <c r="LD92" t="n">
        <v>3.54</v>
      </c>
    </row>
    <row r="93">
      <c r="A93" t="inlineStr">
        <is>
          <t>2026-06-10</t>
        </is>
      </c>
      <c r="B93" t="inlineStr">
        <is>
          <t>Electrolyte 7</t>
        </is>
      </c>
      <c r="C93" t="inlineStr">
        <is>
          <t>100326061001 &amp; 200326061001</t>
        </is>
      </c>
      <c r="D93" t="inlineStr">
        <is>
          <t>TCO2</t>
        </is>
      </c>
      <c r="F93" t="n">
        <v>20</v>
      </c>
      <c r="G93" t="n">
        <v>32.5</v>
      </c>
      <c r="H93" t="n">
        <v>682.5</v>
      </c>
      <c r="I93" t="n">
        <v>-617.5</v>
      </c>
      <c r="J93" t="n">
        <v>33.733166</v>
      </c>
      <c r="K93" t="n">
        <v>26.166142</v>
      </c>
      <c r="L93" t="n">
        <v>24.253902</v>
      </c>
      <c r="M93" t="n">
        <v>24.080545</v>
      </c>
      <c r="N93" t="n">
        <v>23.940853</v>
      </c>
      <c r="O93" t="n">
        <v>21.895767</v>
      </c>
      <c r="P93" t="n">
        <v>23.983372</v>
      </c>
      <c r="Q93" t="n">
        <v>23.848888</v>
      </c>
      <c r="R93" t="n">
        <v>22.89367</v>
      </c>
      <c r="BH93" t="n">
        <v>24.977</v>
      </c>
      <c r="BS93" t="n">
        <v>-23.15</v>
      </c>
      <c r="CD93" t="n">
        <v>13.12</v>
      </c>
      <c r="CF93" t="n">
        <v>20</v>
      </c>
      <c r="CG93" t="n">
        <v>21.2</v>
      </c>
      <c r="CH93" t="n">
        <v>445.2</v>
      </c>
      <c r="CI93" t="n">
        <v>-402.8</v>
      </c>
      <c r="CJ93" t="n">
        <v>24.8338</v>
      </c>
      <c r="CK93" t="n">
        <v>14.068643</v>
      </c>
      <c r="CL93" t="n">
        <v>14.526111</v>
      </c>
      <c r="CM93" t="n">
        <v>11.807</v>
      </c>
      <c r="CN93" t="n">
        <v>12.318577</v>
      </c>
      <c r="CO93" t="n">
        <v>10.829169</v>
      </c>
      <c r="CP93" t="n">
        <v>10.736745</v>
      </c>
      <c r="CQ93" t="n">
        <v>11.240144</v>
      </c>
      <c r="EH93" t="n">
        <v>13.795</v>
      </c>
      <c r="ES93" t="n">
        <v>-34.93</v>
      </c>
      <c r="FD93" t="n">
        <v>31.73</v>
      </c>
      <c r="FF93" t="n">
        <v>20</v>
      </c>
      <c r="FG93" t="n">
        <v>17.3</v>
      </c>
      <c r="FH93" t="n">
        <v>363.3</v>
      </c>
      <c r="FI93" t="n">
        <v>-328.7</v>
      </c>
      <c r="FJ93" t="n">
        <v>20.310123</v>
      </c>
      <c r="FK93" t="n">
        <v>10.683126</v>
      </c>
      <c r="FL93" t="n">
        <v>13.59526</v>
      </c>
      <c r="HH93" t="n">
        <v>14.863</v>
      </c>
      <c r="HS93" t="n">
        <v>-14.09</v>
      </c>
      <c r="ID93" t="n">
        <v>27.12</v>
      </c>
      <c r="IF93" t="n">
        <v>20</v>
      </c>
      <c r="IG93" t="n">
        <v>26.7</v>
      </c>
      <c r="IH93" t="n">
        <v>560.6999999999999</v>
      </c>
      <c r="II93" t="n">
        <v>-507.3</v>
      </c>
      <c r="IJ93" t="n">
        <v>32.455463</v>
      </c>
      <c r="IK93" t="n">
        <v>19.198524</v>
      </c>
      <c r="IL93" t="n">
        <v>20.368835</v>
      </c>
      <c r="KH93" t="n">
        <v>24.008</v>
      </c>
      <c r="KS93" t="n">
        <v>-10.08</v>
      </c>
      <c r="LD93" t="n">
        <v>24.96</v>
      </c>
    </row>
    <row r="94">
      <c r="A94" t="inlineStr">
        <is>
          <t>2026-06-09</t>
        </is>
      </c>
      <c r="B94" t="inlineStr">
        <is>
          <t>Diagnosis Plus 27</t>
        </is>
      </c>
      <c r="C94" t="inlineStr">
        <is>
          <t>205226060901</t>
        </is>
      </c>
      <c r="D94" t="inlineStr">
        <is>
          <t>AMY</t>
        </is>
      </c>
      <c r="F94" t="n">
        <v>10</v>
      </c>
      <c r="G94" t="n">
        <v>78</v>
      </c>
      <c r="H94" t="n">
        <v>858</v>
      </c>
      <c r="I94" t="n">
        <v>-702</v>
      </c>
      <c r="J94" t="n">
        <v>76.38746999999999</v>
      </c>
      <c r="K94" t="n">
        <v>76.73569000000001</v>
      </c>
      <c r="L94" t="n">
        <v>75.71845999999999</v>
      </c>
      <c r="M94" t="n">
        <v>75.59755</v>
      </c>
      <c r="N94" t="n">
        <v>76.52964523905457</v>
      </c>
      <c r="O94" t="n">
        <v>75.34742038480348</v>
      </c>
      <c r="P94" t="n">
        <v>76.07994244667194</v>
      </c>
      <c r="Q94" t="n">
        <v>77.18534</v>
      </c>
      <c r="R94" t="n">
        <v>76.159874</v>
      </c>
      <c r="BH94" t="n">
        <v>76.102</v>
      </c>
      <c r="BS94" t="n">
        <v>-2.43</v>
      </c>
      <c r="CD94" t="n">
        <v>0.78</v>
      </c>
      <c r="CF94" t="n">
        <v>10</v>
      </c>
      <c r="CG94" t="n">
        <v>404</v>
      </c>
      <c r="CH94" t="n">
        <v>4444</v>
      </c>
      <c r="CI94" t="n">
        <v>-3636</v>
      </c>
      <c r="CJ94" t="n">
        <v>394.84027</v>
      </c>
      <c r="CK94" t="n">
        <v>392.68655</v>
      </c>
      <c r="CL94" t="n">
        <v>396.12524</v>
      </c>
      <c r="CM94" t="n">
        <v>407.6468</v>
      </c>
      <c r="CN94" t="n">
        <v>399.0541152865311</v>
      </c>
      <c r="CO94" t="n">
        <v>394.4337274202395</v>
      </c>
      <c r="CP94" t="n">
        <v>404.472</v>
      </c>
      <c r="CQ94" t="n">
        <v>400.90405</v>
      </c>
      <c r="CR94" t="n">
        <v>400.8614</v>
      </c>
      <c r="EH94" t="n">
        <v>399.003</v>
      </c>
      <c r="ES94" t="n">
        <v>-1.24</v>
      </c>
      <c r="FD94" t="n">
        <v>1.18</v>
      </c>
      <c r="FF94" t="n">
        <v>10</v>
      </c>
      <c r="FG94" t="n">
        <v>63</v>
      </c>
      <c r="FH94" t="n">
        <v>693</v>
      </c>
      <c r="FI94" t="n">
        <v>-567</v>
      </c>
      <c r="FJ94" t="n">
        <v>61.020817</v>
      </c>
      <c r="FK94" t="n">
        <v>63.284863</v>
      </c>
      <c r="FL94" t="n">
        <v>61.674953</v>
      </c>
      <c r="FM94" t="n">
        <v>62.296196</v>
      </c>
      <c r="FN94" t="n">
        <v>63.4583468792208</v>
      </c>
      <c r="FO94" t="n">
        <v>63.03212872758668</v>
      </c>
      <c r="FP94" t="n">
        <v>62.61640950298352</v>
      </c>
      <c r="FQ94" t="n">
        <v>62.63230789379362</v>
      </c>
      <c r="FR94" t="n">
        <v>63.16209448883953</v>
      </c>
      <c r="FS94" t="n">
        <v>63.571213</v>
      </c>
      <c r="FT94" t="n">
        <v>117.70692</v>
      </c>
      <c r="HH94" t="n">
        <v>67.354</v>
      </c>
      <c r="HS94" t="n">
        <v>6.91</v>
      </c>
      <c r="ID94" t="n">
        <v>22.57</v>
      </c>
      <c r="IF94" t="n">
        <v>10</v>
      </c>
      <c r="IG94" t="n">
        <v>297</v>
      </c>
      <c r="IH94" t="n">
        <v>3267</v>
      </c>
      <c r="II94" t="n">
        <v>-2673</v>
      </c>
      <c r="IJ94" t="n">
        <v>296.2074</v>
      </c>
      <c r="IK94" t="n">
        <v>289.4784</v>
      </c>
      <c r="IL94" t="n">
        <v>298.01862</v>
      </c>
      <c r="IM94" t="n">
        <v>300.31223</v>
      </c>
      <c r="IN94" t="n">
        <v>294.9034766955211</v>
      </c>
      <c r="IO94" t="n">
        <v>298.6624648037106</v>
      </c>
      <c r="IP94" t="n">
        <v>287.4019623588239</v>
      </c>
      <c r="IQ94" t="n">
        <v>285.4746139574933</v>
      </c>
      <c r="IR94" t="n">
        <v>297.60385</v>
      </c>
      <c r="IS94" t="n">
        <v>296.65384</v>
      </c>
      <c r="KH94" t="n">
        <v>294.553</v>
      </c>
      <c r="KS94" t="n">
        <v>-0.82</v>
      </c>
      <c r="LD94" t="n">
        <v>1.58</v>
      </c>
    </row>
    <row r="95">
      <c r="A95" t="inlineStr">
        <is>
          <t>2026-06-09</t>
        </is>
      </c>
      <c r="B95" t="inlineStr">
        <is>
          <t>Diagnosis Plus 27</t>
        </is>
      </c>
      <c r="C95" t="inlineStr">
        <is>
          <t>205226060901</t>
        </is>
      </c>
      <c r="D95" t="inlineStr">
        <is>
          <t>CHOL</t>
        </is>
      </c>
      <c r="F95" t="n">
        <v>10</v>
      </c>
      <c r="G95" t="n">
        <v>228</v>
      </c>
      <c r="H95" t="n">
        <v>2508</v>
      </c>
      <c r="I95" t="n">
        <v>-2052</v>
      </c>
      <c r="J95" t="n">
        <v>228.25073</v>
      </c>
      <c r="K95" t="n">
        <v>233.49808</v>
      </c>
      <c r="L95" t="n">
        <v>225.55957</v>
      </c>
      <c r="M95" t="n">
        <v>224.21094</v>
      </c>
      <c r="N95" t="n">
        <v>232.3652350623318</v>
      </c>
      <c r="O95" t="n">
        <v>229.0022725459096</v>
      </c>
      <c r="P95" t="n">
        <v>229.6657997451988</v>
      </c>
      <c r="Q95" t="n">
        <v>236.16542</v>
      </c>
      <c r="R95" t="n">
        <v>237.74623</v>
      </c>
      <c r="BH95" t="n">
        <v>230.836</v>
      </c>
      <c r="BS95" t="n">
        <v>1.24</v>
      </c>
      <c r="CD95" t="n">
        <v>1.79</v>
      </c>
      <c r="CF95" t="n">
        <v>10</v>
      </c>
      <c r="CG95" t="n">
        <v>99</v>
      </c>
      <c r="CH95" t="n">
        <v>1089</v>
      </c>
      <c r="CI95" t="n">
        <v>-891</v>
      </c>
      <c r="CJ95" t="n">
        <v>95.91750999999999</v>
      </c>
      <c r="CK95" t="n">
        <v>97.00707</v>
      </c>
      <c r="CL95" t="n">
        <v>96.876625</v>
      </c>
      <c r="CM95" t="n">
        <v>98.26595</v>
      </c>
      <c r="CN95" t="n">
        <v>98.407090950289</v>
      </c>
      <c r="CO95" t="n">
        <v>97.24570828474563</v>
      </c>
      <c r="CP95" t="n">
        <v>99.15782</v>
      </c>
      <c r="CQ95" t="n">
        <v>99.393135</v>
      </c>
      <c r="CR95" t="n">
        <v>99.423294</v>
      </c>
      <c r="EH95" t="n">
        <v>97.96599999999999</v>
      </c>
      <c r="ES95" t="n">
        <v>-1.04</v>
      </c>
      <c r="FD95" t="n">
        <v>1.21</v>
      </c>
      <c r="FF95" t="n">
        <v>10</v>
      </c>
      <c r="FG95" t="n">
        <v>115</v>
      </c>
      <c r="FH95" t="n">
        <v>1265</v>
      </c>
      <c r="FI95" t="n">
        <v>-1035</v>
      </c>
      <c r="FJ95" t="n">
        <v>110.23855</v>
      </c>
      <c r="FK95" t="n">
        <v>111.04154</v>
      </c>
      <c r="FL95" t="n">
        <v>110.055954</v>
      </c>
      <c r="FM95" t="n">
        <v>111.62271</v>
      </c>
      <c r="FN95" t="n">
        <v>113.9596311941266</v>
      </c>
      <c r="FO95" t="n">
        <v>115.9524693196228</v>
      </c>
      <c r="FP95" t="n">
        <v>110.8484140465274</v>
      </c>
      <c r="FQ95" t="n">
        <v>111.1823383007533</v>
      </c>
      <c r="FR95" t="n">
        <v>112.0447106172004</v>
      </c>
      <c r="FS95" t="n">
        <v>111.04158</v>
      </c>
      <c r="FT95" t="n">
        <v>112.73222</v>
      </c>
      <c r="HH95" t="n">
        <v>112.198</v>
      </c>
      <c r="HS95" t="n">
        <v>-2.44</v>
      </c>
      <c r="ID95" t="n">
        <v>1.7</v>
      </c>
      <c r="IF95" t="n">
        <v>10</v>
      </c>
      <c r="IG95" t="n">
        <v>269</v>
      </c>
      <c r="IH95" t="n">
        <v>2959</v>
      </c>
      <c r="II95" t="n">
        <v>-2421</v>
      </c>
      <c r="IJ95" t="n">
        <v>264.2148</v>
      </c>
      <c r="IK95" t="n">
        <v>259.9924</v>
      </c>
      <c r="IL95" t="n">
        <v>261.6957</v>
      </c>
      <c r="IM95" t="n">
        <v>265.9783</v>
      </c>
      <c r="IN95" t="n">
        <v>270.6222065875065</v>
      </c>
      <c r="IO95" t="n">
        <v>266.6280547652582</v>
      </c>
      <c r="IP95" t="n">
        <v>261.8298759296657</v>
      </c>
      <c r="IQ95" t="n">
        <v>259.9133255270326</v>
      </c>
      <c r="IR95" t="n">
        <v>267.11856</v>
      </c>
      <c r="IS95" t="n">
        <v>269.81363</v>
      </c>
      <c r="KH95" t="n">
        <v>265.231</v>
      </c>
      <c r="KS95" t="n">
        <v>-1.4</v>
      </c>
      <c r="LD95" t="n">
        <v>1.43</v>
      </c>
    </row>
    <row r="96">
      <c r="A96" t="inlineStr">
        <is>
          <t>2026-06-09</t>
        </is>
      </c>
      <c r="B96" t="inlineStr">
        <is>
          <t>Diagnosis Plus 27</t>
        </is>
      </c>
      <c r="C96" t="inlineStr">
        <is>
          <t>205226060901</t>
        </is>
      </c>
      <c r="D96" t="inlineStr">
        <is>
          <t>Ca</t>
        </is>
      </c>
      <c r="G96" t="n">
        <v>9.1</v>
      </c>
      <c r="J96" t="n">
        <v>9.394304999999999</v>
      </c>
      <c r="K96" t="n">
        <v>9.903745000000001</v>
      </c>
      <c r="L96" t="n">
        <v>9.261005000000001</v>
      </c>
      <c r="M96" t="n">
        <v>9.314314</v>
      </c>
      <c r="N96" t="n">
        <v>9.355441003102197</v>
      </c>
      <c r="O96" t="n">
        <v>9.62111015405662</v>
      </c>
      <c r="P96" t="n">
        <v>9.274807700237648</v>
      </c>
      <c r="Q96" t="n">
        <v>9.651631</v>
      </c>
      <c r="R96" t="n">
        <v>9.773818</v>
      </c>
      <c r="BH96" t="n">
        <v>9.481999999999999</v>
      </c>
      <c r="BS96" t="n">
        <v>4.2</v>
      </c>
      <c r="CD96" t="n">
        <v>2.36</v>
      </c>
      <c r="CG96" t="n">
        <v>12.4</v>
      </c>
      <c r="CJ96" t="n">
        <v>12.282856</v>
      </c>
      <c r="CK96" t="n">
        <v>12.814291</v>
      </c>
      <c r="CL96" t="n">
        <v>12.769212</v>
      </c>
      <c r="CM96" t="n">
        <v>12.370389</v>
      </c>
      <c r="CN96" t="n">
        <v>12.72898491705991</v>
      </c>
      <c r="CO96" t="n">
        <v>12.92343600480948</v>
      </c>
      <c r="CP96" t="n">
        <v>12.729146</v>
      </c>
      <c r="CQ96" t="n">
        <v>12.93009</v>
      </c>
      <c r="CR96" t="n">
        <v>12.891964</v>
      </c>
      <c r="EH96" t="n">
        <v>12.716</v>
      </c>
      <c r="ES96" t="n">
        <v>2.55</v>
      </c>
      <c r="FD96" t="n">
        <v>1.74</v>
      </c>
      <c r="FG96" t="n">
        <v>5.9</v>
      </c>
      <c r="FJ96" t="n">
        <v>5.6083217</v>
      </c>
      <c r="FK96" t="n">
        <v>5.8885984</v>
      </c>
      <c r="FL96" t="n">
        <v>5.6776094</v>
      </c>
      <c r="FM96" t="n">
        <v>5.727765</v>
      </c>
      <c r="FN96" t="n">
        <v>5.688469004333432</v>
      </c>
      <c r="FO96" t="n">
        <v>5.839908279567603</v>
      </c>
      <c r="FP96" t="n">
        <v>5.922473087170018</v>
      </c>
      <c r="FQ96" t="n">
        <v>5.60785837512582</v>
      </c>
      <c r="FR96" t="n">
        <v>5.71311465149978</v>
      </c>
      <c r="FS96" t="n">
        <v>5.750279</v>
      </c>
      <c r="FT96" t="n">
        <v>5.645251</v>
      </c>
      <c r="HH96" t="n">
        <v>5.78</v>
      </c>
      <c r="HS96" t="n">
        <v>-2.04</v>
      </c>
      <c r="ID96" t="n">
        <v>3.14</v>
      </c>
      <c r="IG96" t="n">
        <v>12.7</v>
      </c>
      <c r="IJ96" t="n">
        <v>12.211622</v>
      </c>
      <c r="IK96" t="n">
        <v>12.848007</v>
      </c>
      <c r="IL96" t="n">
        <v>12.295979</v>
      </c>
      <c r="IM96" t="n">
        <v>12.639226</v>
      </c>
      <c r="IN96" t="n">
        <v>13.06023828859136</v>
      </c>
      <c r="IO96" t="n">
        <v>13.06181589393188</v>
      </c>
      <c r="IP96" t="n">
        <v>12.55419137473599</v>
      </c>
      <c r="IQ96" t="n">
        <v>12.90869582108883</v>
      </c>
      <c r="IR96" t="n">
        <v>12.709838</v>
      </c>
      <c r="IS96" t="n">
        <v>12.887532</v>
      </c>
      <c r="KH96" t="n">
        <v>12.731</v>
      </c>
      <c r="KS96" t="n">
        <v>0.24</v>
      </c>
      <c r="LD96" t="n">
        <v>2.12</v>
      </c>
    </row>
    <row r="97">
      <c r="A97" t="inlineStr">
        <is>
          <t>2026-06-09</t>
        </is>
      </c>
      <c r="B97" t="inlineStr">
        <is>
          <t>Diagnosis Plus 27</t>
        </is>
      </c>
      <c r="C97" t="inlineStr">
        <is>
          <t>205226060901</t>
        </is>
      </c>
      <c r="D97" t="inlineStr">
        <is>
          <t>GGT</t>
        </is>
      </c>
      <c r="F97" t="n">
        <v>15</v>
      </c>
      <c r="G97" t="n">
        <v>57</v>
      </c>
      <c r="H97" t="n">
        <v>912</v>
      </c>
      <c r="I97" t="n">
        <v>-798</v>
      </c>
      <c r="J97" t="n">
        <v>53.81318</v>
      </c>
      <c r="K97" t="n">
        <v>56.574944</v>
      </c>
      <c r="L97" t="n">
        <v>56.023117</v>
      </c>
      <c r="M97" t="n">
        <v>56.88332</v>
      </c>
      <c r="N97" t="n">
        <v>57.15269734955455</v>
      </c>
      <c r="O97" t="n">
        <v>59.83363436964775</v>
      </c>
      <c r="P97" t="n">
        <v>58.14865387945417</v>
      </c>
      <c r="Q97" t="n">
        <v>60.458893</v>
      </c>
      <c r="R97" t="n">
        <v>61.858555</v>
      </c>
      <c r="BH97" t="n">
        <v>57.961</v>
      </c>
      <c r="BS97" t="n">
        <v>1.69</v>
      </c>
      <c r="CD97" t="n">
        <v>3.88</v>
      </c>
      <c r="CF97" t="n">
        <v>15</v>
      </c>
      <c r="CG97" t="n">
        <v>164</v>
      </c>
      <c r="CH97" t="n">
        <v>2624</v>
      </c>
      <c r="CI97" t="n">
        <v>-2296</v>
      </c>
      <c r="CJ97" t="n">
        <v>170.8906</v>
      </c>
      <c r="CK97" t="n">
        <v>166.21683</v>
      </c>
      <c r="CL97" t="n">
        <v>170.9271</v>
      </c>
      <c r="CM97" t="n">
        <v>175.03423</v>
      </c>
      <c r="CN97" t="n">
        <v>176.3365566662287</v>
      </c>
      <c r="CO97" t="n">
        <v>165.0753139230086</v>
      </c>
      <c r="CP97" t="n">
        <v>173.76291</v>
      </c>
      <c r="CQ97" t="n">
        <v>171.88744</v>
      </c>
      <c r="CR97" t="n">
        <v>175.28491</v>
      </c>
      <c r="EH97" t="n">
        <v>171.713</v>
      </c>
      <c r="ES97" t="n">
        <v>4.7</v>
      </c>
      <c r="FD97" t="n">
        <v>2.17</v>
      </c>
      <c r="FF97" t="n">
        <v>15</v>
      </c>
      <c r="FG97" t="n">
        <v>23</v>
      </c>
      <c r="FH97" t="n">
        <v>368</v>
      </c>
      <c r="FI97" t="n">
        <v>-322</v>
      </c>
      <c r="FJ97" t="n">
        <v>20.16493</v>
      </c>
      <c r="FK97" t="n">
        <v>20.30937</v>
      </c>
      <c r="FL97" t="n">
        <v>19.725512</v>
      </c>
      <c r="FM97" t="n">
        <v>22.358242</v>
      </c>
      <c r="FN97" t="n">
        <v>22.48629863767842</v>
      </c>
      <c r="FO97" t="n">
        <v>21.86430357517192</v>
      </c>
      <c r="FP97" t="n">
        <v>22.61466588279649</v>
      </c>
      <c r="FQ97" t="n">
        <v>20.76669604314039</v>
      </c>
      <c r="FR97" t="n">
        <v>24.29691790414839</v>
      </c>
      <c r="FS97" t="n">
        <v>23.628712</v>
      </c>
      <c r="FT97" t="n">
        <v>25.182367</v>
      </c>
      <c r="HH97" t="n">
        <v>22.444</v>
      </c>
      <c r="HS97" t="n">
        <v>-2.42</v>
      </c>
      <c r="ID97" t="n">
        <v>8.609999999999999</v>
      </c>
      <c r="IF97" t="n">
        <v>15</v>
      </c>
      <c r="IG97" t="n">
        <v>126</v>
      </c>
      <c r="IH97" t="n">
        <v>2016</v>
      </c>
      <c r="II97" t="n">
        <v>-1764</v>
      </c>
      <c r="IJ97" t="n">
        <v>134.1024</v>
      </c>
      <c r="IK97" t="n">
        <v>128.39322</v>
      </c>
      <c r="IL97" t="n">
        <v>132.3752</v>
      </c>
      <c r="IM97" t="n">
        <v>133.98384</v>
      </c>
      <c r="IN97" t="n">
        <v>134.6834265616119</v>
      </c>
      <c r="IO97" t="n">
        <v>129.6747103433029</v>
      </c>
      <c r="IP97" t="n">
        <v>133.1250124535148</v>
      </c>
      <c r="IQ97" t="n">
        <v>130.666531903067</v>
      </c>
      <c r="IR97" t="n">
        <v>138.58202</v>
      </c>
      <c r="IS97" t="n">
        <v>135.9662</v>
      </c>
      <c r="KH97" t="n">
        <v>133.603</v>
      </c>
      <c r="KS97" t="n">
        <v>6.03</v>
      </c>
      <c r="LD97" t="n">
        <v>2.31</v>
      </c>
    </row>
    <row r="98">
      <c r="A98" t="inlineStr">
        <is>
          <t>2026-06-09</t>
        </is>
      </c>
      <c r="B98" t="inlineStr">
        <is>
          <t>Diagnosis Plus 27</t>
        </is>
      </c>
      <c r="C98" t="inlineStr">
        <is>
          <t>205226060901</t>
        </is>
      </c>
      <c r="D98" t="inlineStr">
        <is>
          <t>K</t>
        </is>
      </c>
      <c r="G98" t="n">
        <v>3.9</v>
      </c>
      <c r="J98" t="n">
        <v>3.5218468</v>
      </c>
      <c r="K98" t="n">
        <v>3.446963</v>
      </c>
      <c r="L98" t="n">
        <v>3.501429</v>
      </c>
      <c r="M98" t="n">
        <v>3.4677181</v>
      </c>
      <c r="N98" t="n">
        <v>3.761912711941721</v>
      </c>
      <c r="O98" t="n">
        <v>3.565865862612557</v>
      </c>
      <c r="P98" t="n">
        <v>3.528914302542498</v>
      </c>
      <c r="Q98" t="n">
        <v>4.026187</v>
      </c>
      <c r="R98" t="n">
        <v>3.9416084</v>
      </c>
      <c r="BH98" t="n">
        <v>3.642</v>
      </c>
      <c r="BS98" t="n">
        <v>-6.62</v>
      </c>
      <c r="CD98" t="n">
        <v>5.3</v>
      </c>
      <c r="CG98" t="n">
        <v>6</v>
      </c>
      <c r="CJ98" t="n">
        <v>6.1525955</v>
      </c>
      <c r="CK98" t="n">
        <v>5.684961</v>
      </c>
      <c r="CL98" t="n">
        <v>6.260645</v>
      </c>
      <c r="CM98" t="n">
        <v>6.3639526</v>
      </c>
      <c r="CN98" t="n">
        <v>6.413687520586244</v>
      </c>
      <c r="CO98" t="n">
        <v>6.005182347475833</v>
      </c>
      <c r="CP98" t="n">
        <v>6.02626</v>
      </c>
      <c r="CQ98" t="n">
        <v>6.341257</v>
      </c>
      <c r="CR98" t="n">
        <v>6.347611</v>
      </c>
      <c r="EH98" t="n">
        <v>6.177</v>
      </c>
      <c r="ES98" t="n">
        <v>2.96</v>
      </c>
      <c r="FD98" t="n">
        <v>3.62</v>
      </c>
      <c r="FG98" t="n">
        <v>2.2</v>
      </c>
      <c r="FJ98" t="n">
        <v>1.9412237</v>
      </c>
      <c r="FK98" t="n">
        <v>2.1361334</v>
      </c>
      <c r="FL98" t="n">
        <v>1.9515142</v>
      </c>
      <c r="FM98" t="n">
        <v>2.252381</v>
      </c>
      <c r="FN98" t="n">
        <v>2.265324946249851</v>
      </c>
      <c r="FO98" t="n">
        <v>2.502256667053883</v>
      </c>
      <c r="FP98" t="n">
        <v>2.360326021191125</v>
      </c>
      <c r="FQ98" t="n">
        <v>2.151383998484981</v>
      </c>
      <c r="FR98" t="n">
        <v>2.322595771872169</v>
      </c>
      <c r="FS98" t="n">
        <v>2.2977035</v>
      </c>
      <c r="FT98" t="n">
        <v>2.2471395</v>
      </c>
      <c r="HH98" t="n">
        <v>2.263</v>
      </c>
      <c r="HS98" t="n">
        <v>2.84</v>
      </c>
      <c r="ID98" t="n">
        <v>9.130000000000001</v>
      </c>
      <c r="IG98" t="n">
        <v>8.4</v>
      </c>
      <c r="IJ98" t="n">
        <v>8.617936</v>
      </c>
      <c r="IK98" t="n">
        <v>7.8426013</v>
      </c>
      <c r="IL98" t="n">
        <v>8.407532</v>
      </c>
      <c r="IM98" t="n">
        <v>8.561031</v>
      </c>
      <c r="IN98" t="n">
        <v>8.673626396274514</v>
      </c>
      <c r="IO98" t="n">
        <v>8.396915380031682</v>
      </c>
      <c r="IP98" t="n">
        <v>8.28458792511513</v>
      </c>
      <c r="IQ98" t="n">
        <v>7.979683017265524</v>
      </c>
      <c r="IR98" t="n">
        <v>8.53459</v>
      </c>
      <c r="IS98" t="n">
        <v>8.384741999999999</v>
      </c>
      <c r="KH98" t="n">
        <v>8.388999999999999</v>
      </c>
      <c r="KS98" t="n">
        <v>-0.13</v>
      </c>
      <c r="LD98" t="n">
        <v>3.02</v>
      </c>
    </row>
    <row r="99">
      <c r="A99" t="inlineStr">
        <is>
          <t>2026-06-09</t>
        </is>
      </c>
      <c r="B99" t="inlineStr">
        <is>
          <t>Diagnosis Plus 27</t>
        </is>
      </c>
      <c r="C99" t="inlineStr">
        <is>
          <t>205226060901</t>
        </is>
      </c>
      <c r="D99" t="inlineStr">
        <is>
          <t>Na</t>
        </is>
      </c>
      <c r="G99" t="n">
        <v>141</v>
      </c>
      <c r="J99" t="n">
        <v>142.04445</v>
      </c>
      <c r="K99" t="n">
        <v>143.18906</v>
      </c>
      <c r="L99" t="n">
        <v>140.64667</v>
      </c>
      <c r="M99" t="n">
        <v>146.02995</v>
      </c>
      <c r="N99" t="n">
        <v>146.8055430555643</v>
      </c>
      <c r="O99" t="n">
        <v>145.5999093088831</v>
      </c>
      <c r="P99" t="n">
        <v>142.9598109313978</v>
      </c>
      <c r="Q99" t="n">
        <v>151.32219</v>
      </c>
      <c r="R99" t="n">
        <v>150.4243</v>
      </c>
      <c r="BH99" t="n">
        <v>145.294</v>
      </c>
      <c r="BS99" t="n">
        <v>3.05</v>
      </c>
      <c r="CD99" t="n">
        <v>2.28</v>
      </c>
      <c r="CG99" t="n">
        <v>129</v>
      </c>
      <c r="CJ99" t="n">
        <v>136.37334</v>
      </c>
      <c r="CK99" t="n">
        <v>131.01799</v>
      </c>
      <c r="CL99" t="n">
        <v>134.6809</v>
      </c>
      <c r="CM99" t="n">
        <v>134.55486</v>
      </c>
      <c r="CN99" t="n">
        <v>140.8874475256984</v>
      </c>
      <c r="CO99" t="n">
        <v>131.1799237331154</v>
      </c>
      <c r="CP99" t="n">
        <v>136.15668</v>
      </c>
      <c r="CQ99" t="n">
        <v>139.81604</v>
      </c>
      <c r="CR99" t="n">
        <v>140.05736</v>
      </c>
      <c r="EH99" t="n">
        <v>136.081</v>
      </c>
      <c r="ES99" t="n">
        <v>5.49</v>
      </c>
      <c r="FD99" t="n">
        <v>2.53</v>
      </c>
      <c r="FG99" t="n">
        <v>118</v>
      </c>
      <c r="FJ99" t="n">
        <v>121.045685</v>
      </c>
      <c r="FK99" t="n">
        <v>122.03153</v>
      </c>
      <c r="FL99" t="n">
        <v>120.16654</v>
      </c>
      <c r="FM99" t="n">
        <v>122.09502</v>
      </c>
      <c r="FN99" t="n">
        <v>124.3140729215679</v>
      </c>
      <c r="FO99" t="n">
        <v>125.3087254028801</v>
      </c>
      <c r="FP99" t="n">
        <v>121.5484643665523</v>
      </c>
      <c r="FQ99" t="n">
        <v>122.5861877051587</v>
      </c>
      <c r="FR99" t="n">
        <v>123.7593357886256</v>
      </c>
      <c r="FS99" t="n">
        <v>123.33466</v>
      </c>
      <c r="FT99" t="n">
        <v>122.26415</v>
      </c>
      <c r="HH99" t="n">
        <v>123.342</v>
      </c>
      <c r="HS99" t="n">
        <v>4.53</v>
      </c>
      <c r="ID99" t="n">
        <v>2.31</v>
      </c>
      <c r="IG99" t="n">
        <v>166</v>
      </c>
      <c r="IJ99" t="n">
        <v>166.10027</v>
      </c>
      <c r="IK99" t="n">
        <v>162.12679</v>
      </c>
      <c r="IL99" t="n">
        <v>158.67505</v>
      </c>
      <c r="IM99" t="n">
        <v>163.43518</v>
      </c>
      <c r="IN99" t="n">
        <v>170.9046824672057</v>
      </c>
      <c r="IO99" t="n">
        <v>162.4654674539945</v>
      </c>
      <c r="IP99" t="n">
        <v>161.2397674906545</v>
      </c>
      <c r="IQ99" t="n">
        <v>159.8573618891109</v>
      </c>
      <c r="IR99" t="n">
        <v>168.0041</v>
      </c>
      <c r="IS99" t="n">
        <v>166.77803</v>
      </c>
      <c r="KH99" t="n">
        <v>164.28</v>
      </c>
      <c r="KS99" t="n">
        <v>-1.04</v>
      </c>
      <c r="LD99" t="n">
        <v>2.22</v>
      </c>
    </row>
    <row r="100">
      <c r="A100" t="inlineStr">
        <is>
          <t>2026-06-09</t>
        </is>
      </c>
      <c r="B100" t="inlineStr">
        <is>
          <t>Diagnosis Plus 27</t>
        </is>
      </c>
      <c r="C100" t="inlineStr">
        <is>
          <t>205226060901</t>
        </is>
      </c>
      <c r="D100" t="inlineStr">
        <is>
          <t>PHOS</t>
        </is>
      </c>
      <c r="F100" t="n">
        <v>10</v>
      </c>
      <c r="G100" t="n">
        <v>3.3</v>
      </c>
      <c r="H100" t="n">
        <v>36.3</v>
      </c>
      <c r="I100" t="n">
        <v>-29.7</v>
      </c>
      <c r="J100" t="n">
        <v>3.1606662</v>
      </c>
      <c r="K100" t="n">
        <v>3.1824374</v>
      </c>
      <c r="L100" t="n">
        <v>3.1680717</v>
      </c>
      <c r="M100" t="n">
        <v>3.1540897</v>
      </c>
      <c r="N100" t="n">
        <v>3.232410382247244</v>
      </c>
      <c r="O100" t="n">
        <v>3.135462204756242</v>
      </c>
      <c r="P100" t="n">
        <v>3.16180507964734</v>
      </c>
      <c r="Q100" t="n">
        <v>3.3180845</v>
      </c>
      <c r="R100" t="n">
        <v>3.243523</v>
      </c>
      <c r="BH100" t="n">
        <v>3.204</v>
      </c>
      <c r="BS100" t="n">
        <v>-2.89</v>
      </c>
      <c r="CD100" t="n">
        <v>1.85</v>
      </c>
      <c r="CF100" t="n">
        <v>10</v>
      </c>
      <c r="CG100" t="n">
        <v>7.2</v>
      </c>
      <c r="CH100" t="n">
        <v>79.2</v>
      </c>
      <c r="CI100" t="n">
        <v>-64.8</v>
      </c>
      <c r="CJ100" t="n">
        <v>7.0939045</v>
      </c>
      <c r="CK100" t="n">
        <v>6.928804</v>
      </c>
      <c r="CL100" t="n">
        <v>7.181683</v>
      </c>
      <c r="CM100" t="n">
        <v>7.1213455</v>
      </c>
      <c r="CN100" t="n">
        <v>7.064111491732341</v>
      </c>
      <c r="CO100" t="n">
        <v>7.021562635758763</v>
      </c>
      <c r="CP100" t="n">
        <v>7.2750955</v>
      </c>
      <c r="CQ100" t="n">
        <v>7.2340965</v>
      </c>
      <c r="CR100" t="n">
        <v>7.278464</v>
      </c>
      <c r="EH100" t="n">
        <v>7.133</v>
      </c>
      <c r="ES100" t="n">
        <v>-0.93</v>
      </c>
      <c r="FD100" t="n">
        <v>1.58</v>
      </c>
      <c r="FF100" t="n">
        <v>10</v>
      </c>
      <c r="FG100" t="n">
        <v>1.9</v>
      </c>
      <c r="FH100" t="n">
        <v>20.9</v>
      </c>
      <c r="FI100" t="n">
        <v>-17.1</v>
      </c>
      <c r="FJ100" t="n">
        <v>1.9092236</v>
      </c>
      <c r="FK100" t="n">
        <v>1.9564182</v>
      </c>
      <c r="FL100" t="n">
        <v>1.8504428</v>
      </c>
      <c r="FM100" t="n">
        <v>1.9148067</v>
      </c>
      <c r="FN100" t="n">
        <v>1.948510303774825</v>
      </c>
      <c r="FO100" t="n">
        <v>1.966792854444237</v>
      </c>
      <c r="FP100" t="n">
        <v>1.942293203400749</v>
      </c>
      <c r="FQ100" t="n">
        <v>1.966116102632715</v>
      </c>
      <c r="FR100" t="n">
        <v>1.942864796717689</v>
      </c>
      <c r="FS100" t="n">
        <v>1.9015102</v>
      </c>
      <c r="FT100" t="n">
        <v>1.8798406</v>
      </c>
      <c r="HH100" t="n">
        <v>1.932</v>
      </c>
      <c r="HS100" t="n">
        <v>1.69</v>
      </c>
      <c r="ID100" t="n">
        <v>2.13</v>
      </c>
      <c r="IF100" t="n">
        <v>10</v>
      </c>
      <c r="IG100" t="n">
        <v>7.2</v>
      </c>
      <c r="IH100" t="n">
        <v>79.2</v>
      </c>
      <c r="II100" t="n">
        <v>-64.8</v>
      </c>
      <c r="IJ100" t="n">
        <v>7.2078624</v>
      </c>
      <c r="IK100" t="n">
        <v>7.107544</v>
      </c>
      <c r="IL100" t="n">
        <v>7.188645</v>
      </c>
      <c r="IM100" t="n">
        <v>7.3016977</v>
      </c>
      <c r="IN100" t="n">
        <v>7.281316325276653</v>
      </c>
      <c r="IO100" t="n">
        <v>7.164297530491511</v>
      </c>
      <c r="IP100" t="n">
        <v>7.066669697074413</v>
      </c>
      <c r="IQ100" t="n">
        <v>6.942573245299822</v>
      </c>
      <c r="IR100" t="n">
        <v>7.416853</v>
      </c>
      <c r="IS100" t="n">
        <v>7.2826924</v>
      </c>
      <c r="KH100" t="n">
        <v>7.202</v>
      </c>
      <c r="KS100" t="n">
        <v>0.03</v>
      </c>
      <c r="LD100" t="n">
        <v>1.72</v>
      </c>
    </row>
    <row r="101">
      <c r="A101" t="inlineStr">
        <is>
          <t>2026-06-09</t>
        </is>
      </c>
      <c r="B101" t="inlineStr">
        <is>
          <t>Diagnosis Plus 27</t>
        </is>
      </c>
      <c r="C101" t="inlineStr">
        <is>
          <t>205226060901</t>
        </is>
      </c>
      <c r="D101" t="inlineStr">
        <is>
          <t>TBIL</t>
        </is>
      </c>
      <c r="F101" t="n">
        <v>20</v>
      </c>
      <c r="G101" t="n">
        <v>1.1</v>
      </c>
      <c r="H101" t="n">
        <v>23.1</v>
      </c>
      <c r="I101" t="n">
        <v>-20.9</v>
      </c>
      <c r="J101" t="n">
        <v>1.2421491</v>
      </c>
      <c r="K101" t="n">
        <v>1.2613251</v>
      </c>
      <c r="L101" t="n">
        <v>1.2864144</v>
      </c>
      <c r="M101" t="n">
        <v>1.2476759</v>
      </c>
      <c r="N101" t="n">
        <v>1.263630827050663</v>
      </c>
      <c r="O101" t="n">
        <v>1.353944737558367</v>
      </c>
      <c r="P101" t="n">
        <v>1.29522062334538</v>
      </c>
      <c r="Q101" t="n">
        <v>1.3214451</v>
      </c>
      <c r="R101" t="n">
        <v>1.3529364</v>
      </c>
      <c r="BH101" t="n">
        <v>1.293</v>
      </c>
      <c r="BS101" t="n">
        <v>17.53</v>
      </c>
      <c r="CD101" t="n">
        <v>2.97</v>
      </c>
      <c r="CF101" t="n">
        <v>20</v>
      </c>
      <c r="CG101" t="n">
        <v>5.1</v>
      </c>
      <c r="CH101" t="n">
        <v>107.1</v>
      </c>
      <c r="CI101" t="n">
        <v>-96.89999999999999</v>
      </c>
      <c r="CJ101" t="n">
        <v>4.847156</v>
      </c>
      <c r="CK101" t="n">
        <v>4.8725686</v>
      </c>
      <c r="CL101" t="n">
        <v>5.0412374</v>
      </c>
      <c r="CM101" t="n">
        <v>5.0279527</v>
      </c>
      <c r="CN101" t="n">
        <v>5.070518094222268</v>
      </c>
      <c r="CO101" t="n">
        <v>4.979423537829416</v>
      </c>
      <c r="CP101" t="n">
        <v>5.206623</v>
      </c>
      <c r="CQ101" t="n">
        <v>5.1828623</v>
      </c>
      <c r="CR101" t="n">
        <v>5.1658497</v>
      </c>
      <c r="EH101" t="n">
        <v>5.044</v>
      </c>
      <c r="ES101" t="n">
        <v>-1.1</v>
      </c>
      <c r="FD101" t="n">
        <v>2.42</v>
      </c>
      <c r="FF101" t="n">
        <v>20</v>
      </c>
      <c r="FG101" t="n">
        <v>0.8</v>
      </c>
      <c r="FH101" t="n">
        <v>16.8</v>
      </c>
      <c r="FI101" t="n">
        <v>-15.2</v>
      </c>
      <c r="FJ101" t="n">
        <v>0.66103673</v>
      </c>
      <c r="FK101" t="n">
        <v>0.659927</v>
      </c>
      <c r="FL101" t="n">
        <v>0.7208715999999999</v>
      </c>
      <c r="FM101" t="n">
        <v>0.7185892</v>
      </c>
      <c r="FN101" t="n">
        <v>0.7052362566539552</v>
      </c>
      <c r="FO101" t="n">
        <v>0.6416412429235301</v>
      </c>
      <c r="FP101" t="n">
        <v>0.6248202513020811</v>
      </c>
      <c r="FQ101" t="n">
        <v>0.6849245000799327</v>
      </c>
      <c r="FR101" t="n">
        <v>0.6993990859121917</v>
      </c>
      <c r="FS101" t="n">
        <v>0.6920245</v>
      </c>
      <c r="FT101" t="n">
        <v>0.7298022</v>
      </c>
      <c r="HH101" t="n">
        <v>0.6909999999999999</v>
      </c>
      <c r="HS101" t="n">
        <v>-13.62</v>
      </c>
      <c r="ID101" t="n">
        <v>5.3</v>
      </c>
      <c r="IF101" t="n">
        <v>20</v>
      </c>
      <c r="IG101" t="n">
        <v>8.4</v>
      </c>
      <c r="IH101" t="n">
        <v>176.4</v>
      </c>
      <c r="II101" t="n">
        <v>-159.6</v>
      </c>
      <c r="IJ101" t="n">
        <v>8.273414000000001</v>
      </c>
      <c r="IK101" t="n">
        <v>8.062583999999999</v>
      </c>
      <c r="IL101" t="n">
        <v>8.155327</v>
      </c>
      <c r="IM101" t="n">
        <v>8.290259000000001</v>
      </c>
      <c r="IN101" t="n">
        <v>8.308776479513487</v>
      </c>
      <c r="IO101" t="n">
        <v>8.074397409484696</v>
      </c>
      <c r="IP101" t="n">
        <v>7.60768248827559</v>
      </c>
      <c r="IQ101" t="n">
        <v>7.619409035371798</v>
      </c>
      <c r="IR101" t="n">
        <v>8.382429</v>
      </c>
      <c r="IS101" t="n">
        <v>8.360383000000001</v>
      </c>
      <c r="KH101" t="n">
        <v>8.135</v>
      </c>
      <c r="KS101" t="n">
        <v>-3.15</v>
      </c>
      <c r="LD101" t="n">
        <v>3.29</v>
      </c>
    </row>
    <row r="102">
      <c r="A102" t="inlineStr">
        <is>
          <t>2026-06-09</t>
        </is>
      </c>
      <c r="B102" t="inlineStr">
        <is>
          <t>Diagnosis Plus 27</t>
        </is>
      </c>
      <c r="C102" t="inlineStr">
        <is>
          <t>105126060901</t>
        </is>
      </c>
      <c r="D102" t="inlineStr">
        <is>
          <t>ALB</t>
        </is>
      </c>
      <c r="F102" t="n">
        <v>8</v>
      </c>
      <c r="G102" t="n">
        <v>4.2</v>
      </c>
      <c r="H102" t="n">
        <v>37.8</v>
      </c>
      <c r="I102" t="n">
        <v>-29.4</v>
      </c>
      <c r="J102" t="n">
        <v>3.942674</v>
      </c>
      <c r="K102" t="n">
        <v>3.9932523</v>
      </c>
      <c r="L102" t="n">
        <v>4.081404</v>
      </c>
      <c r="M102" t="n">
        <v>3.9570994</v>
      </c>
      <c r="N102" t="n">
        <v>4.063209137124035</v>
      </c>
      <c r="O102" t="n">
        <v>3.916044144017778</v>
      </c>
      <c r="P102" t="n">
        <v>3.805461982253986</v>
      </c>
      <c r="Q102" t="n">
        <v>4.0139</v>
      </c>
      <c r="R102" t="n">
        <v>3.968759</v>
      </c>
      <c r="BH102" t="n">
        <v>3.988</v>
      </c>
      <c r="BS102" t="n">
        <v>-5.05</v>
      </c>
      <c r="CD102" t="n">
        <v>2.23</v>
      </c>
      <c r="CF102" t="n">
        <v>8</v>
      </c>
      <c r="CG102" t="n">
        <v>2.7</v>
      </c>
      <c r="CH102" t="n">
        <v>24.3</v>
      </c>
      <c r="CI102" t="n">
        <v>-18.9</v>
      </c>
      <c r="CJ102" t="n">
        <v>2.577664</v>
      </c>
      <c r="CK102" t="n">
        <v>2.6988223</v>
      </c>
      <c r="CL102" t="n">
        <v>2.5906024</v>
      </c>
      <c r="CM102" t="n">
        <v>2.661328</v>
      </c>
      <c r="CN102" t="n">
        <v>2.654458030467637</v>
      </c>
      <c r="CO102" t="n">
        <v>2.637606083864665</v>
      </c>
      <c r="CP102" t="n">
        <v>2.6306016</v>
      </c>
      <c r="CQ102" t="n">
        <v>2.7943995</v>
      </c>
      <c r="CR102" t="n">
        <v>2.6439846</v>
      </c>
      <c r="EH102" t="n">
        <v>2.654</v>
      </c>
      <c r="ES102" t="n">
        <v>-1.69</v>
      </c>
      <c r="FD102" t="n">
        <v>2.27</v>
      </c>
      <c r="FF102" t="n">
        <v>8</v>
      </c>
      <c r="FG102" t="n">
        <v>2.6</v>
      </c>
      <c r="FH102" t="n">
        <v>23.4</v>
      </c>
      <c r="FI102" t="n">
        <v>-18.2</v>
      </c>
      <c r="FJ102" t="n">
        <v>2.4634893</v>
      </c>
      <c r="FK102" t="n">
        <v>2.4722574</v>
      </c>
      <c r="FL102" t="n">
        <v>2.5712</v>
      </c>
      <c r="FM102" t="n">
        <v>2.5995708</v>
      </c>
      <c r="FN102" t="n">
        <v>2.497037588394922</v>
      </c>
      <c r="FO102" t="n">
        <v>2.62415515898693</v>
      </c>
      <c r="FP102" t="n">
        <v>2.504514965347247</v>
      </c>
      <c r="FQ102" t="n">
        <v>2.520223440662118</v>
      </c>
      <c r="FR102" t="n">
        <v>2.479896526251533</v>
      </c>
      <c r="FS102" t="n">
        <v>2.5760598</v>
      </c>
      <c r="FT102" t="n">
        <v>2.5456226</v>
      </c>
      <c r="HH102" t="n">
        <v>2.531</v>
      </c>
      <c r="HS102" t="n">
        <v>-2.64</v>
      </c>
      <c r="ID102" t="n">
        <v>1.97</v>
      </c>
      <c r="IF102" t="n">
        <v>8</v>
      </c>
      <c r="IG102" t="n">
        <v>4.2</v>
      </c>
      <c r="IH102" t="n">
        <v>37.8</v>
      </c>
      <c r="II102" t="n">
        <v>-29.4</v>
      </c>
      <c r="IJ102" t="n">
        <v>3.9292166</v>
      </c>
      <c r="IK102" t="n">
        <v>4.0730915</v>
      </c>
      <c r="IL102" t="n">
        <v>3.9555123</v>
      </c>
      <c r="IM102" t="n">
        <v>4.04775</v>
      </c>
      <c r="IN102" t="n">
        <v>4.057992995063064</v>
      </c>
      <c r="IO102" t="n">
        <v>4.086070413543561</v>
      </c>
      <c r="IP102" t="n">
        <v>4.015486621371323</v>
      </c>
      <c r="IQ102" t="n">
        <v>4.046025619982146</v>
      </c>
      <c r="IR102" t="n">
        <v>4.0459795</v>
      </c>
      <c r="IS102" t="n">
        <v>4.097439</v>
      </c>
      <c r="KH102" t="n">
        <v>4.032</v>
      </c>
      <c r="KS102" t="n">
        <v>-3.99</v>
      </c>
      <c r="LD102" t="n">
        <v>1.25</v>
      </c>
    </row>
    <row r="103">
      <c r="A103" t="inlineStr">
        <is>
          <t>2026-06-09</t>
        </is>
      </c>
      <c r="B103" t="inlineStr">
        <is>
          <t>Diagnosis Plus 27</t>
        </is>
      </c>
      <c r="C103" t="inlineStr">
        <is>
          <t>105126060901</t>
        </is>
      </c>
      <c r="D103" t="inlineStr">
        <is>
          <t>ALP</t>
        </is>
      </c>
      <c r="F103" t="n">
        <v>20</v>
      </c>
      <c r="G103" t="n">
        <v>136</v>
      </c>
      <c r="H103" t="n">
        <v>2856</v>
      </c>
      <c r="I103" t="n">
        <v>-2584</v>
      </c>
      <c r="J103" t="n">
        <v>138.48619</v>
      </c>
      <c r="K103" t="n">
        <v>138.16304</v>
      </c>
      <c r="L103" t="n">
        <v>140.80687</v>
      </c>
      <c r="M103" t="n">
        <v>138.71643</v>
      </c>
      <c r="N103" t="n">
        <v>139.8998904000429</v>
      </c>
      <c r="O103" t="n">
        <v>137.2799256180287</v>
      </c>
      <c r="P103" t="n">
        <v>137.4505322723527</v>
      </c>
      <c r="Q103" t="n">
        <v>139.56519</v>
      </c>
      <c r="R103" t="n">
        <v>137.13931</v>
      </c>
      <c r="BH103" t="n">
        <v>138.55</v>
      </c>
      <c r="BS103" t="n">
        <v>1.87</v>
      </c>
      <c r="CD103" t="n">
        <v>0.83</v>
      </c>
      <c r="CF103" t="n">
        <v>20</v>
      </c>
      <c r="CG103" t="n">
        <v>456</v>
      </c>
      <c r="CH103" t="n">
        <v>9576</v>
      </c>
      <c r="CI103" t="n">
        <v>-8664</v>
      </c>
      <c r="CJ103" t="n">
        <v>450.08093</v>
      </c>
      <c r="CK103" t="n">
        <v>458.9805</v>
      </c>
      <c r="CL103" t="n">
        <v>448.2361</v>
      </c>
      <c r="CM103" t="n">
        <v>464.42886</v>
      </c>
      <c r="CN103" t="n">
        <v>450.4300006526091</v>
      </c>
      <c r="CO103" t="n">
        <v>446.4195724900451</v>
      </c>
      <c r="CP103" t="n">
        <v>454.06006</v>
      </c>
      <c r="CQ103" t="n">
        <v>448.82043</v>
      </c>
      <c r="CR103" t="n">
        <v>446.13803</v>
      </c>
      <c r="EH103" t="n">
        <v>451.955</v>
      </c>
      <c r="ES103" t="n">
        <v>-0.89</v>
      </c>
      <c r="FD103" t="n">
        <v>1.28</v>
      </c>
      <c r="FF103" t="n">
        <v>20</v>
      </c>
      <c r="FG103" t="n">
        <v>75</v>
      </c>
      <c r="FH103" t="n">
        <v>1575</v>
      </c>
      <c r="FI103" t="n">
        <v>-1425</v>
      </c>
      <c r="FJ103" t="n">
        <v>69.03406</v>
      </c>
      <c r="FK103" t="n">
        <v>68.60262</v>
      </c>
      <c r="FL103" t="n">
        <v>68.83909</v>
      </c>
      <c r="FM103" t="n">
        <v>69.53206</v>
      </c>
      <c r="FN103" t="n">
        <v>68.73264064287216</v>
      </c>
      <c r="FO103" t="n">
        <v>69.13582750031921</v>
      </c>
      <c r="FP103" t="n">
        <v>68.66972601812411</v>
      </c>
      <c r="FQ103" t="n">
        <v>69.13339724497382</v>
      </c>
      <c r="FR103" t="n">
        <v>69.35939709067974</v>
      </c>
      <c r="FS103" t="n">
        <v>68.40682</v>
      </c>
      <c r="FT103" t="n">
        <v>69.31083</v>
      </c>
      <c r="HH103" t="n">
        <v>69.066</v>
      </c>
      <c r="HS103" t="n">
        <v>-7.91</v>
      </c>
      <c r="ID103" t="n">
        <v>0.63</v>
      </c>
      <c r="IF103" t="n">
        <v>20</v>
      </c>
      <c r="IG103" t="n">
        <v>251</v>
      </c>
      <c r="IH103" t="n">
        <v>5271</v>
      </c>
      <c r="II103" t="n">
        <v>-4769</v>
      </c>
      <c r="IJ103" t="n">
        <v>227.95793</v>
      </c>
      <c r="IK103" t="n">
        <v>232.03793</v>
      </c>
      <c r="IL103" t="n">
        <v>231.59322</v>
      </c>
      <c r="IM103" t="n">
        <v>227.79889</v>
      </c>
      <c r="IN103" t="n">
        <v>220.0816809961115</v>
      </c>
      <c r="IO103" t="n">
        <v>221.052176367178</v>
      </c>
      <c r="IP103" t="n">
        <v>219.1537391165875</v>
      </c>
      <c r="IQ103" t="n">
        <v>217.5827010075637</v>
      </c>
      <c r="IR103" t="n">
        <v>231.93036</v>
      </c>
      <c r="IS103" t="n">
        <v>233.48383</v>
      </c>
      <c r="KH103" t="n">
        <v>226.303</v>
      </c>
      <c r="KS103" t="n">
        <v>-9.84</v>
      </c>
      <c r="LD103" t="n">
        <v>2.47</v>
      </c>
    </row>
    <row r="104">
      <c r="A104" t="inlineStr">
        <is>
          <t>2026-06-09</t>
        </is>
      </c>
      <c r="B104" t="inlineStr">
        <is>
          <t>Diagnosis Plus 27</t>
        </is>
      </c>
      <c r="C104" t="inlineStr">
        <is>
          <t>105126060901</t>
        </is>
      </c>
      <c r="D104" t="inlineStr">
        <is>
          <t>ALT</t>
        </is>
      </c>
      <c r="F104" t="n">
        <v>15</v>
      </c>
      <c r="G104" t="n">
        <v>28</v>
      </c>
      <c r="H104" t="n">
        <v>448</v>
      </c>
      <c r="I104" t="n">
        <v>-392</v>
      </c>
      <c r="J104" t="n">
        <v>31.412338</v>
      </c>
      <c r="K104" t="n">
        <v>23.878267</v>
      </c>
      <c r="L104" t="n">
        <v>30.248276</v>
      </c>
      <c r="M104" t="n">
        <v>30.081451</v>
      </c>
      <c r="N104" t="n">
        <v>26.8291013881928</v>
      </c>
      <c r="O104" t="n">
        <v>23.9052352674083</v>
      </c>
      <c r="P104" t="n">
        <v>26.21174447538356</v>
      </c>
      <c r="Q104" t="n">
        <v>27.9717</v>
      </c>
      <c r="R104" t="n">
        <v>32.26975</v>
      </c>
      <c r="BH104" t="n">
        <v>27.505</v>
      </c>
      <c r="BS104" t="n">
        <v>-1.77</v>
      </c>
      <c r="CD104" t="n">
        <v>11.96</v>
      </c>
      <c r="CF104" t="n">
        <v>15</v>
      </c>
      <c r="CG104" t="n">
        <v>115</v>
      </c>
      <c r="CH104" t="n">
        <v>1840</v>
      </c>
      <c r="CI104" t="n">
        <v>-1610</v>
      </c>
      <c r="CJ104" t="n">
        <v>121.438225</v>
      </c>
      <c r="CK104" t="n">
        <v>115.465996</v>
      </c>
      <c r="CL104" t="n">
        <v>116.31677</v>
      </c>
      <c r="CM104" t="n">
        <v>117.03198</v>
      </c>
      <c r="CN104" t="n">
        <v>119.8945302440874</v>
      </c>
      <c r="CO104" t="n">
        <v>117.4747297142539</v>
      </c>
      <c r="CP104" t="n">
        <v>127.16616</v>
      </c>
      <c r="CQ104" t="n">
        <v>118.14816</v>
      </c>
      <c r="CR104" t="n">
        <v>119.52248</v>
      </c>
      <c r="EH104" t="n">
        <v>119.162</v>
      </c>
      <c r="ES104" t="n">
        <v>3.62</v>
      </c>
      <c r="FD104" t="n">
        <v>2.8</v>
      </c>
      <c r="FF104" t="n">
        <v>15</v>
      </c>
      <c r="FG104" t="n">
        <v>26</v>
      </c>
      <c r="FH104" t="n">
        <v>416</v>
      </c>
      <c r="FI104" t="n">
        <v>-364</v>
      </c>
      <c r="FJ104" t="n">
        <v>24.22778</v>
      </c>
      <c r="FK104" t="n">
        <v>22.52213</v>
      </c>
      <c r="FL104" t="n">
        <v>25.372677</v>
      </c>
      <c r="FM104" t="n">
        <v>25.365171</v>
      </c>
      <c r="FN104" t="n">
        <v>22.60367721771717</v>
      </c>
      <c r="FO104" t="n">
        <v>18.55999021907574</v>
      </c>
      <c r="FP104" t="n">
        <v>19.0486464773495</v>
      </c>
      <c r="FQ104" t="n">
        <v>23.92572069780626</v>
      </c>
      <c r="FR104" t="n">
        <v>23.46405733969889</v>
      </c>
      <c r="FS104" t="n">
        <v>22.382927</v>
      </c>
      <c r="FT104" t="n">
        <v>23.750746</v>
      </c>
      <c r="HH104" t="n">
        <v>23.074</v>
      </c>
      <c r="HS104" t="n">
        <v>-11.25</v>
      </c>
      <c r="ID104" t="n">
        <v>9.49</v>
      </c>
      <c r="IF104" t="n">
        <v>15</v>
      </c>
      <c r="IG104" t="n">
        <v>217</v>
      </c>
      <c r="IH104" t="n">
        <v>3472</v>
      </c>
      <c r="II104" t="n">
        <v>-3038</v>
      </c>
      <c r="IJ104" t="n">
        <v>212.87312</v>
      </c>
      <c r="IK104" t="n">
        <v>209.50842</v>
      </c>
      <c r="IL104" t="n">
        <v>211.06543</v>
      </c>
      <c r="IM104" t="n">
        <v>214.27148</v>
      </c>
      <c r="IN104" t="n">
        <v>199.1582029080853</v>
      </c>
      <c r="IO104" t="n">
        <v>200.1969655032185</v>
      </c>
      <c r="IP104" t="n">
        <v>201.367164396829</v>
      </c>
      <c r="IQ104" t="n">
        <v>204.317205961074</v>
      </c>
      <c r="IR104" t="n">
        <v>216.8453</v>
      </c>
      <c r="IS104" t="n">
        <v>216.54845</v>
      </c>
      <c r="KH104" t="n">
        <v>208.789</v>
      </c>
      <c r="KS104" t="n">
        <v>-3.78</v>
      </c>
      <c r="LD104" t="n">
        <v>2.97</v>
      </c>
    </row>
    <row r="105">
      <c r="A105" t="inlineStr">
        <is>
          <t>2026-06-09</t>
        </is>
      </c>
      <c r="B105" t="inlineStr">
        <is>
          <t>Diagnosis Plus 27</t>
        </is>
      </c>
      <c r="C105" t="inlineStr">
        <is>
          <t>105126060901</t>
        </is>
      </c>
      <c r="D105" t="inlineStr">
        <is>
          <t>BUN</t>
        </is>
      </c>
      <c r="F105" t="n">
        <v>9</v>
      </c>
      <c r="G105" t="n">
        <v>14.8</v>
      </c>
      <c r="H105" t="n">
        <v>148</v>
      </c>
      <c r="I105" t="n">
        <v>-118.4</v>
      </c>
      <c r="J105" t="n">
        <v>14.581759</v>
      </c>
      <c r="K105" t="n">
        <v>14.011792</v>
      </c>
      <c r="L105" t="n">
        <v>14.297228</v>
      </c>
      <c r="M105" t="n">
        <v>14.028063</v>
      </c>
      <c r="N105" t="n">
        <v>14.31463051682297</v>
      </c>
      <c r="O105" t="n">
        <v>13.82564203717192</v>
      </c>
      <c r="P105" t="n">
        <v>14.5917194223002</v>
      </c>
      <c r="Q105" t="n">
        <v>14.504212</v>
      </c>
      <c r="R105" t="n">
        <v>13.751802</v>
      </c>
      <c r="BH105" t="n">
        <v>14.202</v>
      </c>
      <c r="BS105" t="n">
        <v>-4.04</v>
      </c>
      <c r="CD105" t="n">
        <v>2.03</v>
      </c>
      <c r="CF105" t="n">
        <v>9</v>
      </c>
      <c r="CG105" t="n">
        <v>44.7</v>
      </c>
      <c r="CH105" t="n">
        <v>447</v>
      </c>
      <c r="CI105" t="n">
        <v>-357.6</v>
      </c>
      <c r="CJ105" t="n">
        <v>44.297253</v>
      </c>
      <c r="CK105" t="n">
        <v>43.49132</v>
      </c>
      <c r="CL105" t="n">
        <v>45.1249</v>
      </c>
      <c r="CM105" t="n">
        <v>43.625595</v>
      </c>
      <c r="CN105" t="n">
        <v>43.98285911702956</v>
      </c>
      <c r="CO105" t="n">
        <v>43.57452447593729</v>
      </c>
      <c r="CP105" t="n">
        <v>42.52849</v>
      </c>
      <c r="CQ105" t="n">
        <v>43.136913</v>
      </c>
      <c r="CR105" t="n">
        <v>43.6129</v>
      </c>
      <c r="EH105" t="n">
        <v>43.708</v>
      </c>
      <c r="ES105" t="n">
        <v>-2.22</v>
      </c>
      <c r="FD105" t="n">
        <v>1.57</v>
      </c>
      <c r="FF105" t="n">
        <v>9</v>
      </c>
      <c r="FG105" t="n">
        <v>14.7</v>
      </c>
      <c r="FH105" t="n">
        <v>147</v>
      </c>
      <c r="FI105" t="n">
        <v>-117.6</v>
      </c>
      <c r="FJ105" t="n">
        <v>14.503012</v>
      </c>
      <c r="FK105" t="n">
        <v>14.700746</v>
      </c>
      <c r="FL105" t="n">
        <v>14.140383</v>
      </c>
      <c r="FM105" t="n">
        <v>14.50395</v>
      </c>
      <c r="FN105" t="n">
        <v>14.49693167500894</v>
      </c>
      <c r="FO105" t="n">
        <v>14.45285107170052</v>
      </c>
      <c r="FP105" t="n">
        <v>14.11723461236195</v>
      </c>
      <c r="FQ105" t="n">
        <v>14.49869456552107</v>
      </c>
      <c r="FR105" t="n">
        <v>14.30604650085035</v>
      </c>
      <c r="FS105" t="n">
        <v>13.992091</v>
      </c>
      <c r="FT105" t="n">
        <v>14.081644</v>
      </c>
      <c r="HH105" t="n">
        <v>14.354</v>
      </c>
      <c r="HS105" t="n">
        <v>-2.35</v>
      </c>
      <c r="ID105" t="n">
        <v>1.47</v>
      </c>
      <c r="IF105" t="n">
        <v>9</v>
      </c>
      <c r="IG105" t="n">
        <v>65.7</v>
      </c>
      <c r="IH105" t="n">
        <v>657</v>
      </c>
      <c r="II105" t="n">
        <v>-525.6</v>
      </c>
      <c r="IJ105" t="n">
        <v>65.79237999999999</v>
      </c>
      <c r="IK105" t="n">
        <v>64.115944</v>
      </c>
      <c r="IL105" t="n">
        <v>65.60373</v>
      </c>
      <c r="IM105" t="n">
        <v>64.29752000000001</v>
      </c>
      <c r="IN105" t="n">
        <v>63.01080106111237</v>
      </c>
      <c r="IO105" t="n">
        <v>63.52423306413981</v>
      </c>
      <c r="IP105" t="n">
        <v>64.68197256942921</v>
      </c>
      <c r="IQ105" t="n">
        <v>63.71446924838484</v>
      </c>
      <c r="IR105" t="n">
        <v>62.57817</v>
      </c>
      <c r="IS105" t="n">
        <v>65.10451500000001</v>
      </c>
      <c r="KH105" t="n">
        <v>64.157</v>
      </c>
      <c r="KS105" t="n">
        <v>-2.35</v>
      </c>
      <c r="LD105" t="n">
        <v>1.57</v>
      </c>
    </row>
    <row r="106">
      <c r="A106" t="inlineStr">
        <is>
          <t>2026-06-09</t>
        </is>
      </c>
      <c r="B106" t="inlineStr">
        <is>
          <t>Diagnosis Plus 27</t>
        </is>
      </c>
      <c r="C106" t="inlineStr">
        <is>
          <t>105126060901</t>
        </is>
      </c>
      <c r="D106" t="inlineStr">
        <is>
          <t>CREA</t>
        </is>
      </c>
      <c r="F106" t="n">
        <v>10</v>
      </c>
      <c r="G106" t="n">
        <v>1.5</v>
      </c>
      <c r="H106" t="n">
        <v>16.5</v>
      </c>
      <c r="I106" t="n">
        <v>-13.5</v>
      </c>
      <c r="J106" t="n">
        <v>1.1695411</v>
      </c>
      <c r="K106" t="n">
        <v>1.2012954</v>
      </c>
      <c r="L106" t="n">
        <v>1.245605</v>
      </c>
      <c r="M106" t="n">
        <v>1.2319398</v>
      </c>
      <c r="N106" t="n">
        <v>1.208992715004749</v>
      </c>
      <c r="O106" t="n">
        <v>1.228237893750547</v>
      </c>
      <c r="P106" t="n">
        <v>1.118493391443455</v>
      </c>
      <c r="Q106" t="n">
        <v>1.2555131</v>
      </c>
      <c r="R106" t="n">
        <v>1.239052</v>
      </c>
      <c r="BH106" t="n">
        <v>1.213</v>
      </c>
      <c r="BS106" t="n">
        <v>-19.13</v>
      </c>
      <c r="CD106" t="n">
        <v>3.24</v>
      </c>
      <c r="CF106" t="n">
        <v>10</v>
      </c>
      <c r="CG106" t="n">
        <v>5.55</v>
      </c>
      <c r="CH106" t="n">
        <v>61.05</v>
      </c>
      <c r="CI106" t="n">
        <v>-49.95</v>
      </c>
      <c r="CJ106" t="n">
        <v>4.501723</v>
      </c>
      <c r="CK106" t="n">
        <v>4.5437326</v>
      </c>
      <c r="CL106" t="n">
        <v>4.5468664</v>
      </c>
      <c r="CM106" t="n">
        <v>4.5198</v>
      </c>
      <c r="CN106" t="n">
        <v>4.555661827401779</v>
      </c>
      <c r="CO106" t="n">
        <v>4.364147465099735</v>
      </c>
      <c r="CP106" t="n">
        <v>4.6338644</v>
      </c>
      <c r="CQ106" t="n">
        <v>4.33145</v>
      </c>
      <c r="CR106" t="n">
        <v>4.6288447</v>
      </c>
      <c r="EH106" t="n">
        <v>4.514</v>
      </c>
      <c r="ES106" t="n">
        <v>-18.67</v>
      </c>
      <c r="FD106" t="n">
        <v>2.18</v>
      </c>
      <c r="FF106" t="n">
        <v>10</v>
      </c>
      <c r="FG106" t="n">
        <v>0.97</v>
      </c>
      <c r="FH106" t="n">
        <v>10.67</v>
      </c>
      <c r="FI106" t="n">
        <v>-8.73</v>
      </c>
      <c r="FJ106" t="n">
        <v>0.6540971</v>
      </c>
      <c r="FK106" t="n">
        <v>0.67876554</v>
      </c>
      <c r="FL106" t="n">
        <v>0.7269734</v>
      </c>
      <c r="FM106" t="n">
        <v>0.6597429500000001</v>
      </c>
      <c r="FN106" t="n">
        <v>0.6339280970552054</v>
      </c>
      <c r="FO106" t="n">
        <v>0.6718516541866387</v>
      </c>
      <c r="FP106" t="n">
        <v>0.6006975396823108</v>
      </c>
      <c r="FQ106" t="n">
        <v>0.6330662048401572</v>
      </c>
      <c r="FR106" t="n">
        <v>0.6690596614971231</v>
      </c>
      <c r="FS106" t="n">
        <v>0.71791863</v>
      </c>
      <c r="FT106" t="n">
        <v>0.6582022</v>
      </c>
      <c r="HH106" t="n">
        <v>0.664</v>
      </c>
      <c r="HS106" t="n">
        <v>-31.57</v>
      </c>
      <c r="ID106" t="n">
        <v>5</v>
      </c>
      <c r="IF106" t="n">
        <v>10</v>
      </c>
      <c r="IG106" t="n">
        <v>5.95</v>
      </c>
      <c r="IH106" t="n">
        <v>65.45</v>
      </c>
      <c r="II106" t="n">
        <v>-53.55</v>
      </c>
      <c r="IJ106" t="n">
        <v>5.158574</v>
      </c>
      <c r="IK106" t="n">
        <v>5.178575</v>
      </c>
      <c r="IL106" t="n">
        <v>5.2263536</v>
      </c>
      <c r="IM106" t="n">
        <v>5.307902</v>
      </c>
      <c r="IN106" t="n">
        <v>5.309269069006178</v>
      </c>
      <c r="IO106" t="n">
        <v>5.215118948215616</v>
      </c>
      <c r="IP106" t="n">
        <v>5.241447688112394</v>
      </c>
      <c r="IQ106" t="n">
        <v>5.234076373250736</v>
      </c>
      <c r="IR106" t="n">
        <v>5.463085</v>
      </c>
      <c r="IS106" t="n">
        <v>5.31061</v>
      </c>
      <c r="KH106" t="n">
        <v>5.271</v>
      </c>
      <c r="KS106" t="n">
        <v>-11.41</v>
      </c>
      <c r="LD106" t="n">
        <v>1.56</v>
      </c>
    </row>
    <row r="107">
      <c r="A107" t="inlineStr">
        <is>
          <t>2026-06-09</t>
        </is>
      </c>
      <c r="B107" t="inlineStr">
        <is>
          <t>Diagnosis Plus 27</t>
        </is>
      </c>
      <c r="C107" t="inlineStr">
        <is>
          <t>105126060901</t>
        </is>
      </c>
      <c r="D107" t="inlineStr">
        <is>
          <t>GLU</t>
        </is>
      </c>
      <c r="F107" t="n">
        <v>8</v>
      </c>
      <c r="G107" t="n">
        <v>90.16</v>
      </c>
      <c r="H107" t="n">
        <v>811.4399999999999</v>
      </c>
      <c r="I107" t="n">
        <v>-631.12</v>
      </c>
      <c r="J107" t="n">
        <v>89.36579999999999</v>
      </c>
      <c r="K107" t="n">
        <v>88.09064499999999</v>
      </c>
      <c r="L107" t="n">
        <v>92.82586999999999</v>
      </c>
      <c r="M107" t="n">
        <v>88.681496</v>
      </c>
      <c r="N107" t="n">
        <v>91.4143062132661</v>
      </c>
      <c r="O107" t="n">
        <v>87.88684643388677</v>
      </c>
      <c r="P107" t="n">
        <v>89.12668497108633</v>
      </c>
      <c r="Q107" t="n">
        <v>91.942314</v>
      </c>
      <c r="R107" t="n">
        <v>90.820435</v>
      </c>
      <c r="BH107" t="n">
        <v>90.226</v>
      </c>
      <c r="BS107" t="n">
        <v>0.07000000000000001</v>
      </c>
      <c r="CD107" t="n">
        <v>1.9</v>
      </c>
      <c r="CF107" t="n">
        <v>8</v>
      </c>
      <c r="CG107" t="n">
        <v>293.02</v>
      </c>
      <c r="CH107" t="n">
        <v>2637.18</v>
      </c>
      <c r="CI107" t="n">
        <v>-2051.14</v>
      </c>
      <c r="CJ107" t="n">
        <v>291.16064</v>
      </c>
      <c r="CK107" t="n">
        <v>298.0575</v>
      </c>
      <c r="CL107" t="n">
        <v>290.44934</v>
      </c>
      <c r="CM107" t="n">
        <v>303.2517</v>
      </c>
      <c r="CN107" t="n">
        <v>298.4623132855981</v>
      </c>
      <c r="CO107" t="n">
        <v>293.0133909522432</v>
      </c>
      <c r="CP107" t="n">
        <v>296.96255</v>
      </c>
      <c r="CQ107" t="n">
        <v>300.2565</v>
      </c>
      <c r="CR107" t="n">
        <v>299.70374</v>
      </c>
      <c r="EH107" t="n">
        <v>296.813</v>
      </c>
      <c r="ES107" t="n">
        <v>1.29</v>
      </c>
      <c r="FD107" t="n">
        <v>1.39</v>
      </c>
      <c r="FF107" t="n">
        <v>8</v>
      </c>
      <c r="FG107" t="n">
        <v>65.66</v>
      </c>
      <c r="FH107" t="n">
        <v>590.9399999999999</v>
      </c>
      <c r="FI107" t="n">
        <v>-459.62</v>
      </c>
      <c r="FJ107" t="n">
        <v>64.87051</v>
      </c>
      <c r="FK107" t="n">
        <v>65.06480999999999</v>
      </c>
      <c r="FL107" t="n">
        <v>66.85249</v>
      </c>
      <c r="FM107" t="n">
        <v>66.618996</v>
      </c>
      <c r="FN107" t="n">
        <v>66.42872724750517</v>
      </c>
      <c r="FO107" t="n">
        <v>67.02415636005567</v>
      </c>
      <c r="FP107" t="n">
        <v>65.14914812574688</v>
      </c>
      <c r="FQ107" t="n">
        <v>65.54820093530373</v>
      </c>
      <c r="FR107" t="n">
        <v>64.89422821427299</v>
      </c>
      <c r="FS107" t="n">
        <v>66.429535</v>
      </c>
      <c r="FT107" t="n">
        <v>65.82828499999999</v>
      </c>
      <c r="HH107" t="n">
        <v>65.893</v>
      </c>
      <c r="HS107" t="n">
        <v>0.36</v>
      </c>
      <c r="ID107" t="n">
        <v>1.14</v>
      </c>
      <c r="IF107" t="n">
        <v>8</v>
      </c>
      <c r="IG107" t="n">
        <v>359.66</v>
      </c>
      <c r="IH107" t="n">
        <v>3236.94</v>
      </c>
      <c r="II107" t="n">
        <v>-2517.62</v>
      </c>
      <c r="IJ107" t="n">
        <v>360.1648</v>
      </c>
      <c r="IK107" t="n">
        <v>359.1119</v>
      </c>
      <c r="IL107" t="n">
        <v>361.55106</v>
      </c>
      <c r="IM107" t="n">
        <v>359.45746</v>
      </c>
      <c r="IN107" t="n">
        <v>356.3380381057391</v>
      </c>
      <c r="IO107" t="n">
        <v>357.3572793418369</v>
      </c>
      <c r="IP107" t="n">
        <v>352.6738464083863</v>
      </c>
      <c r="IQ107" t="n">
        <v>348.966537268704</v>
      </c>
      <c r="IR107" t="n">
        <v>370.16837</v>
      </c>
      <c r="IS107" t="n">
        <v>371.21732</v>
      </c>
      <c r="KH107" t="n">
        <v>359.74</v>
      </c>
      <c r="KS107" t="n">
        <v>0.02</v>
      </c>
      <c r="LD107" t="n">
        <v>1.73</v>
      </c>
    </row>
    <row r="108">
      <c r="A108" t="inlineStr">
        <is>
          <t>2026-06-09</t>
        </is>
      </c>
      <c r="B108" t="inlineStr">
        <is>
          <t>Diagnosis Plus 27</t>
        </is>
      </c>
      <c r="C108" t="inlineStr">
        <is>
          <t>105126060901</t>
        </is>
      </c>
      <c r="D108" t="inlineStr">
        <is>
          <t>TP</t>
        </is>
      </c>
      <c r="F108" t="n">
        <v>8</v>
      </c>
      <c r="G108" t="n">
        <v>6.4</v>
      </c>
      <c r="H108" t="n">
        <v>57.6</v>
      </c>
      <c r="I108" t="n">
        <v>-44.8</v>
      </c>
      <c r="J108" t="n">
        <v>6.313623</v>
      </c>
      <c r="K108" t="n">
        <v>6.2253547</v>
      </c>
      <c r="L108" t="n">
        <v>6.4689126</v>
      </c>
      <c r="M108" t="n">
        <v>6.247498</v>
      </c>
      <c r="N108" t="n">
        <v>6.365834477581594</v>
      </c>
      <c r="O108" t="n">
        <v>6.254756741638267</v>
      </c>
      <c r="P108" t="n">
        <v>6.335231643362706</v>
      </c>
      <c r="Q108" t="n">
        <v>6.348725</v>
      </c>
      <c r="R108" t="n">
        <v>6.2159595</v>
      </c>
      <c r="BH108" t="n">
        <v>6.317</v>
      </c>
      <c r="BS108" t="n">
        <v>-1.29</v>
      </c>
      <c r="CD108" t="n">
        <v>1.23</v>
      </c>
      <c r="CF108" t="n">
        <v>8</v>
      </c>
      <c r="CG108" t="n">
        <v>4.1</v>
      </c>
      <c r="CH108" t="n">
        <v>36.9</v>
      </c>
      <c r="CI108" t="n">
        <v>-28.7</v>
      </c>
      <c r="CJ108" t="n">
        <v>4.1611514</v>
      </c>
      <c r="CK108" t="n">
        <v>4.3564954</v>
      </c>
      <c r="CL108" t="n">
        <v>4.229297</v>
      </c>
      <c r="CM108" t="n">
        <v>4.220268</v>
      </c>
      <c r="CN108" t="n">
        <v>4.317114213034634</v>
      </c>
      <c r="CO108" t="n">
        <v>4.243204410467996</v>
      </c>
      <c r="CP108" t="n">
        <v>4.1817784</v>
      </c>
      <c r="CQ108" t="n">
        <v>4.295493</v>
      </c>
      <c r="CR108" t="n">
        <v>4.3911223</v>
      </c>
      <c r="EH108" t="n">
        <v>4.266</v>
      </c>
      <c r="ES108" t="n">
        <v>4.05</v>
      </c>
      <c r="FD108" t="n">
        <v>1.74</v>
      </c>
      <c r="FF108" t="n">
        <v>8</v>
      </c>
      <c r="FG108" t="n">
        <v>4.2</v>
      </c>
      <c r="FH108" t="n">
        <v>37.8</v>
      </c>
      <c r="FI108" t="n">
        <v>-29.4</v>
      </c>
      <c r="FJ108" t="n">
        <v>3.8699074</v>
      </c>
      <c r="FK108" t="n">
        <v>3.8394659</v>
      </c>
      <c r="FL108" t="n">
        <v>3.9632785</v>
      </c>
      <c r="FM108" t="n">
        <v>4.0282393</v>
      </c>
      <c r="FN108" t="n">
        <v>4.010823324154091</v>
      </c>
      <c r="FO108" t="n">
        <v>4.014505959751092</v>
      </c>
      <c r="FP108" t="n">
        <v>3.907304925033506</v>
      </c>
      <c r="FQ108" t="n">
        <v>3.999237251375183</v>
      </c>
      <c r="FR108" t="n">
        <v>3.901842083285256</v>
      </c>
      <c r="FS108" t="n">
        <v>3.9547484</v>
      </c>
      <c r="FT108" t="n">
        <v>3.9484324</v>
      </c>
      <c r="HH108" t="n">
        <v>3.95</v>
      </c>
      <c r="HS108" t="n">
        <v>-5.96</v>
      </c>
      <c r="ID108" t="n">
        <v>1.45</v>
      </c>
      <c r="IF108" t="n">
        <v>8</v>
      </c>
      <c r="IG108" t="n">
        <v>7.5</v>
      </c>
      <c r="IH108" t="n">
        <v>67.5</v>
      </c>
      <c r="II108" t="n">
        <v>-52.5</v>
      </c>
      <c r="IJ108" t="n">
        <v>7.288769</v>
      </c>
      <c r="IK108" t="n">
        <v>7.2311277</v>
      </c>
      <c r="IL108" t="n">
        <v>7.281242</v>
      </c>
      <c r="IM108" t="n">
        <v>7.098762</v>
      </c>
      <c r="IN108" t="n">
        <v>7.376192897151143</v>
      </c>
      <c r="IO108" t="n">
        <v>7.320412785867659</v>
      </c>
      <c r="IP108" t="n">
        <v>7.281368328862988</v>
      </c>
      <c r="IQ108" t="n">
        <v>7.288476256438662</v>
      </c>
      <c r="IR108" t="n">
        <v>7.4430404</v>
      </c>
      <c r="IS108" t="n">
        <v>7.348141</v>
      </c>
      <c r="KH108" t="n">
        <v>7.286</v>
      </c>
      <c r="KS108" t="n">
        <v>-2.85</v>
      </c>
      <c r="LD108" t="n">
        <v>1.21</v>
      </c>
    </row>
    <row r="109">
      <c r="A109" t="inlineStr">
        <is>
          <t>2026-06-08</t>
        </is>
      </c>
      <c r="B109" t="inlineStr">
        <is>
          <t>General Chem 26</t>
        </is>
      </c>
      <c r="C109" t="inlineStr">
        <is>
          <t>205426060801</t>
        </is>
      </c>
      <c r="D109" t="inlineStr">
        <is>
          <t>AMY</t>
        </is>
      </c>
      <c r="F109" t="n">
        <v>10</v>
      </c>
      <c r="G109" t="n">
        <v>78</v>
      </c>
      <c r="H109" t="n">
        <v>858</v>
      </c>
      <c r="I109" t="n">
        <v>-702</v>
      </c>
      <c r="J109" t="n">
        <v>76.56983256974479</v>
      </c>
      <c r="K109" t="n">
        <v>76.56940761801039</v>
      </c>
      <c r="L109" t="n">
        <v>74.53735083385132</v>
      </c>
      <c r="M109" t="n">
        <v>77.36535773825287</v>
      </c>
      <c r="N109" t="n">
        <v>77.19555</v>
      </c>
      <c r="O109" t="n">
        <v>78.64102</v>
      </c>
      <c r="P109" t="n">
        <v>76.17338599999999</v>
      </c>
      <c r="Q109" t="n">
        <v>75.80512</v>
      </c>
      <c r="R109" t="n">
        <v>76.439156</v>
      </c>
      <c r="BH109" t="n">
        <v>76.879</v>
      </c>
      <c r="BS109" t="n">
        <v>-1.44</v>
      </c>
      <c r="CD109" t="n">
        <v>1.73</v>
      </c>
      <c r="CF109" t="n">
        <v>10</v>
      </c>
      <c r="CG109" t="n">
        <v>404</v>
      </c>
      <c r="CH109" t="n">
        <v>4444</v>
      </c>
      <c r="CI109" t="n">
        <v>-3636</v>
      </c>
      <c r="CJ109" t="n">
        <v>409.1886725032327</v>
      </c>
      <c r="CK109" t="n">
        <v>402.3053419077169</v>
      </c>
      <c r="CL109" t="n">
        <v>397.3550515582681</v>
      </c>
      <c r="CM109" t="n">
        <v>398.7725699795766</v>
      </c>
      <c r="CN109" t="n">
        <v>418.91754</v>
      </c>
      <c r="CO109" t="n">
        <v>416.2763</v>
      </c>
      <c r="CP109" t="n">
        <v>399.05518</v>
      </c>
      <c r="CQ109" t="n">
        <v>397.21515</v>
      </c>
      <c r="CR109" t="n">
        <v>398.84277</v>
      </c>
      <c r="EH109" t="n">
        <v>404.214</v>
      </c>
      <c r="ES109" t="n">
        <v>0.05</v>
      </c>
      <c r="FD109" t="n">
        <v>1.97</v>
      </c>
      <c r="FF109" t="n">
        <v>10</v>
      </c>
      <c r="FG109" t="n">
        <v>63</v>
      </c>
      <c r="FH109" t="n">
        <v>693</v>
      </c>
      <c r="FI109" t="n">
        <v>-567</v>
      </c>
      <c r="FJ109" t="n">
        <v>63.73439110784921</v>
      </c>
      <c r="FK109" t="n">
        <v>65.34074835871195</v>
      </c>
      <c r="FL109" t="n">
        <v>64.73421999999999</v>
      </c>
      <c r="FM109" t="n">
        <v>64.25973500000001</v>
      </c>
      <c r="FN109" t="n">
        <v>300.8533</v>
      </c>
      <c r="FO109" t="n">
        <v>296.1743</v>
      </c>
      <c r="FP109" t="n">
        <v>64.71017500000001</v>
      </c>
      <c r="FQ109" t="n">
        <v>63.62791</v>
      </c>
      <c r="FR109" t="n">
        <v>64.2807</v>
      </c>
      <c r="FS109" t="n">
        <v>64.73058</v>
      </c>
      <c r="HH109" t="n">
        <v>111.245</v>
      </c>
      <c r="HS109" t="n">
        <v>76.58</v>
      </c>
      <c r="ID109" t="n">
        <v>84.18000000000001</v>
      </c>
      <c r="IF109" t="n">
        <v>10</v>
      </c>
      <c r="IG109" t="n">
        <v>297</v>
      </c>
      <c r="IH109" t="n">
        <v>3267</v>
      </c>
      <c r="II109" t="n">
        <v>-2673</v>
      </c>
      <c r="IJ109" t="n">
        <v>305.79587</v>
      </c>
      <c r="IK109" t="n">
        <v>300.53128</v>
      </c>
      <c r="IL109" t="n">
        <v>297.71182</v>
      </c>
      <c r="IM109" t="n">
        <v>297.50208</v>
      </c>
      <c r="IN109" t="n">
        <v>295.61902</v>
      </c>
      <c r="IO109" t="n">
        <v>301.053</v>
      </c>
      <c r="IP109" t="n">
        <v>295.3468428298007</v>
      </c>
      <c r="IQ109" t="n">
        <v>301.1466311890262</v>
      </c>
      <c r="IR109" t="n">
        <v>304.6675</v>
      </c>
      <c r="IS109" t="n">
        <v>304.36188</v>
      </c>
      <c r="KH109" t="n">
        <v>300.84</v>
      </c>
      <c r="KS109" t="n">
        <v>1.29</v>
      </c>
      <c r="LD109" t="n">
        <v>1.24</v>
      </c>
    </row>
    <row r="110">
      <c r="A110" t="inlineStr">
        <is>
          <t>2026-06-08</t>
        </is>
      </c>
      <c r="B110" t="inlineStr">
        <is>
          <t>General Chem 26</t>
        </is>
      </c>
      <c r="C110" t="inlineStr">
        <is>
          <t>205426060801</t>
        </is>
      </c>
      <c r="D110" t="inlineStr">
        <is>
          <t>AST</t>
        </is>
      </c>
      <c r="F110" t="n">
        <v>15</v>
      </c>
      <c r="G110" t="n">
        <v>44</v>
      </c>
      <c r="H110" t="n">
        <v>704</v>
      </c>
      <c r="I110" t="n">
        <v>-616</v>
      </c>
      <c r="J110" t="n">
        <v>42.8513741424485</v>
      </c>
      <c r="K110" t="n">
        <v>42.64549558000196</v>
      </c>
      <c r="L110" t="n">
        <v>40.74332987177254</v>
      </c>
      <c r="M110" t="n">
        <v>43.9982781550581</v>
      </c>
      <c r="N110" t="n">
        <v>44.506092</v>
      </c>
      <c r="O110" t="n">
        <v>42.41216</v>
      </c>
      <c r="P110" t="n">
        <v>43.464806</v>
      </c>
      <c r="Q110" t="n">
        <v>41.847942</v>
      </c>
      <c r="R110" t="n">
        <v>45.240208</v>
      </c>
      <c r="BH110" t="n">
        <v>43.089</v>
      </c>
      <c r="BS110" t="n">
        <v>-2.07</v>
      </c>
      <c r="CD110" t="n">
        <v>2.88</v>
      </c>
      <c r="CF110" t="n">
        <v>15</v>
      </c>
      <c r="CG110" t="n">
        <v>221</v>
      </c>
      <c r="CH110" t="n">
        <v>3536</v>
      </c>
      <c r="CI110" t="n">
        <v>-3094</v>
      </c>
      <c r="CJ110" t="n">
        <v>226.1825756423855</v>
      </c>
      <c r="CK110" t="n">
        <v>228.772025725975</v>
      </c>
      <c r="CL110" t="n">
        <v>228.8676222415463</v>
      </c>
      <c r="CM110" t="n">
        <v>229.740070432332</v>
      </c>
      <c r="CN110" t="n">
        <v>236.72604</v>
      </c>
      <c r="CO110" t="n">
        <v>238.2826</v>
      </c>
      <c r="CP110" t="n">
        <v>224.91125</v>
      </c>
      <c r="CQ110" t="n">
        <v>221.89098</v>
      </c>
      <c r="CR110" t="n">
        <v>220.45064</v>
      </c>
      <c r="EH110" t="n">
        <v>228.425</v>
      </c>
      <c r="ES110" t="n">
        <v>3.36</v>
      </c>
      <c r="FD110" t="n">
        <v>2.49</v>
      </c>
      <c r="FF110" t="n">
        <v>15</v>
      </c>
      <c r="FG110" t="n">
        <v>45</v>
      </c>
      <c r="FH110" t="n">
        <v>720</v>
      </c>
      <c r="FI110" t="n">
        <v>-630</v>
      </c>
      <c r="FJ110" t="n">
        <v>45.30913493952271</v>
      </c>
      <c r="FK110" t="n">
        <v>45.89767038885478</v>
      </c>
      <c r="FL110" t="n">
        <v>46.343487</v>
      </c>
      <c r="FM110" t="n">
        <v>45.25163</v>
      </c>
      <c r="FN110" t="n">
        <v>292.56094</v>
      </c>
      <c r="FO110" t="n">
        <v>284.535</v>
      </c>
      <c r="FP110" t="n">
        <v>43.99688</v>
      </c>
      <c r="FQ110" t="n">
        <v>44.03755</v>
      </c>
      <c r="FR110" t="n">
        <v>44.708237</v>
      </c>
      <c r="FS110" t="n">
        <v>45.17294</v>
      </c>
      <c r="HH110" t="n">
        <v>93.78100000000001</v>
      </c>
      <c r="HS110" t="n">
        <v>108.4</v>
      </c>
      <c r="ID110" t="n">
        <v>103.86</v>
      </c>
      <c r="IF110" t="n">
        <v>15</v>
      </c>
      <c r="IG110" t="n">
        <v>282</v>
      </c>
      <c r="IH110" t="n">
        <v>4512</v>
      </c>
      <c r="II110" t="n">
        <v>-3948</v>
      </c>
      <c r="IJ110" t="n">
        <v>290.40314</v>
      </c>
      <c r="IK110" t="n">
        <v>282.1049</v>
      </c>
      <c r="IL110" t="n">
        <v>289.10056</v>
      </c>
      <c r="IM110" t="n">
        <v>287.60553</v>
      </c>
      <c r="IN110" t="n">
        <v>279.1704</v>
      </c>
      <c r="IO110" t="n">
        <v>283.50037</v>
      </c>
      <c r="IP110" t="n">
        <v>290.1212392299395</v>
      </c>
      <c r="IQ110" t="n">
        <v>296.3812053170507</v>
      </c>
      <c r="IR110" t="n">
        <v>300.84683</v>
      </c>
      <c r="IS110" t="n">
        <v>303.4112</v>
      </c>
      <c r="KH110" t="n">
        <v>291.356</v>
      </c>
      <c r="KS110" t="n">
        <v>3.32</v>
      </c>
      <c r="LD110" t="n">
        <v>2.73</v>
      </c>
    </row>
    <row r="111">
      <c r="A111" t="inlineStr">
        <is>
          <t>2026-06-08</t>
        </is>
      </c>
      <c r="B111" t="inlineStr">
        <is>
          <t>General Chem 26</t>
        </is>
      </c>
      <c r="C111" t="inlineStr">
        <is>
          <t>205426060801</t>
        </is>
      </c>
      <c r="D111" t="inlineStr">
        <is>
          <t>CHOL</t>
        </is>
      </c>
      <c r="F111" t="n">
        <v>10</v>
      </c>
      <c r="G111" t="n">
        <v>228</v>
      </c>
      <c r="H111" t="n">
        <v>2508</v>
      </c>
      <c r="I111" t="n">
        <v>-2052</v>
      </c>
      <c r="J111" t="n">
        <v>231.3727850228177</v>
      </c>
      <c r="K111" t="n">
        <v>232.0801444005792</v>
      </c>
      <c r="L111" t="n">
        <v>232.0366797098987</v>
      </c>
      <c r="M111" t="n">
        <v>230.7039562288142</v>
      </c>
      <c r="N111" t="n">
        <v>233.38893</v>
      </c>
      <c r="O111" t="n">
        <v>234.76271</v>
      </c>
      <c r="P111" t="n">
        <v>239.20999</v>
      </c>
      <c r="Q111" t="n">
        <v>232.65808</v>
      </c>
      <c r="R111" t="n">
        <v>238.90248</v>
      </c>
      <c r="BH111" t="n">
        <v>234.303</v>
      </c>
      <c r="BS111" t="n">
        <v>2.76</v>
      </c>
      <c r="CD111" t="n">
        <v>1.31</v>
      </c>
      <c r="CF111" t="n">
        <v>10</v>
      </c>
      <c r="CG111" t="n">
        <v>99</v>
      </c>
      <c r="CH111" t="n">
        <v>1089</v>
      </c>
      <c r="CI111" t="n">
        <v>-891</v>
      </c>
      <c r="CJ111" t="n">
        <v>99.41269502881943</v>
      </c>
      <c r="CK111" t="n">
        <v>98.61143537019069</v>
      </c>
      <c r="CL111" t="n">
        <v>97.87799238764029</v>
      </c>
      <c r="CM111" t="n">
        <v>98.67355708003268</v>
      </c>
      <c r="CN111" t="n">
        <v>99.307785</v>
      </c>
      <c r="CO111" t="n">
        <v>101.19391</v>
      </c>
      <c r="CP111" t="n">
        <v>98.820335</v>
      </c>
      <c r="CQ111" t="n">
        <v>97.110985</v>
      </c>
      <c r="CR111" t="n">
        <v>98.823235</v>
      </c>
      <c r="EH111" t="n">
        <v>98.87</v>
      </c>
      <c r="ES111" t="n">
        <v>-0.13</v>
      </c>
      <c r="FD111" t="n">
        <v>1.07</v>
      </c>
      <c r="FF111" t="n">
        <v>10</v>
      </c>
      <c r="FG111" t="n">
        <v>115</v>
      </c>
      <c r="FH111" t="n">
        <v>1265</v>
      </c>
      <c r="FI111" t="n">
        <v>-1035</v>
      </c>
      <c r="FJ111" t="n">
        <v>111.2336766845935</v>
      </c>
      <c r="FK111" t="n">
        <v>114.483581785375</v>
      </c>
      <c r="FL111" t="n">
        <v>114.73171</v>
      </c>
      <c r="FM111" t="n">
        <v>115.23269</v>
      </c>
      <c r="FN111" t="n">
        <v>265.73303</v>
      </c>
      <c r="FO111" t="n">
        <v>263.09012</v>
      </c>
      <c r="FP111" t="n">
        <v>114.685974</v>
      </c>
      <c r="FQ111" t="n">
        <v>110.38936</v>
      </c>
      <c r="FR111" t="n">
        <v>115.81965</v>
      </c>
      <c r="FS111" t="n">
        <v>112.30322</v>
      </c>
      <c r="HH111" t="n">
        <v>143.77</v>
      </c>
      <c r="HS111" t="n">
        <v>25.02</v>
      </c>
      <c r="ID111" t="n">
        <v>41.97</v>
      </c>
      <c r="IF111" t="n">
        <v>10</v>
      </c>
      <c r="IG111" t="n">
        <v>269</v>
      </c>
      <c r="IH111" t="n">
        <v>2959</v>
      </c>
      <c r="II111" t="n">
        <v>-2421</v>
      </c>
      <c r="IJ111" t="n">
        <v>274.43674</v>
      </c>
      <c r="IK111" t="n">
        <v>269.4344</v>
      </c>
      <c r="IL111" t="n">
        <v>264.53867</v>
      </c>
      <c r="IM111" t="n">
        <v>266.42834</v>
      </c>
      <c r="IN111" t="n">
        <v>263.39032</v>
      </c>
      <c r="IO111" t="n">
        <v>265.7436</v>
      </c>
      <c r="IP111" t="n">
        <v>270.2444363749425</v>
      </c>
      <c r="IQ111" t="n">
        <v>266.3132858249789</v>
      </c>
      <c r="IR111" t="n">
        <v>271.15823</v>
      </c>
      <c r="IS111" t="n">
        <v>271.76184</v>
      </c>
      <c r="KH111" t="n">
        <v>268.438</v>
      </c>
      <c r="KS111" t="n">
        <v>-0.21</v>
      </c>
      <c r="LD111" t="n">
        <v>1.21</v>
      </c>
    </row>
    <row r="112">
      <c r="A112" t="inlineStr">
        <is>
          <t>2026-06-08</t>
        </is>
      </c>
      <c r="B112" t="inlineStr">
        <is>
          <t>General Chem 26</t>
        </is>
      </c>
      <c r="C112" t="inlineStr">
        <is>
          <t>205426060801</t>
        </is>
      </c>
      <c r="D112" t="inlineStr">
        <is>
          <t>CK</t>
        </is>
      </c>
      <c r="F112" t="n">
        <v>20</v>
      </c>
      <c r="J112" t="n">
        <v>135.7846392425049</v>
      </c>
      <c r="K112" t="n">
        <v>137.8840288011743</v>
      </c>
      <c r="L112" t="n">
        <v>135.7718009670374</v>
      </c>
      <c r="M112" t="n">
        <v>136.8941933747332</v>
      </c>
      <c r="N112" t="n">
        <v>139.73538</v>
      </c>
      <c r="O112" t="n">
        <v>135.22441</v>
      </c>
      <c r="P112" t="n">
        <v>139.43967</v>
      </c>
      <c r="Q112" t="n">
        <v>140.0146</v>
      </c>
      <c r="R112" t="n">
        <v>143.15167</v>
      </c>
      <c r="BH112" t="n">
        <v>138.583</v>
      </c>
      <c r="CD112" t="n">
        <v>1.86</v>
      </c>
      <c r="CF112" t="n">
        <v>20</v>
      </c>
      <c r="CJ112" t="n">
        <v>477.1825861401814</v>
      </c>
      <c r="CK112" t="n">
        <v>486.7640247762124</v>
      </c>
      <c r="CL112" t="n">
        <v>480.4816249021903</v>
      </c>
      <c r="CM112" t="n">
        <v>497.0051212089454</v>
      </c>
      <c r="CN112" t="n">
        <v>533.9455</v>
      </c>
      <c r="CO112" t="n">
        <v>509.60785</v>
      </c>
      <c r="CP112" t="n">
        <v>483.4859</v>
      </c>
      <c r="CQ112" t="n">
        <v>485.6846</v>
      </c>
      <c r="CR112" t="n">
        <v>480.58527</v>
      </c>
      <c r="EH112" t="n">
        <v>492.749</v>
      </c>
      <c r="FD112" t="n">
        <v>3.52</v>
      </c>
      <c r="FF112" t="n">
        <v>20</v>
      </c>
      <c r="FJ112" t="n">
        <v>73.94155036184921</v>
      </c>
      <c r="FK112" t="n">
        <v>74.73981217894621</v>
      </c>
      <c r="FL112" t="n">
        <v>75.00642999999999</v>
      </c>
      <c r="FM112" t="n">
        <v>75.95065</v>
      </c>
      <c r="FN112" t="n">
        <v>656.86005</v>
      </c>
      <c r="FO112" t="n">
        <v>643.41034</v>
      </c>
      <c r="FP112" t="n">
        <v>74.76768</v>
      </c>
      <c r="FQ112" t="n">
        <v>73.51836</v>
      </c>
      <c r="FR112" t="n">
        <v>80.16607999999999</v>
      </c>
      <c r="FS112" t="n">
        <v>77.76955</v>
      </c>
      <c r="HH112" t="n">
        <v>190.613</v>
      </c>
      <c r="ID112" t="n">
        <v>120.55</v>
      </c>
      <c r="IF112" t="n">
        <v>20</v>
      </c>
      <c r="IJ112" t="n">
        <v>657.72943</v>
      </c>
      <c r="IK112" t="n">
        <v>638.2063000000001</v>
      </c>
      <c r="IL112" t="n">
        <v>646.5682</v>
      </c>
      <c r="IM112" t="n">
        <v>658.0082</v>
      </c>
      <c r="IN112" t="n">
        <v>646.64795</v>
      </c>
      <c r="IO112" t="n">
        <v>631.18274</v>
      </c>
      <c r="IP112" t="n">
        <v>667.4728461353527</v>
      </c>
      <c r="IQ112" t="n">
        <v>644.5487581624011</v>
      </c>
      <c r="IR112" t="n">
        <v>688.7143</v>
      </c>
      <c r="IS112" t="n">
        <v>680.088</v>
      </c>
      <c r="KH112" t="n">
        <v>658.9299999999999</v>
      </c>
      <c r="LD112" t="n">
        <v>2.9</v>
      </c>
    </row>
    <row r="113">
      <c r="A113" t="inlineStr">
        <is>
          <t>2026-06-08</t>
        </is>
      </c>
      <c r="B113" t="inlineStr">
        <is>
          <t>General Chem 26</t>
        </is>
      </c>
      <c r="C113" t="inlineStr">
        <is>
          <t>205426060801</t>
        </is>
      </c>
      <c r="D113" t="inlineStr">
        <is>
          <t>Ca</t>
        </is>
      </c>
      <c r="G113" t="n">
        <v>9.1</v>
      </c>
      <c r="J113" t="n">
        <v>9.323484499115276</v>
      </c>
      <c r="K113" t="n">
        <v>9.404440614263306</v>
      </c>
      <c r="L113" t="n">
        <v>9.591439937623973</v>
      </c>
      <c r="M113" t="n">
        <v>9.470626597955803</v>
      </c>
      <c r="N113" t="n">
        <v>9.178610000000001</v>
      </c>
      <c r="O113" t="n">
        <v>9.546101</v>
      </c>
      <c r="P113" t="n">
        <v>9.320155</v>
      </c>
      <c r="Q113" t="n">
        <v>9.564919</v>
      </c>
      <c r="R113" t="n">
        <v>9.463630999999999</v>
      </c>
      <c r="BH113" t="n">
        <v>9.449</v>
      </c>
      <c r="BS113" t="n">
        <v>3.83</v>
      </c>
      <c r="CD113" t="n">
        <v>1.43</v>
      </c>
      <c r="CG113" t="n">
        <v>12.4</v>
      </c>
      <c r="CJ113" t="n">
        <v>12.63913641816116</v>
      </c>
      <c r="CK113" t="n">
        <v>12.64816937472342</v>
      </c>
      <c r="CL113" t="n">
        <v>12.24592909047329</v>
      </c>
      <c r="CM113" t="n">
        <v>12.46947182358545</v>
      </c>
      <c r="CN113" t="n">
        <v>12.44667</v>
      </c>
      <c r="CO113" t="n">
        <v>12.625475</v>
      </c>
      <c r="CP113" t="n">
        <v>12.694366</v>
      </c>
      <c r="CQ113" t="n">
        <v>12.335386</v>
      </c>
      <c r="CR113" t="n">
        <v>12.417863</v>
      </c>
      <c r="EH113" t="n">
        <v>12.502</v>
      </c>
      <c r="ES113" t="n">
        <v>0.83</v>
      </c>
      <c r="FD113" t="n">
        <v>1.18</v>
      </c>
      <c r="FG113" t="n">
        <v>5.9</v>
      </c>
      <c r="FJ113" t="n">
        <v>5.641354997034529</v>
      </c>
      <c r="FK113" t="n">
        <v>6.031538231917864</v>
      </c>
      <c r="FL113" t="n">
        <v>5.7808766</v>
      </c>
      <c r="FM113" t="n">
        <v>5.6520667</v>
      </c>
      <c r="FN113" t="n">
        <v>12.674732</v>
      </c>
      <c r="FO113" t="n">
        <v>12.357432</v>
      </c>
      <c r="FP113" t="n">
        <v>5.732629</v>
      </c>
      <c r="FQ113" t="n">
        <v>5.7616644</v>
      </c>
      <c r="FR113" t="n">
        <v>6.0518746</v>
      </c>
      <c r="FS113" t="n">
        <v>5.634785</v>
      </c>
      <c r="HH113" t="n">
        <v>7.132</v>
      </c>
      <c r="HS113" t="n">
        <v>20.88</v>
      </c>
      <c r="ID113" t="n">
        <v>37.81</v>
      </c>
      <c r="IG113" t="n">
        <v>12.7</v>
      </c>
      <c r="IJ113" t="n">
        <v>12.555045</v>
      </c>
      <c r="IK113" t="n">
        <v>13.670315</v>
      </c>
      <c r="IL113" t="n">
        <v>12.610098</v>
      </c>
      <c r="IM113" t="n">
        <v>13.208798</v>
      </c>
      <c r="IN113" t="n">
        <v>13.040683</v>
      </c>
      <c r="IO113" t="n">
        <v>12.453027</v>
      </c>
      <c r="IP113" t="n">
        <v>12.46870568618372</v>
      </c>
      <c r="IQ113" t="n">
        <v>12.79418942945428</v>
      </c>
      <c r="IR113" t="n">
        <v>12.462206</v>
      </c>
      <c r="IS113" t="n">
        <v>12.866965</v>
      </c>
      <c r="KH113" t="n">
        <v>12.814</v>
      </c>
      <c r="KS113" t="n">
        <v>0.9</v>
      </c>
      <c r="LD113" t="n">
        <v>2.81</v>
      </c>
    </row>
    <row r="114">
      <c r="A114" t="inlineStr">
        <is>
          <t>2026-06-08</t>
        </is>
      </c>
      <c r="B114" t="inlineStr">
        <is>
          <t>General Chem 26</t>
        </is>
      </c>
      <c r="C114" t="inlineStr">
        <is>
          <t>205426060801</t>
        </is>
      </c>
      <c r="D114" t="inlineStr">
        <is>
          <t>GGT</t>
        </is>
      </c>
      <c r="F114" t="n">
        <v>15</v>
      </c>
      <c r="G114" t="n">
        <v>57</v>
      </c>
      <c r="H114" t="n">
        <v>912</v>
      </c>
      <c r="I114" t="n">
        <v>-798</v>
      </c>
      <c r="J114" t="n">
        <v>64.2752004457664</v>
      </c>
      <c r="K114" t="n">
        <v>60.40261935312812</v>
      </c>
      <c r="L114" t="n">
        <v>59.82899909829346</v>
      </c>
      <c r="M114" t="n">
        <v>59.2652792377857</v>
      </c>
      <c r="N114" t="n">
        <v>61.18609</v>
      </c>
      <c r="O114" t="n">
        <v>60.64326</v>
      </c>
      <c r="P114" t="n">
        <v>60.445114</v>
      </c>
      <c r="Q114" t="n">
        <v>61.042206</v>
      </c>
      <c r="R114" t="n">
        <v>62.69952</v>
      </c>
      <c r="BH114" t="n">
        <v>61.349</v>
      </c>
      <c r="BS114" t="n">
        <v>7.63</v>
      </c>
      <c r="CD114" t="n">
        <v>2.57</v>
      </c>
      <c r="CF114" t="n">
        <v>15</v>
      </c>
      <c r="CG114" t="n">
        <v>164</v>
      </c>
      <c r="CH114" t="n">
        <v>2624</v>
      </c>
      <c r="CI114" t="n">
        <v>-2296</v>
      </c>
      <c r="CJ114" t="n">
        <v>174.2684167941021</v>
      </c>
      <c r="CK114" t="n">
        <v>173.0152180846652</v>
      </c>
      <c r="CL114" t="n">
        <v>172.5283612538035</v>
      </c>
      <c r="CM114" t="n">
        <v>172.0167973225245</v>
      </c>
      <c r="CN114" t="n">
        <v>181.77429</v>
      </c>
      <c r="CO114" t="n">
        <v>179.2462</v>
      </c>
      <c r="CP114" t="n">
        <v>175.40251</v>
      </c>
      <c r="CQ114" t="n">
        <v>171.29755</v>
      </c>
      <c r="CR114" t="n">
        <v>170.55644</v>
      </c>
      <c r="EH114" t="n">
        <v>174.456</v>
      </c>
      <c r="ES114" t="n">
        <v>6.38</v>
      </c>
      <c r="FD114" t="n">
        <v>2.04</v>
      </c>
      <c r="FF114" t="n">
        <v>15</v>
      </c>
      <c r="FG114" t="n">
        <v>23</v>
      </c>
      <c r="FH114" t="n">
        <v>368</v>
      </c>
      <c r="FI114" t="n">
        <v>-322</v>
      </c>
      <c r="FJ114" t="n">
        <v>23.25316175421752</v>
      </c>
      <c r="FK114" t="n">
        <v>23.98116204725056</v>
      </c>
      <c r="FL114" t="n">
        <v>26.037945</v>
      </c>
      <c r="FM114" t="n">
        <v>27.276695</v>
      </c>
      <c r="FN114" t="n">
        <v>138.47195</v>
      </c>
      <c r="FO114" t="n">
        <v>132.02939</v>
      </c>
      <c r="FP114" t="n">
        <v>26.01251</v>
      </c>
      <c r="FQ114" t="n">
        <v>22.48006</v>
      </c>
      <c r="FR114" t="n">
        <v>26.296732</v>
      </c>
      <c r="FS114" t="n">
        <v>25.909794</v>
      </c>
      <c r="HH114" t="n">
        <v>47.175</v>
      </c>
      <c r="HS114" t="n">
        <v>105.11</v>
      </c>
      <c r="ID114" t="n">
        <v>93.45</v>
      </c>
      <c r="IF114" t="n">
        <v>15</v>
      </c>
      <c r="IG114" t="n">
        <v>126</v>
      </c>
      <c r="IH114" t="n">
        <v>2016</v>
      </c>
      <c r="II114" t="n">
        <v>-1764</v>
      </c>
      <c r="IJ114" t="n">
        <v>134.54605</v>
      </c>
      <c r="IK114" t="n">
        <v>135.26476</v>
      </c>
      <c r="IL114" t="n">
        <v>136.10164</v>
      </c>
      <c r="IM114" t="n">
        <v>135.07169</v>
      </c>
      <c r="IN114" t="n">
        <v>137.3578</v>
      </c>
      <c r="IO114" t="n">
        <v>131.72946</v>
      </c>
      <c r="IP114" t="n">
        <v>132.8512257823781</v>
      </c>
      <c r="IQ114" t="n">
        <v>134.5507995778131</v>
      </c>
      <c r="IR114" t="n">
        <v>143.5067</v>
      </c>
      <c r="IS114" t="n">
        <v>140.8712</v>
      </c>
      <c r="KH114" t="n">
        <v>136.323</v>
      </c>
      <c r="KS114" t="n">
        <v>8.19</v>
      </c>
      <c r="LD114" t="n">
        <v>2.4</v>
      </c>
    </row>
    <row r="115">
      <c r="A115" t="inlineStr">
        <is>
          <t>2026-06-08</t>
        </is>
      </c>
      <c r="B115" t="inlineStr">
        <is>
          <t>General Chem 26</t>
        </is>
      </c>
      <c r="C115" t="inlineStr">
        <is>
          <t>205426060801</t>
        </is>
      </c>
      <c r="D115" t="inlineStr">
        <is>
          <t>PHOS</t>
        </is>
      </c>
      <c r="F115" t="n">
        <v>10</v>
      </c>
      <c r="G115" t="n">
        <v>3.3</v>
      </c>
      <c r="H115" t="n">
        <v>36.3</v>
      </c>
      <c r="I115" t="n">
        <v>-29.7</v>
      </c>
      <c r="J115" t="n">
        <v>3.199722378503865</v>
      </c>
      <c r="K115" t="n">
        <v>3.233366660008215</v>
      </c>
      <c r="L115" t="n">
        <v>3.21909334653137</v>
      </c>
      <c r="M115" t="n">
        <v>3.154542492486815</v>
      </c>
      <c r="N115" t="n">
        <v>3.292465</v>
      </c>
      <c r="O115" t="n">
        <v>3.2795467</v>
      </c>
      <c r="P115" t="n">
        <v>3.2283833</v>
      </c>
      <c r="Q115" t="n">
        <v>3.1554239</v>
      </c>
      <c r="R115" t="n">
        <v>3.2928283</v>
      </c>
      <c r="BH115" t="n">
        <v>3.232</v>
      </c>
      <c r="BS115" t="n">
        <v>-2.06</v>
      </c>
      <c r="CD115" t="n">
        <v>1.51</v>
      </c>
      <c r="CF115" t="n">
        <v>10</v>
      </c>
      <c r="CG115" t="n">
        <v>7.2</v>
      </c>
      <c r="CH115" t="n">
        <v>79.2</v>
      </c>
      <c r="CI115" t="n">
        <v>-64.8</v>
      </c>
      <c r="CJ115" t="n">
        <v>7.273903109534033</v>
      </c>
      <c r="CK115" t="n">
        <v>7.206759822780155</v>
      </c>
      <c r="CL115" t="n">
        <v>7.152389997135013</v>
      </c>
      <c r="CM115" t="n">
        <v>7.136300700825625</v>
      </c>
      <c r="CN115" t="n">
        <v>7.343176</v>
      </c>
      <c r="CO115" t="n">
        <v>7.3492985</v>
      </c>
      <c r="CP115" t="n">
        <v>7.0572734</v>
      </c>
      <c r="CQ115" t="n">
        <v>7.092495</v>
      </c>
      <c r="CR115" t="n">
        <v>7.0792055</v>
      </c>
      <c r="EH115" t="n">
        <v>7.188</v>
      </c>
      <c r="ES115" t="n">
        <v>-0.17</v>
      </c>
      <c r="FD115" t="n">
        <v>1.47</v>
      </c>
      <c r="FF115" t="n">
        <v>10</v>
      </c>
      <c r="FG115" t="n">
        <v>1.9</v>
      </c>
      <c r="FH115" t="n">
        <v>20.9</v>
      </c>
      <c r="FI115" t="n">
        <v>-17.1</v>
      </c>
      <c r="FJ115" t="n">
        <v>1.909820360855486</v>
      </c>
      <c r="FK115" t="n">
        <v>1.959073230534007</v>
      </c>
      <c r="FL115" t="n">
        <v>1.9921839</v>
      </c>
      <c r="FM115" t="n">
        <v>1.9654272</v>
      </c>
      <c r="FN115" t="n">
        <v>7.1651244</v>
      </c>
      <c r="FO115" t="n">
        <v>7.3304005</v>
      </c>
      <c r="FP115" t="n">
        <v>1.9117235</v>
      </c>
      <c r="FQ115" t="n">
        <v>1.906493</v>
      </c>
      <c r="FR115" t="n">
        <v>1.9351189</v>
      </c>
      <c r="FS115" t="n">
        <v>1.9174207</v>
      </c>
      <c r="HH115" t="n">
        <v>2.999</v>
      </c>
      <c r="HS115" t="n">
        <v>57.86</v>
      </c>
      <c r="ID115" t="n">
        <v>70.84</v>
      </c>
      <c r="IF115" t="n">
        <v>10</v>
      </c>
      <c r="IG115" t="n">
        <v>7.2</v>
      </c>
      <c r="IH115" t="n">
        <v>79.2</v>
      </c>
      <c r="II115" t="n">
        <v>-64.8</v>
      </c>
      <c r="IJ115" t="n">
        <v>7.5501275</v>
      </c>
      <c r="IK115" t="n">
        <v>7.3897223</v>
      </c>
      <c r="IL115" t="n">
        <v>7.1671824</v>
      </c>
      <c r="IM115" t="n">
        <v>7.2095423</v>
      </c>
      <c r="IN115" t="n">
        <v>7.2785482</v>
      </c>
      <c r="IO115" t="n">
        <v>7.361547</v>
      </c>
      <c r="IP115" t="n">
        <v>7.409404714333836</v>
      </c>
      <c r="IQ115" t="n">
        <v>7.379456827581349</v>
      </c>
      <c r="IR115" t="n">
        <v>7.4719486</v>
      </c>
      <c r="IS115" t="n">
        <v>7.556083</v>
      </c>
      <c r="KH115" t="n">
        <v>7.381</v>
      </c>
      <c r="KS115" t="n">
        <v>2.51</v>
      </c>
      <c r="LD115" t="n">
        <v>1.61</v>
      </c>
    </row>
    <row r="116">
      <c r="A116" t="inlineStr">
        <is>
          <t>2026-06-08</t>
        </is>
      </c>
      <c r="B116" t="inlineStr">
        <is>
          <t>General Chem 26</t>
        </is>
      </c>
      <c r="C116" t="inlineStr">
        <is>
          <t>205426060801</t>
        </is>
      </c>
      <c r="D116" t="inlineStr">
        <is>
          <t>TBIL</t>
        </is>
      </c>
      <c r="F116" t="n">
        <v>20</v>
      </c>
      <c r="G116" t="n">
        <v>1.1</v>
      </c>
      <c r="H116" t="n">
        <v>23.1</v>
      </c>
      <c r="I116" t="n">
        <v>-20.9</v>
      </c>
      <c r="J116" t="n">
        <v>1.229891971890738</v>
      </c>
      <c r="K116" t="n">
        <v>1.22963448238073</v>
      </c>
      <c r="L116" t="n">
        <v>1.287543733942521</v>
      </c>
      <c r="M116" t="n">
        <v>1.244481411401932</v>
      </c>
      <c r="N116" t="n">
        <v>1.2948589</v>
      </c>
      <c r="O116" t="n">
        <v>1.2273985</v>
      </c>
      <c r="P116" t="n">
        <v>1.2063555</v>
      </c>
      <c r="Q116" t="n">
        <v>1.3212991</v>
      </c>
      <c r="R116" t="n">
        <v>1.3540832</v>
      </c>
      <c r="BH116" t="n">
        <v>1.28</v>
      </c>
      <c r="BS116" t="n">
        <v>16.34</v>
      </c>
      <c r="CD116" t="n">
        <v>4.75</v>
      </c>
      <c r="CF116" t="n">
        <v>20</v>
      </c>
      <c r="CG116" t="n">
        <v>5.1</v>
      </c>
      <c r="CH116" t="n">
        <v>107.1</v>
      </c>
      <c r="CI116" t="n">
        <v>-96.89999999999999</v>
      </c>
      <c r="CJ116" t="n">
        <v>5.116226614952007</v>
      </c>
      <c r="CK116" t="n">
        <v>5.080491933400985</v>
      </c>
      <c r="CL116" t="n">
        <v>5.076479942658384</v>
      </c>
      <c r="CM116" t="n">
        <v>5.131649510220878</v>
      </c>
      <c r="CN116" t="n">
        <v>5.283609</v>
      </c>
      <c r="CO116" t="n">
        <v>5.2856092</v>
      </c>
      <c r="CP116" t="n">
        <v>5.0885477</v>
      </c>
      <c r="CQ116" t="n">
        <v>5.091432</v>
      </c>
      <c r="CR116" t="n">
        <v>5.030009</v>
      </c>
      <c r="EH116" t="n">
        <v>5.132</v>
      </c>
      <c r="ES116" t="n">
        <v>0.62</v>
      </c>
      <c r="FD116" t="n">
        <v>1.68</v>
      </c>
      <c r="FF116" t="n">
        <v>20</v>
      </c>
      <c r="FG116" t="n">
        <v>0.8</v>
      </c>
      <c r="FH116" t="n">
        <v>16.8</v>
      </c>
      <c r="FI116" t="n">
        <v>-15.2</v>
      </c>
      <c r="FJ116" t="n">
        <v>0.691117205051647</v>
      </c>
      <c r="FK116" t="n">
        <v>0.6955521347255251</v>
      </c>
      <c r="FL116" t="n">
        <v>0.7299976</v>
      </c>
      <c r="FM116" t="n">
        <v>0.73627365</v>
      </c>
      <c r="FN116" t="n">
        <v>8.394819999999999</v>
      </c>
      <c r="FO116" t="n">
        <v>8.267760000000001</v>
      </c>
      <c r="FP116" t="n">
        <v>0.7200458</v>
      </c>
      <c r="FQ116" t="n">
        <v>0.6722311</v>
      </c>
      <c r="FR116" t="n">
        <v>0.72627443</v>
      </c>
      <c r="FS116" t="n">
        <v>0.72379637</v>
      </c>
      <c r="HH116" t="n">
        <v>2.236</v>
      </c>
      <c r="HS116" t="n">
        <v>179.47</v>
      </c>
      <c r="ID116" t="n">
        <v>136.33</v>
      </c>
      <c r="IF116" t="n">
        <v>20</v>
      </c>
      <c r="IG116" t="n">
        <v>8.4</v>
      </c>
      <c r="IH116" t="n">
        <v>176.4</v>
      </c>
      <c r="II116" t="n">
        <v>-159.6</v>
      </c>
      <c r="IJ116" t="n">
        <v>8.498526999999999</v>
      </c>
      <c r="IK116" t="n">
        <v>8.309072</v>
      </c>
      <c r="IL116" t="n">
        <v>8.293703000000001</v>
      </c>
      <c r="IM116" t="n">
        <v>8.173825000000001</v>
      </c>
      <c r="IN116" t="n">
        <v>8.302222</v>
      </c>
      <c r="IO116" t="n">
        <v>8.291672999999999</v>
      </c>
      <c r="IP116" t="n">
        <v>8.507734449601154</v>
      </c>
      <c r="IQ116" t="n">
        <v>8.153151536481952</v>
      </c>
      <c r="IR116" t="n">
        <v>8.470757000000001</v>
      </c>
      <c r="IS116" t="n">
        <v>8.543889999999999</v>
      </c>
      <c r="KH116" t="n">
        <v>8.356</v>
      </c>
      <c r="KS116" t="n">
        <v>-0.53</v>
      </c>
      <c r="LD116" t="n">
        <v>1.53</v>
      </c>
    </row>
    <row r="117">
      <c r="A117" t="inlineStr">
        <is>
          <t>2026-06-08</t>
        </is>
      </c>
      <c r="B117" t="inlineStr">
        <is>
          <t>General Chem 26</t>
        </is>
      </c>
      <c r="C117" t="inlineStr">
        <is>
          <t>105326060801</t>
        </is>
      </c>
      <c r="D117" t="inlineStr">
        <is>
          <t>ALB</t>
        </is>
      </c>
      <c r="F117" t="n">
        <v>8</v>
      </c>
      <c r="G117" t="n">
        <v>4.2</v>
      </c>
      <c r="H117" t="n">
        <v>37.8</v>
      </c>
      <c r="I117" t="n">
        <v>-29.4</v>
      </c>
      <c r="J117" t="n">
        <v>4.044016922808453</v>
      </c>
      <c r="K117" t="n">
        <v>4.150361104779556</v>
      </c>
      <c r="L117" t="n">
        <v>4.111981524039015</v>
      </c>
      <c r="M117" t="n">
        <v>4.233167673603881</v>
      </c>
      <c r="N117" t="n">
        <v>3.9775746</v>
      </c>
      <c r="O117" t="n">
        <v>3.9503083</v>
      </c>
      <c r="P117" t="n">
        <v>3.9772668</v>
      </c>
      <c r="Q117" t="n">
        <v>4.2934403</v>
      </c>
      <c r="R117" t="n">
        <v>4.1246686</v>
      </c>
      <c r="BH117" t="n">
        <v>4.08</v>
      </c>
      <c r="BS117" t="n">
        <v>-2.86</v>
      </c>
      <c r="CD117" t="n">
        <v>2.87</v>
      </c>
      <c r="CF117" t="n">
        <v>8</v>
      </c>
      <c r="CG117" t="n">
        <v>2.7</v>
      </c>
      <c r="CH117" t="n">
        <v>24.3</v>
      </c>
      <c r="CI117" t="n">
        <v>-18.9</v>
      </c>
      <c r="CJ117" t="n">
        <v>2.767701884560154</v>
      </c>
      <c r="CK117" t="n">
        <v>3.002409281438125</v>
      </c>
      <c r="CL117" t="n">
        <v>2.738455280802915</v>
      </c>
      <c r="CM117" t="n">
        <v>2.829967912531828</v>
      </c>
      <c r="CN117" t="n">
        <v>2.642277</v>
      </c>
      <c r="CO117" t="n">
        <v>2.7007732</v>
      </c>
      <c r="CP117" t="n">
        <v>2.7078733</v>
      </c>
      <c r="CQ117" t="n">
        <v>2.7026496</v>
      </c>
      <c r="CR117" t="n">
        <v>2.7629058</v>
      </c>
      <c r="EH117" t="n">
        <v>2.762</v>
      </c>
      <c r="ES117" t="n">
        <v>2.28</v>
      </c>
      <c r="FD117" t="n">
        <v>3.57</v>
      </c>
      <c r="FF117" t="n">
        <v>8</v>
      </c>
      <c r="FG117" t="n">
        <v>2.6</v>
      </c>
      <c r="FH117" t="n">
        <v>23.4</v>
      </c>
      <c r="FI117" t="n">
        <v>-18.2</v>
      </c>
      <c r="FJ117" t="n">
        <v>2.619244946182234</v>
      </c>
      <c r="FK117" t="n">
        <v>2.567409321851503</v>
      </c>
      <c r="FL117" t="n">
        <v>2.503255</v>
      </c>
      <c r="FM117" t="n">
        <v>2.389667</v>
      </c>
      <c r="FN117" t="n">
        <v>4.103834</v>
      </c>
      <c r="FO117" t="n">
        <v>4.0652447</v>
      </c>
      <c r="FP117" t="n">
        <v>2.501954</v>
      </c>
      <c r="FQ117" t="n">
        <v>2.5219927</v>
      </c>
      <c r="FR117" t="n">
        <v>2.4474287</v>
      </c>
      <c r="FS117" t="n">
        <v>2.5108976</v>
      </c>
      <c r="HH117" t="n">
        <v>2.823</v>
      </c>
      <c r="HS117" t="n">
        <v>8.58</v>
      </c>
      <c r="ID117" t="n">
        <v>22.44</v>
      </c>
      <c r="IF117" t="n">
        <v>8</v>
      </c>
      <c r="IG117" t="n">
        <v>4.2</v>
      </c>
      <c r="IH117" t="n">
        <v>37.8</v>
      </c>
      <c r="II117" t="n">
        <v>-29.4</v>
      </c>
      <c r="IJ117" t="n">
        <v>3.9766662</v>
      </c>
      <c r="IK117" t="n">
        <v>3.9478228</v>
      </c>
      <c r="IL117" t="n">
        <v>3.9291575</v>
      </c>
      <c r="IM117" t="n">
        <v>4.1156144</v>
      </c>
      <c r="IN117" t="n">
        <v>3.9597986</v>
      </c>
      <c r="IO117" t="n">
        <v>4.0575776</v>
      </c>
      <c r="IP117" t="n">
        <v>4.178586977586234</v>
      </c>
      <c r="IQ117" t="n">
        <v>4.311647904483595</v>
      </c>
      <c r="IR117" t="n">
        <v>3.91211</v>
      </c>
      <c r="IS117" t="n">
        <v>3.9640381</v>
      </c>
      <c r="KH117" t="n">
        <v>4.03</v>
      </c>
      <c r="KS117" t="n">
        <v>-4.05</v>
      </c>
      <c r="LD117" t="n">
        <v>2.95</v>
      </c>
    </row>
    <row r="118">
      <c r="A118" t="inlineStr">
        <is>
          <t>2026-06-08</t>
        </is>
      </c>
      <c r="B118" t="inlineStr">
        <is>
          <t>General Chem 26</t>
        </is>
      </c>
      <c r="C118" t="inlineStr">
        <is>
          <t>105326060801</t>
        </is>
      </c>
      <c r="D118" t="inlineStr">
        <is>
          <t>ALP</t>
        </is>
      </c>
      <c r="F118" t="n">
        <v>20</v>
      </c>
      <c r="G118" t="n">
        <v>136</v>
      </c>
      <c r="H118" t="n">
        <v>2856</v>
      </c>
      <c r="I118" t="n">
        <v>-2584</v>
      </c>
      <c r="J118" t="n">
        <v>142.9669735507238</v>
      </c>
      <c r="K118" t="n">
        <v>141.9114120099782</v>
      </c>
      <c r="L118" t="n">
        <v>141.1076718264814</v>
      </c>
      <c r="M118" t="n">
        <v>140.7648561323986</v>
      </c>
      <c r="N118" t="n">
        <v>142.00764</v>
      </c>
      <c r="O118" t="n">
        <v>142.96686</v>
      </c>
      <c r="P118" t="n">
        <v>138.45155</v>
      </c>
      <c r="Q118" t="n">
        <v>141.3413</v>
      </c>
      <c r="R118" t="n">
        <v>141.5618</v>
      </c>
      <c r="BH118" t="n">
        <v>141.455</v>
      </c>
      <c r="BS118" t="n">
        <v>4.01</v>
      </c>
      <c r="CD118" t="n">
        <v>0.86</v>
      </c>
      <c r="CF118" t="n">
        <v>20</v>
      </c>
      <c r="CG118" t="n">
        <v>456</v>
      </c>
      <c r="CH118" t="n">
        <v>9576</v>
      </c>
      <c r="CI118" t="n">
        <v>-8664</v>
      </c>
      <c r="CJ118" t="n">
        <v>464.2630013300635</v>
      </c>
      <c r="CK118" t="n">
        <v>467.1422734604141</v>
      </c>
      <c r="CL118" t="n">
        <v>454.5010206564541</v>
      </c>
      <c r="CM118" t="n">
        <v>463.76090379737</v>
      </c>
      <c r="CN118" t="n">
        <v>459.52124</v>
      </c>
      <c r="CO118" t="n">
        <v>456.59253</v>
      </c>
      <c r="CP118" t="n">
        <v>451.34427</v>
      </c>
      <c r="CQ118" t="n">
        <v>452.17606</v>
      </c>
      <c r="CR118" t="n">
        <v>441.05823</v>
      </c>
      <c r="EH118" t="n">
        <v>456.707</v>
      </c>
      <c r="ES118" t="n">
        <v>0.15</v>
      </c>
      <c r="FD118" t="n">
        <v>1.67</v>
      </c>
      <c r="FF118" t="n">
        <v>20</v>
      </c>
      <c r="FG118" t="n">
        <v>75</v>
      </c>
      <c r="FH118" t="n">
        <v>1575</v>
      </c>
      <c r="FI118" t="n">
        <v>-1425</v>
      </c>
      <c r="FJ118" t="n">
        <v>73.35654234968834</v>
      </c>
      <c r="FK118" t="n">
        <v>73.62891924551771</v>
      </c>
      <c r="FL118" t="n">
        <v>73.205055</v>
      </c>
      <c r="FM118" t="n">
        <v>73.59228</v>
      </c>
      <c r="FN118" t="n">
        <v>234.33774</v>
      </c>
      <c r="FO118" t="n">
        <v>235.10529</v>
      </c>
      <c r="FP118" t="n">
        <v>73.17681</v>
      </c>
      <c r="FQ118" t="n">
        <v>73.47405000000001</v>
      </c>
      <c r="FR118" t="n">
        <v>73.1464</v>
      </c>
      <c r="FS118" t="n">
        <v>73.91315</v>
      </c>
      <c r="HH118" t="n">
        <v>105.694</v>
      </c>
      <c r="HS118" t="n">
        <v>40.92</v>
      </c>
      <c r="ID118" t="n">
        <v>61.04</v>
      </c>
      <c r="IF118" t="n">
        <v>20</v>
      </c>
      <c r="IG118" t="n">
        <v>251</v>
      </c>
      <c r="IH118" t="n">
        <v>5271</v>
      </c>
      <c r="II118" t="n">
        <v>-4769</v>
      </c>
      <c r="IJ118" t="n">
        <v>225.2106</v>
      </c>
      <c r="IK118" t="n">
        <v>224.4772</v>
      </c>
      <c r="IL118" t="n">
        <v>224.49683</v>
      </c>
      <c r="IM118" t="n">
        <v>224.32735</v>
      </c>
      <c r="IN118" t="n">
        <v>227.94414</v>
      </c>
      <c r="IO118" t="n">
        <v>225.66461</v>
      </c>
      <c r="IP118" t="n">
        <v>236.4047492196863</v>
      </c>
      <c r="IQ118" t="n">
        <v>240.6223885697622</v>
      </c>
      <c r="IR118" t="n">
        <v>239.39664</v>
      </c>
      <c r="IS118" t="n">
        <v>235.41193</v>
      </c>
      <c r="KH118" t="n">
        <v>231.315</v>
      </c>
      <c r="KS118" t="n">
        <v>-7.84</v>
      </c>
      <c r="LD118" t="n">
        <v>2.92</v>
      </c>
    </row>
    <row r="119">
      <c r="A119" t="inlineStr">
        <is>
          <t>2026-06-08</t>
        </is>
      </c>
      <c r="B119" t="inlineStr">
        <is>
          <t>General Chem 26</t>
        </is>
      </c>
      <c r="C119" t="inlineStr">
        <is>
          <t>105326060801</t>
        </is>
      </c>
      <c r="D119" t="inlineStr">
        <is>
          <t>ALT</t>
        </is>
      </c>
      <c r="F119" t="n">
        <v>15</v>
      </c>
      <c r="G119" t="n">
        <v>28</v>
      </c>
      <c r="H119" t="n">
        <v>448</v>
      </c>
      <c r="I119" t="n">
        <v>-392</v>
      </c>
      <c r="J119" t="n">
        <v>-49.21175804950336</v>
      </c>
      <c r="K119" t="n">
        <v>25.63503815457818</v>
      </c>
      <c r="L119" t="n">
        <v>27.08584162742386</v>
      </c>
      <c r="M119" t="n">
        <v>31.60148179562542</v>
      </c>
      <c r="N119" t="n">
        <v>23.540693</v>
      </c>
      <c r="O119" t="n">
        <v>24.173006</v>
      </c>
      <c r="P119" t="n">
        <v>32.442673</v>
      </c>
      <c r="Q119" t="n">
        <v>29.950554</v>
      </c>
      <c r="R119" t="n">
        <v>26.68992</v>
      </c>
      <c r="BH119" t="n">
        <v>19.867</v>
      </c>
      <c r="BS119" t="n">
        <v>-29.04</v>
      </c>
      <c r="CD119" t="n">
        <v>116.76</v>
      </c>
      <c r="CF119" t="n">
        <v>15</v>
      </c>
      <c r="CG119" t="n">
        <v>115</v>
      </c>
      <c r="CH119" t="n">
        <v>1840</v>
      </c>
      <c r="CI119" t="n">
        <v>-1610</v>
      </c>
      <c r="CJ119" t="n">
        <v>122.3961480324368</v>
      </c>
      <c r="CK119" t="n">
        <v>127.0541119532875</v>
      </c>
      <c r="CL119" t="n">
        <v>124.2961326931642</v>
      </c>
      <c r="CM119" t="n">
        <v>122.7025833490377</v>
      </c>
      <c r="CN119" t="n">
        <v>121.38131</v>
      </c>
      <c r="CO119" t="n">
        <v>123.61062</v>
      </c>
      <c r="CP119" t="n">
        <v>120.32862</v>
      </c>
      <c r="CQ119" t="n">
        <v>114.6704</v>
      </c>
      <c r="CR119" t="n">
        <v>116.21181</v>
      </c>
      <c r="EH119" t="n">
        <v>121.406</v>
      </c>
      <c r="ES119" t="n">
        <v>5.57</v>
      </c>
      <c r="FD119" t="n">
        <v>3.02</v>
      </c>
      <c r="FF119" t="n">
        <v>15</v>
      </c>
      <c r="FG119" t="n">
        <v>26</v>
      </c>
      <c r="FH119" t="n">
        <v>416</v>
      </c>
      <c r="FI119" t="n">
        <v>-364</v>
      </c>
      <c r="FJ119" t="n">
        <v>16.23044844719177</v>
      </c>
      <c r="FK119" t="n">
        <v>17.73861374253796</v>
      </c>
      <c r="FL119" t="n">
        <v>22.36102</v>
      </c>
      <c r="FM119" t="n">
        <v>24.154224</v>
      </c>
      <c r="FN119" t="n">
        <v>223.7423</v>
      </c>
      <c r="FO119" t="n">
        <v>228.998</v>
      </c>
      <c r="FP119" t="n">
        <v>21.83064</v>
      </c>
      <c r="FQ119" t="n">
        <v>22.256191</v>
      </c>
      <c r="FR119" t="n">
        <v>23.477512</v>
      </c>
      <c r="FS119" t="n">
        <v>21.97665</v>
      </c>
      <c r="HH119" t="n">
        <v>62.277</v>
      </c>
      <c r="HS119" t="n">
        <v>139.53</v>
      </c>
      <c r="ID119" t="n">
        <v>131.81</v>
      </c>
      <c r="IF119" t="n">
        <v>15</v>
      </c>
      <c r="IG119" t="n">
        <v>217</v>
      </c>
      <c r="IH119" t="n">
        <v>3472</v>
      </c>
      <c r="II119" t="n">
        <v>-3038</v>
      </c>
      <c r="IJ119" t="n">
        <v>207.95038</v>
      </c>
      <c r="IK119" t="n">
        <v>209.40501</v>
      </c>
      <c r="IL119" t="n">
        <v>210.85834</v>
      </c>
      <c r="IM119" t="n">
        <v>214.79375</v>
      </c>
      <c r="IN119" t="n">
        <v>213.37367</v>
      </c>
      <c r="IO119" t="n">
        <v>211.95384</v>
      </c>
      <c r="IP119" t="n">
        <v>226.5066804101607</v>
      </c>
      <c r="IQ119" t="n">
        <v>226.7710204484497</v>
      </c>
      <c r="IR119" t="n">
        <v>220.1691</v>
      </c>
      <c r="IS119" t="n">
        <v>219.21684</v>
      </c>
      <c r="KH119" t="n">
        <v>217.292</v>
      </c>
      <c r="KS119" t="n">
        <v>0.13</v>
      </c>
      <c r="LD119" t="n">
        <v>3.31</v>
      </c>
    </row>
    <row r="120">
      <c r="A120" t="inlineStr">
        <is>
          <t>2026-06-08</t>
        </is>
      </c>
      <c r="B120" t="inlineStr">
        <is>
          <t>General Chem 26</t>
        </is>
      </c>
      <c r="C120" t="inlineStr">
        <is>
          <t>105326060801</t>
        </is>
      </c>
      <c r="D120" t="inlineStr">
        <is>
          <t>BUN</t>
        </is>
      </c>
      <c r="F120" t="n">
        <v>9</v>
      </c>
      <c r="G120" t="n">
        <v>14.8</v>
      </c>
      <c r="H120" t="n">
        <v>148</v>
      </c>
      <c r="I120" t="n">
        <v>-118.4</v>
      </c>
      <c r="J120" t="n">
        <v>14.3788482238254</v>
      </c>
      <c r="K120" t="n">
        <v>14.49226395692467</v>
      </c>
      <c r="L120" t="n">
        <v>14.64930760131364</v>
      </c>
      <c r="M120" t="n">
        <v>14.61498645234058</v>
      </c>
      <c r="N120" t="n">
        <v>14.670355</v>
      </c>
      <c r="O120" t="n">
        <v>14.742985</v>
      </c>
      <c r="P120" t="n">
        <v>14.696105</v>
      </c>
      <c r="Q120" t="n">
        <v>14.730446</v>
      </c>
      <c r="R120" t="n">
        <v>14.860721</v>
      </c>
      <c r="BH120" t="n">
        <v>14.696</v>
      </c>
      <c r="BS120" t="n">
        <v>-0.71</v>
      </c>
      <c r="CD120" t="n">
        <v>1.29</v>
      </c>
      <c r="CF120" t="n">
        <v>9</v>
      </c>
      <c r="CG120" t="n">
        <v>44.7</v>
      </c>
      <c r="CH120" t="n">
        <v>447</v>
      </c>
      <c r="CI120" t="n">
        <v>-357.6</v>
      </c>
      <c r="CJ120" t="n">
        <v>43.38762331589835</v>
      </c>
      <c r="CK120" t="n">
        <v>44.68060618963239</v>
      </c>
      <c r="CL120" t="n">
        <v>44.36104439271715</v>
      </c>
      <c r="CM120" t="n">
        <v>44.96418652481586</v>
      </c>
      <c r="CN120" t="n">
        <v>45.727543</v>
      </c>
      <c r="CO120" t="n">
        <v>44.2705</v>
      </c>
      <c r="CP120" t="n">
        <v>44.24007</v>
      </c>
      <c r="CQ120" t="n">
        <v>44.474403</v>
      </c>
      <c r="CR120" t="n">
        <v>44.423683</v>
      </c>
      <c r="EH120" t="n">
        <v>44.503</v>
      </c>
      <c r="ES120" t="n">
        <v>-0.44</v>
      </c>
      <c r="FD120" t="n">
        <v>1.33</v>
      </c>
      <c r="FF120" t="n">
        <v>9</v>
      </c>
      <c r="FG120" t="n">
        <v>14.7</v>
      </c>
      <c r="FH120" t="n">
        <v>147</v>
      </c>
      <c r="FI120" t="n">
        <v>-117.6</v>
      </c>
      <c r="FJ120" t="n">
        <v>14.38486333792393</v>
      </c>
      <c r="FK120" t="n">
        <v>14.99942622871228</v>
      </c>
      <c r="FL120" t="n">
        <v>14.803034</v>
      </c>
      <c r="FM120" t="n">
        <v>14.57103</v>
      </c>
      <c r="FN120" t="n">
        <v>65.81337000000001</v>
      </c>
      <c r="FO120" t="n">
        <v>66.88779</v>
      </c>
      <c r="FP120" t="n">
        <v>14.754661</v>
      </c>
      <c r="FQ120" t="n">
        <v>14.751697</v>
      </c>
      <c r="FR120" t="n">
        <v>14.974055</v>
      </c>
      <c r="FS120" t="n">
        <v>14.983577</v>
      </c>
      <c r="HH120" t="n">
        <v>25.092</v>
      </c>
      <c r="HS120" t="n">
        <v>70.7</v>
      </c>
      <c r="ID120" t="n">
        <v>82.22</v>
      </c>
      <c r="IF120" t="n">
        <v>9</v>
      </c>
      <c r="IG120" t="n">
        <v>65.7</v>
      </c>
      <c r="IH120" t="n">
        <v>657</v>
      </c>
      <c r="II120" t="n">
        <v>-525.6</v>
      </c>
      <c r="IJ120" t="n">
        <v>67.08995</v>
      </c>
      <c r="IK120" t="n">
        <v>67.10799400000001</v>
      </c>
      <c r="IL120" t="n">
        <v>66.76285</v>
      </c>
      <c r="IM120" t="n">
        <v>65.57545500000001</v>
      </c>
      <c r="IN120" t="n">
        <v>66.846504</v>
      </c>
      <c r="IO120" t="n">
        <v>66.59605999999999</v>
      </c>
      <c r="IP120" t="n">
        <v>64.92944564322569</v>
      </c>
      <c r="IQ120" t="n">
        <v>63.86238587364769</v>
      </c>
      <c r="IR120" t="n">
        <v>65.918434</v>
      </c>
      <c r="IS120" t="n">
        <v>65.54986599999999</v>
      </c>
      <c r="KH120" t="n">
        <v>66.074</v>
      </c>
      <c r="KS120" t="n">
        <v>0.57</v>
      </c>
      <c r="LD120" t="n">
        <v>1.47</v>
      </c>
    </row>
    <row r="121">
      <c r="A121" t="inlineStr">
        <is>
          <t>2026-06-08</t>
        </is>
      </c>
      <c r="B121" t="inlineStr">
        <is>
          <t>General Chem 26</t>
        </is>
      </c>
      <c r="C121" t="inlineStr">
        <is>
          <t>105326060801</t>
        </is>
      </c>
      <c r="D121" t="inlineStr">
        <is>
          <t>CREA</t>
        </is>
      </c>
      <c r="F121" t="n">
        <v>10</v>
      </c>
      <c r="G121" t="n">
        <v>1.5</v>
      </c>
      <c r="H121" t="n">
        <v>16.5</v>
      </c>
      <c r="I121" t="n">
        <v>-13.5</v>
      </c>
      <c r="J121" t="n">
        <v>1.32909903174</v>
      </c>
      <c r="K121" t="n">
        <v>1.280556233474034</v>
      </c>
      <c r="L121" t="n">
        <v>1.270570611516437</v>
      </c>
      <c r="M121" t="n">
        <v>1.340222760333799</v>
      </c>
      <c r="N121" t="n">
        <v>1.2586577</v>
      </c>
      <c r="O121" t="n">
        <v>1.2855778</v>
      </c>
      <c r="P121" t="n">
        <v>1.2183621</v>
      </c>
      <c r="Q121" t="n">
        <v>1.2645012</v>
      </c>
      <c r="R121" t="n">
        <v>1.2653623</v>
      </c>
      <c r="BH121" t="n">
        <v>1.284</v>
      </c>
      <c r="BS121" t="n">
        <v>-14.38</v>
      </c>
      <c r="CD121" t="n">
        <v>2.83</v>
      </c>
      <c r="CF121" t="n">
        <v>10</v>
      </c>
      <c r="CG121" t="n">
        <v>5.55</v>
      </c>
      <c r="CH121" t="n">
        <v>61.05</v>
      </c>
      <c r="CI121" t="n">
        <v>-49.95</v>
      </c>
      <c r="CJ121" t="n">
        <v>4.798825453459514</v>
      </c>
      <c r="CK121" t="n">
        <v>4.881209946369215</v>
      </c>
      <c r="CL121" t="n">
        <v>4.848275349074243</v>
      </c>
      <c r="CM121" t="n">
        <v>4.763843439947139</v>
      </c>
      <c r="CN121" t="n">
        <v>4.6795974</v>
      </c>
      <c r="CO121" t="n">
        <v>4.781964</v>
      </c>
      <c r="CP121" t="n">
        <v>4.7292175</v>
      </c>
      <c r="CQ121" t="n">
        <v>4.647775</v>
      </c>
      <c r="CR121" t="n">
        <v>4.67501</v>
      </c>
      <c r="EH121" t="n">
        <v>4.756</v>
      </c>
      <c r="ES121" t="n">
        <v>-14.3</v>
      </c>
      <c r="FD121" t="n">
        <v>1.59</v>
      </c>
      <c r="FF121" t="n">
        <v>10</v>
      </c>
      <c r="FG121" t="n">
        <v>0.97</v>
      </c>
      <c r="FH121" t="n">
        <v>10.67</v>
      </c>
      <c r="FI121" t="n">
        <v>-8.73</v>
      </c>
      <c r="FJ121" t="n">
        <v>0.72633157837854</v>
      </c>
      <c r="FK121" t="n">
        <v>0.7882396726787011</v>
      </c>
      <c r="FL121" t="n">
        <v>0.71895164</v>
      </c>
      <c r="FM121" t="n">
        <v>0.7058587</v>
      </c>
      <c r="FN121" t="n">
        <v>5.5790944</v>
      </c>
      <c r="FO121" t="n">
        <v>5.6376343</v>
      </c>
      <c r="FP121" t="n">
        <v>0.6506271</v>
      </c>
      <c r="FQ121" t="n">
        <v>0.70085794</v>
      </c>
      <c r="FR121" t="n">
        <v>0.70119435</v>
      </c>
      <c r="FS121" t="n">
        <v>0.72975326</v>
      </c>
      <c r="HH121" t="n">
        <v>1.694</v>
      </c>
      <c r="HS121" t="n">
        <v>74.62</v>
      </c>
      <c r="ID121" t="n">
        <v>115.57</v>
      </c>
      <c r="IF121" t="n">
        <v>10</v>
      </c>
      <c r="IG121" t="n">
        <v>5.95</v>
      </c>
      <c r="IH121" t="n">
        <v>65.45</v>
      </c>
      <c r="II121" t="n">
        <v>-53.55</v>
      </c>
      <c r="IJ121" t="n">
        <v>5.3115892</v>
      </c>
      <c r="IK121" t="n">
        <v>5.453508</v>
      </c>
      <c r="IL121" t="n">
        <v>5.4754305</v>
      </c>
      <c r="IM121" t="n">
        <v>5.3017726</v>
      </c>
      <c r="IN121" t="n">
        <v>5.523495</v>
      </c>
      <c r="IO121" t="n">
        <v>5.3730826</v>
      </c>
      <c r="IP121" t="n">
        <v>5.589096563627708</v>
      </c>
      <c r="IQ121" t="n">
        <v>5.795090345495839</v>
      </c>
      <c r="IR121" t="n">
        <v>5.38332</v>
      </c>
      <c r="IS121" t="n">
        <v>5.643518</v>
      </c>
      <c r="KH121" t="n">
        <v>5.496</v>
      </c>
      <c r="KS121" t="n">
        <v>-7.63</v>
      </c>
      <c r="LD121" t="n">
        <v>2.66</v>
      </c>
    </row>
    <row r="122">
      <c r="A122" t="inlineStr">
        <is>
          <t>2026-06-08</t>
        </is>
      </c>
      <c r="B122" t="inlineStr">
        <is>
          <t>General Chem 26</t>
        </is>
      </c>
      <c r="C122" t="inlineStr">
        <is>
          <t>105326060801</t>
        </is>
      </c>
      <c r="D122" t="inlineStr">
        <is>
          <t>GLU</t>
        </is>
      </c>
      <c r="F122" t="n">
        <v>8</v>
      </c>
      <c r="G122" t="n">
        <v>90.16</v>
      </c>
      <c r="H122" t="n">
        <v>811.4399999999999</v>
      </c>
      <c r="I122" t="n">
        <v>-631.12</v>
      </c>
      <c r="J122" t="n">
        <v>93.64185210418653</v>
      </c>
      <c r="K122" t="n">
        <v>93.19023334121177</v>
      </c>
      <c r="L122" t="n">
        <v>94.31269144375297</v>
      </c>
      <c r="M122" t="n">
        <v>96.08024949819126</v>
      </c>
      <c r="N122" t="n">
        <v>91.65954600000001</v>
      </c>
      <c r="O122" t="n">
        <v>91.87744000000001</v>
      </c>
      <c r="P122" t="n">
        <v>90.91266</v>
      </c>
      <c r="Q122" t="n">
        <v>92.8472</v>
      </c>
      <c r="R122" t="n">
        <v>94.096756</v>
      </c>
      <c r="BH122" t="n">
        <v>93.127</v>
      </c>
      <c r="BS122" t="n">
        <v>3.29</v>
      </c>
      <c r="CD122" t="n">
        <v>1.53</v>
      </c>
      <c r="CF122" t="n">
        <v>8</v>
      </c>
      <c r="CG122" t="n">
        <v>293.02</v>
      </c>
      <c r="CH122" t="n">
        <v>2637.18</v>
      </c>
      <c r="CI122" t="n">
        <v>-2051.14</v>
      </c>
      <c r="CJ122" t="n">
        <v>312.5761604433192</v>
      </c>
      <c r="CK122" t="n">
        <v>316.7723824753983</v>
      </c>
      <c r="CL122" t="n">
        <v>308.919009270896</v>
      </c>
      <c r="CM122" t="n">
        <v>315.2926259263714</v>
      </c>
      <c r="CN122" t="n">
        <v>300.81296</v>
      </c>
      <c r="CO122" t="n">
        <v>302.39355</v>
      </c>
      <c r="CP122" t="n">
        <v>303.8703</v>
      </c>
      <c r="CQ122" t="n">
        <v>307.71527</v>
      </c>
      <c r="CR122" t="n">
        <v>304.02005</v>
      </c>
      <c r="EH122" t="n">
        <v>308.041</v>
      </c>
      <c r="ES122" t="n">
        <v>5.13</v>
      </c>
      <c r="FD122" t="n">
        <v>1.77</v>
      </c>
      <c r="FF122" t="n">
        <v>8</v>
      </c>
      <c r="FG122" t="n">
        <v>65.66</v>
      </c>
      <c r="FH122" t="n">
        <v>590.9399999999999</v>
      </c>
      <c r="FI122" t="n">
        <v>-459.62</v>
      </c>
      <c r="FJ122" t="n">
        <v>68.43981639154246</v>
      </c>
      <c r="FK122" t="n">
        <v>70.95453192732833</v>
      </c>
      <c r="FL122" t="n">
        <v>67.906425</v>
      </c>
      <c r="FM122" t="n">
        <v>66.86024</v>
      </c>
      <c r="FN122" t="n">
        <v>377.1925</v>
      </c>
      <c r="FO122" t="n">
        <v>382.32166</v>
      </c>
      <c r="FP122" t="n">
        <v>67.510284</v>
      </c>
      <c r="FQ122" t="n">
        <v>67.517815</v>
      </c>
      <c r="FR122" t="n">
        <v>67.57129</v>
      </c>
      <c r="FS122" t="n">
        <v>67.29798</v>
      </c>
      <c r="HH122" t="n">
        <v>130.357</v>
      </c>
      <c r="HS122" t="n">
        <v>98.53</v>
      </c>
      <c r="ID122" t="n">
        <v>95.67</v>
      </c>
      <c r="IF122" t="n">
        <v>8</v>
      </c>
      <c r="IG122" t="n">
        <v>359.66</v>
      </c>
      <c r="IH122" t="n">
        <v>3236.94</v>
      </c>
      <c r="II122" t="n">
        <v>-2517.62</v>
      </c>
      <c r="IJ122" t="n">
        <v>367.3279</v>
      </c>
      <c r="IK122" t="n">
        <v>366.57983</v>
      </c>
      <c r="IL122" t="n">
        <v>367.04907</v>
      </c>
      <c r="IM122" t="n">
        <v>369.8893</v>
      </c>
      <c r="IN122" t="n">
        <v>368.1602</v>
      </c>
      <c r="IO122" t="n">
        <v>365.51672</v>
      </c>
      <c r="IP122" t="n">
        <v>381.6549821086836</v>
      </c>
      <c r="IQ122" t="n">
        <v>389.3753115928556</v>
      </c>
      <c r="IR122" t="n">
        <v>370.58267</v>
      </c>
      <c r="IS122" t="n">
        <v>372.15067</v>
      </c>
      <c r="KH122" t="n">
        <v>372.294</v>
      </c>
      <c r="KS122" t="n">
        <v>3.51</v>
      </c>
      <c r="LD122" t="n">
        <v>1.91</v>
      </c>
    </row>
    <row r="123">
      <c r="A123" t="inlineStr">
        <is>
          <t>2026-06-08</t>
        </is>
      </c>
      <c r="B123" t="inlineStr">
        <is>
          <t>General Chem 26</t>
        </is>
      </c>
      <c r="C123" t="inlineStr">
        <is>
          <t>105326060801</t>
        </is>
      </c>
      <c r="D123" t="inlineStr">
        <is>
          <t>TP</t>
        </is>
      </c>
      <c r="F123" t="n">
        <v>8</v>
      </c>
      <c r="G123" t="n">
        <v>6.4</v>
      </c>
      <c r="H123" t="n">
        <v>57.6</v>
      </c>
      <c r="I123" t="n">
        <v>-44.8</v>
      </c>
      <c r="J123" t="n">
        <v>6.437971607789044</v>
      </c>
      <c r="K123" t="n">
        <v>6.452257432666488</v>
      </c>
      <c r="L123" t="n">
        <v>6.529592627922802</v>
      </c>
      <c r="M123" t="n">
        <v>6.563379280045173</v>
      </c>
      <c r="N123" t="n">
        <v>6.4332156</v>
      </c>
      <c r="O123" t="n">
        <v>6.424433</v>
      </c>
      <c r="P123" t="n">
        <v>6.4594207</v>
      </c>
      <c r="Q123" t="n">
        <v>6.4693956</v>
      </c>
      <c r="R123" t="n">
        <v>6.616969</v>
      </c>
      <c r="BH123" t="n">
        <v>6.483</v>
      </c>
      <c r="BS123" t="n">
        <v>1.3</v>
      </c>
      <c r="CD123" t="n">
        <v>0.95</v>
      </c>
      <c r="CF123" t="n">
        <v>8</v>
      </c>
      <c r="CG123" t="n">
        <v>4.1</v>
      </c>
      <c r="CH123" t="n">
        <v>36.9</v>
      </c>
      <c r="CI123" t="n">
        <v>-28.7</v>
      </c>
      <c r="CJ123" t="n">
        <v>4.346669843273948</v>
      </c>
      <c r="CK123" t="n">
        <v>4.421285687100958</v>
      </c>
      <c r="CL123" t="n">
        <v>4.242520070506931</v>
      </c>
      <c r="CM123" t="n">
        <v>4.416226485996313</v>
      </c>
      <c r="CN123" t="n">
        <v>4.231166</v>
      </c>
      <c r="CO123" t="n">
        <v>4.266254</v>
      </c>
      <c r="CP123" t="n">
        <v>4.216154</v>
      </c>
      <c r="CQ123" t="n">
        <v>4.293989</v>
      </c>
      <c r="CR123" t="n">
        <v>4.213204</v>
      </c>
      <c r="EH123" t="n">
        <v>4.294</v>
      </c>
      <c r="ES123" t="n">
        <v>4.74</v>
      </c>
      <c r="FD123" t="n">
        <v>1.8</v>
      </c>
      <c r="FF123" t="n">
        <v>8</v>
      </c>
      <c r="FG123" t="n">
        <v>4.2</v>
      </c>
      <c r="FH123" t="n">
        <v>37.8</v>
      </c>
      <c r="FI123" t="n">
        <v>-29.4</v>
      </c>
      <c r="FJ123" t="n">
        <v>4.086669340828577</v>
      </c>
      <c r="FK123" t="n">
        <v>4.068556385332578</v>
      </c>
      <c r="FL123" t="n">
        <v>4.068951</v>
      </c>
      <c r="FM123" t="n">
        <v>3.8915524</v>
      </c>
      <c r="FN123" t="n">
        <v>7.4265404</v>
      </c>
      <c r="FO123" t="n">
        <v>7.5274</v>
      </c>
      <c r="FP123" t="n">
        <v>4.025893</v>
      </c>
      <c r="FQ123" t="n">
        <v>4.055099</v>
      </c>
      <c r="FR123" t="n">
        <v>4.0697665</v>
      </c>
      <c r="FS123" t="n">
        <v>3.914149</v>
      </c>
      <c r="HH123" t="n">
        <v>4.713</v>
      </c>
      <c r="HS123" t="n">
        <v>12.23</v>
      </c>
      <c r="ID123" t="n">
        <v>29.35</v>
      </c>
      <c r="IF123" t="n">
        <v>8</v>
      </c>
      <c r="IG123" t="n">
        <v>7.5</v>
      </c>
      <c r="IH123" t="n">
        <v>67.5</v>
      </c>
      <c r="II123" t="n">
        <v>-52.5</v>
      </c>
      <c r="IJ123" t="n">
        <v>7.5712814</v>
      </c>
      <c r="IK123" t="n">
        <v>7.428228</v>
      </c>
      <c r="IL123" t="n">
        <v>7.4966464</v>
      </c>
      <c r="IM123" t="n">
        <v>7.573988</v>
      </c>
      <c r="IN123" t="n">
        <v>7.5190325</v>
      </c>
      <c r="IO123" t="n">
        <v>7.488673</v>
      </c>
      <c r="IP123" t="n">
        <v>7.512979365074922</v>
      </c>
      <c r="IQ123" t="n">
        <v>7.582858057652433</v>
      </c>
      <c r="IR123" t="n">
        <v>7.3709297</v>
      </c>
      <c r="IS123" t="n">
        <v>7.3218713</v>
      </c>
      <c r="KH123" t="n">
        <v>7.486</v>
      </c>
      <c r="KS123" t="n">
        <v>-0.18</v>
      </c>
      <c r="LD123" t="n">
        <v>1.06</v>
      </c>
    </row>
    <row r="124">
      <c r="A124" t="inlineStr">
        <is>
          <t>2026-06-05</t>
        </is>
      </c>
      <c r="B124" t="inlineStr">
        <is>
          <t>Diabetes 10</t>
        </is>
      </c>
      <c r="C124" t="inlineStr">
        <is>
          <t>200526060501</t>
        </is>
      </c>
      <c r="D124" t="inlineStr">
        <is>
          <t>ALB</t>
        </is>
      </c>
      <c r="F124" t="n">
        <v>8</v>
      </c>
      <c r="G124" t="n">
        <v>4.2</v>
      </c>
      <c r="H124" t="n">
        <v>37.8</v>
      </c>
      <c r="I124" t="n">
        <v>-29.4</v>
      </c>
      <c r="J124" t="n">
        <v>3.8829808</v>
      </c>
      <c r="K124" t="n">
        <v>3.715666</v>
      </c>
      <c r="L124" t="n">
        <v>3.8414552</v>
      </c>
      <c r="M124" t="n">
        <v>3.927926</v>
      </c>
      <c r="BH124" t="n">
        <v>3.842</v>
      </c>
      <c r="BS124" t="n">
        <v>-8.52</v>
      </c>
      <c r="CD124" t="n">
        <v>2.06</v>
      </c>
      <c r="CF124" t="n">
        <v>8</v>
      </c>
      <c r="CG124" t="n">
        <v>2.7</v>
      </c>
      <c r="CH124" t="n">
        <v>24.3</v>
      </c>
      <c r="CI124" t="n">
        <v>-18.9</v>
      </c>
      <c r="CJ124" t="n">
        <v>2.567247</v>
      </c>
      <c r="CK124" t="n">
        <v>2.6074383</v>
      </c>
      <c r="CL124" t="n">
        <v>2.5376952</v>
      </c>
      <c r="CM124" t="n">
        <v>2.6550312</v>
      </c>
      <c r="EH124" t="n">
        <v>2.592</v>
      </c>
      <c r="ES124" t="n">
        <v>-4.01</v>
      </c>
      <c r="FD124" t="n">
        <v>1.7</v>
      </c>
      <c r="FF124" t="n">
        <v>8</v>
      </c>
      <c r="FG124" t="n">
        <v>2.6</v>
      </c>
      <c r="FH124" t="n">
        <v>23.4</v>
      </c>
      <c r="FI124" t="n">
        <v>-18.2</v>
      </c>
      <c r="FJ124" t="n">
        <v>2.3736784</v>
      </c>
      <c r="FK124" t="n">
        <v>2.3727536</v>
      </c>
      <c r="FL124" t="n">
        <v>2.3606946</v>
      </c>
      <c r="FM124" t="n">
        <v>2.4930463</v>
      </c>
      <c r="HH124" t="n">
        <v>2.4</v>
      </c>
      <c r="HS124" t="n">
        <v>-7.69</v>
      </c>
      <c r="ID124" t="n">
        <v>2.25</v>
      </c>
      <c r="IF124" t="n">
        <v>8</v>
      </c>
      <c r="IG124" t="n">
        <v>4.2</v>
      </c>
      <c r="IH124" t="n">
        <v>37.8</v>
      </c>
      <c r="II124" t="n">
        <v>-29.4</v>
      </c>
      <c r="IJ124" t="n">
        <v>3.8479736</v>
      </c>
      <c r="IK124" t="n">
        <v>3.7833874</v>
      </c>
      <c r="IL124" t="n">
        <v>3.8570116</v>
      </c>
      <c r="IM124" t="n">
        <v>3.9204957</v>
      </c>
      <c r="KH124" t="n">
        <v>3.852</v>
      </c>
      <c r="KS124" t="n">
        <v>-8.279999999999999</v>
      </c>
      <c r="LD124" t="n">
        <v>1.26</v>
      </c>
    </row>
    <row r="125">
      <c r="A125" t="inlineStr">
        <is>
          <t>2026-06-05</t>
        </is>
      </c>
      <c r="B125" t="inlineStr">
        <is>
          <t>Diabetes 10</t>
        </is>
      </c>
      <c r="C125" t="inlineStr">
        <is>
          <t>200526060501</t>
        </is>
      </c>
      <c r="D125" t="inlineStr">
        <is>
          <t>AMY</t>
        </is>
      </c>
      <c r="F125" t="n">
        <v>10</v>
      </c>
      <c r="G125" t="n">
        <v>78</v>
      </c>
      <c r="H125" t="n">
        <v>858</v>
      </c>
      <c r="I125" t="n">
        <v>-702</v>
      </c>
      <c r="J125" t="n">
        <v>77.49874</v>
      </c>
      <c r="K125" t="n">
        <v>76.4251</v>
      </c>
      <c r="L125" t="n">
        <v>75.84421</v>
      </c>
      <c r="M125" t="n">
        <v>76.77800999999999</v>
      </c>
      <c r="BH125" t="n">
        <v>76.637</v>
      </c>
      <c r="BS125" t="n">
        <v>-1.75</v>
      </c>
      <c r="CD125" t="n">
        <v>0.78</v>
      </c>
      <c r="CF125" t="n">
        <v>10</v>
      </c>
      <c r="CG125" t="n">
        <v>404</v>
      </c>
      <c r="CH125" t="n">
        <v>4444</v>
      </c>
      <c r="CI125" t="n">
        <v>-3636</v>
      </c>
      <c r="CJ125" t="n">
        <v>410.08945</v>
      </c>
      <c r="CK125" t="n">
        <v>407.14886</v>
      </c>
      <c r="CL125" t="n">
        <v>405.70615</v>
      </c>
      <c r="CM125" t="n">
        <v>412.44138</v>
      </c>
      <c r="EH125" t="n">
        <v>408.846</v>
      </c>
      <c r="ES125" t="n">
        <v>1.2</v>
      </c>
      <c r="FD125" t="n">
        <v>0.64</v>
      </c>
      <c r="FF125" t="n">
        <v>10</v>
      </c>
      <c r="FG125" t="n">
        <v>63</v>
      </c>
      <c r="FH125" t="n">
        <v>693</v>
      </c>
      <c r="FI125" t="n">
        <v>-567</v>
      </c>
      <c r="FJ125" t="n">
        <v>64.17598</v>
      </c>
      <c r="FK125" t="n">
        <v>219.92714</v>
      </c>
      <c r="FL125" t="n">
        <v>64.33201</v>
      </c>
      <c r="FM125" t="n">
        <v>64.33749400000001</v>
      </c>
      <c r="HH125" t="n">
        <v>103.193</v>
      </c>
      <c r="HS125" t="n">
        <v>63.8</v>
      </c>
      <c r="ID125" t="n">
        <v>65.31</v>
      </c>
      <c r="IF125" t="n">
        <v>10</v>
      </c>
      <c r="IG125" t="n">
        <v>297</v>
      </c>
      <c r="IH125" t="n">
        <v>3267</v>
      </c>
      <c r="II125" t="n">
        <v>-2673</v>
      </c>
      <c r="IJ125" t="n">
        <v>296.20932</v>
      </c>
      <c r="IK125" t="n">
        <v>296.09625</v>
      </c>
      <c r="IL125" t="n">
        <v>307.74332</v>
      </c>
      <c r="IM125" t="n">
        <v>299.2975</v>
      </c>
      <c r="KH125" t="n">
        <v>299.837</v>
      </c>
      <c r="KS125" t="n">
        <v>0.96</v>
      </c>
      <c r="LD125" t="n">
        <v>1.58</v>
      </c>
    </row>
    <row r="126">
      <c r="A126" t="inlineStr">
        <is>
          <t>2026-06-05</t>
        </is>
      </c>
      <c r="B126" t="inlineStr">
        <is>
          <t>Diabetes 10</t>
        </is>
      </c>
      <c r="C126" t="inlineStr">
        <is>
          <t>200526060501</t>
        </is>
      </c>
      <c r="D126" t="inlineStr">
        <is>
          <t>CHOL</t>
        </is>
      </c>
      <c r="F126" t="n">
        <v>10</v>
      </c>
      <c r="G126" t="n">
        <v>228</v>
      </c>
      <c r="H126" t="n">
        <v>2508</v>
      </c>
      <c r="I126" t="n">
        <v>-2052</v>
      </c>
      <c r="J126" t="n">
        <v>231.41214</v>
      </c>
      <c r="K126" t="n">
        <v>224.4499</v>
      </c>
      <c r="L126" t="n">
        <v>230.21269</v>
      </c>
      <c r="M126" t="n">
        <v>231.83913</v>
      </c>
      <c r="BH126" t="n">
        <v>229.478</v>
      </c>
      <c r="BS126" t="n">
        <v>0.65</v>
      </c>
      <c r="CD126" t="n">
        <v>1.29</v>
      </c>
      <c r="CF126" t="n">
        <v>10</v>
      </c>
      <c r="CG126" t="n">
        <v>99</v>
      </c>
      <c r="CH126" t="n">
        <v>1089</v>
      </c>
      <c r="CI126" t="n">
        <v>-891</v>
      </c>
      <c r="CJ126" t="n">
        <v>98.72805</v>
      </c>
      <c r="CK126" t="n">
        <v>98.67521000000001</v>
      </c>
      <c r="CL126" t="n">
        <v>97.16827000000001</v>
      </c>
      <c r="CM126" t="n">
        <v>98.08159999999999</v>
      </c>
      <c r="EH126" t="n">
        <v>98.163</v>
      </c>
      <c r="ES126" t="n">
        <v>-0.85</v>
      </c>
      <c r="FD126" t="n">
        <v>0.64</v>
      </c>
      <c r="FF126" t="n">
        <v>10</v>
      </c>
      <c r="FG126" t="n">
        <v>115</v>
      </c>
      <c r="FH126" t="n">
        <v>1265</v>
      </c>
      <c r="FI126" t="n">
        <v>-1035</v>
      </c>
      <c r="FJ126" t="n">
        <v>112.25348</v>
      </c>
      <c r="FK126" t="n">
        <v>111.330215</v>
      </c>
      <c r="FL126" t="n">
        <v>112.650505</v>
      </c>
      <c r="FM126" t="n">
        <v>111.9594</v>
      </c>
      <c r="HH126" t="n">
        <v>112.048</v>
      </c>
      <c r="HS126" t="n">
        <v>-2.57</v>
      </c>
      <c r="ID126" t="n">
        <v>0.43</v>
      </c>
      <c r="IF126" t="n">
        <v>10</v>
      </c>
      <c r="IG126" t="n">
        <v>269</v>
      </c>
      <c r="IH126" t="n">
        <v>2959</v>
      </c>
      <c r="II126" t="n">
        <v>-2421</v>
      </c>
      <c r="IJ126" t="n">
        <v>259.9666</v>
      </c>
      <c r="IK126" t="n">
        <v>260.82434</v>
      </c>
      <c r="IL126" t="n">
        <v>265.35724</v>
      </c>
      <c r="IM126" t="n">
        <v>259.28635</v>
      </c>
      <c r="KH126" t="n">
        <v>261.359</v>
      </c>
      <c r="KS126" t="n">
        <v>-2.84</v>
      </c>
      <c r="LD126" t="n">
        <v>0.91</v>
      </c>
    </row>
    <row r="127">
      <c r="A127" t="inlineStr">
        <is>
          <t>2026-06-05</t>
        </is>
      </c>
      <c r="B127" t="inlineStr">
        <is>
          <t>Diabetes 10</t>
        </is>
      </c>
      <c r="C127" t="inlineStr">
        <is>
          <t>200526060501</t>
        </is>
      </c>
      <c r="D127" t="inlineStr">
        <is>
          <t>FRU</t>
        </is>
      </c>
      <c r="F127" t="n">
        <v>10</v>
      </c>
      <c r="J127" t="n">
        <v>178.72844</v>
      </c>
      <c r="K127" t="n">
        <v>178.44473</v>
      </c>
      <c r="L127" t="n">
        <v>173.02225</v>
      </c>
      <c r="M127" t="n">
        <v>168.56691</v>
      </c>
      <c r="BH127" t="n">
        <v>174.691</v>
      </c>
      <c r="CD127" t="n">
        <v>2.41</v>
      </c>
      <c r="CF127" t="n">
        <v>10</v>
      </c>
      <c r="CJ127" t="n">
        <v>233.0664</v>
      </c>
      <c r="CK127" t="n">
        <v>237.37523</v>
      </c>
      <c r="CL127" t="n">
        <v>229.25801</v>
      </c>
      <c r="CM127" t="n">
        <v>225.59406</v>
      </c>
      <c r="EH127" t="n">
        <v>231.323</v>
      </c>
      <c r="FD127" t="n">
        <v>1.89</v>
      </c>
      <c r="FF127" t="n">
        <v>10</v>
      </c>
      <c r="FJ127" t="n">
        <v>128.33875</v>
      </c>
      <c r="FK127" t="n">
        <v>129.52509</v>
      </c>
      <c r="FL127" t="n">
        <v>126.39451</v>
      </c>
      <c r="FM127" t="n">
        <v>125.75593</v>
      </c>
      <c r="HH127" t="n">
        <v>127.504</v>
      </c>
      <c r="ID127" t="n">
        <v>1.18</v>
      </c>
      <c r="IF127" t="n">
        <v>10</v>
      </c>
      <c r="IJ127" t="n">
        <v>185.81697</v>
      </c>
      <c r="IK127" t="n">
        <v>191.32625</v>
      </c>
      <c r="IL127" t="n">
        <v>188.09999</v>
      </c>
      <c r="IM127" t="n">
        <v>188.53505</v>
      </c>
      <c r="KH127" t="n">
        <v>188.445</v>
      </c>
      <c r="LD127" t="n">
        <v>1.04</v>
      </c>
    </row>
    <row r="128">
      <c r="A128" t="inlineStr">
        <is>
          <t>2026-06-05</t>
        </is>
      </c>
      <c r="B128" t="inlineStr">
        <is>
          <t>Diabetes 10</t>
        </is>
      </c>
      <c r="C128" t="inlineStr">
        <is>
          <t>200526060501</t>
        </is>
      </c>
      <c r="D128" t="inlineStr">
        <is>
          <t>GLU</t>
        </is>
      </c>
      <c r="F128" t="n">
        <v>8</v>
      </c>
      <c r="G128" t="n">
        <v>90.16</v>
      </c>
      <c r="H128" t="n">
        <v>811.4399999999999</v>
      </c>
      <c r="I128" t="n">
        <v>-631.12</v>
      </c>
      <c r="J128" t="n">
        <v>92.16746500000001</v>
      </c>
      <c r="K128" t="n">
        <v>89.152466</v>
      </c>
      <c r="L128" t="n">
        <v>91.28294</v>
      </c>
      <c r="M128" t="n">
        <v>91.83668</v>
      </c>
      <c r="BH128" t="n">
        <v>91.11</v>
      </c>
      <c r="BS128" t="n">
        <v>1.05</v>
      </c>
      <c r="CD128" t="n">
        <v>1.29</v>
      </c>
      <c r="CF128" t="n">
        <v>8</v>
      </c>
      <c r="CG128" t="n">
        <v>293.02</v>
      </c>
      <c r="CH128" t="n">
        <v>2637.18</v>
      </c>
      <c r="CI128" t="n">
        <v>-2051.14</v>
      </c>
      <c r="CJ128" t="n">
        <v>299.9851</v>
      </c>
      <c r="CK128" t="n">
        <v>301.67892</v>
      </c>
      <c r="CL128" t="n">
        <v>297.21707</v>
      </c>
      <c r="CM128" t="n">
        <v>300.4703</v>
      </c>
      <c r="EH128" t="n">
        <v>299.838</v>
      </c>
      <c r="ES128" t="n">
        <v>2.33</v>
      </c>
      <c r="FD128" t="n">
        <v>0.54</v>
      </c>
      <c r="FF128" t="n">
        <v>8</v>
      </c>
      <c r="FG128" t="n">
        <v>65.66</v>
      </c>
      <c r="FH128" t="n">
        <v>590.9399999999999</v>
      </c>
      <c r="FI128" t="n">
        <v>-459.62</v>
      </c>
      <c r="FJ128" t="n">
        <v>67.19078</v>
      </c>
      <c r="FK128" t="n">
        <v>66.4037</v>
      </c>
      <c r="FL128" t="n">
        <v>66.70983</v>
      </c>
      <c r="FM128" t="n">
        <v>66.710785</v>
      </c>
      <c r="HH128" t="n">
        <v>66.754</v>
      </c>
      <c r="HS128" t="n">
        <v>1.67</v>
      </c>
      <c r="ID128" t="n">
        <v>0.42</v>
      </c>
      <c r="IF128" t="n">
        <v>8</v>
      </c>
      <c r="IG128" t="n">
        <v>359.66</v>
      </c>
      <c r="IH128" t="n">
        <v>3236.94</v>
      </c>
      <c r="II128" t="n">
        <v>-2517.62</v>
      </c>
      <c r="IJ128" t="n">
        <v>358.6899</v>
      </c>
      <c r="IK128" t="n">
        <v>360.04733</v>
      </c>
      <c r="IL128" t="n">
        <v>369.63373</v>
      </c>
      <c r="IM128" t="n">
        <v>364.5403</v>
      </c>
      <c r="KH128" t="n">
        <v>363.228</v>
      </c>
      <c r="KS128" t="n">
        <v>0.99</v>
      </c>
      <c r="LD128" t="n">
        <v>1.18</v>
      </c>
    </row>
    <row r="129">
      <c r="A129" t="inlineStr">
        <is>
          <t>2026-06-05</t>
        </is>
      </c>
      <c r="B129" t="inlineStr">
        <is>
          <t>Diabetes 10</t>
        </is>
      </c>
      <c r="C129" t="inlineStr">
        <is>
          <t>200526060501</t>
        </is>
      </c>
      <c r="D129" t="inlineStr">
        <is>
          <t>P-LIPA</t>
        </is>
      </c>
      <c r="F129" t="n">
        <v>30</v>
      </c>
      <c r="J129" t="n">
        <v>70.282814</v>
      </c>
      <c r="K129" t="n">
        <v>71.010704</v>
      </c>
      <c r="L129" t="n">
        <v>73.66893</v>
      </c>
      <c r="M129" t="n">
        <v>72.06001000000001</v>
      </c>
      <c r="BH129" t="n">
        <v>71.756</v>
      </c>
      <c r="CD129" t="n">
        <v>1.77</v>
      </c>
      <c r="CF129" t="n">
        <v>30</v>
      </c>
      <c r="CJ129" t="n">
        <v>84.9044</v>
      </c>
      <c r="CK129" t="n">
        <v>89.163956</v>
      </c>
      <c r="CL129" t="n">
        <v>89.444214</v>
      </c>
      <c r="CM129" t="n">
        <v>87.67628499999999</v>
      </c>
      <c r="EH129" t="n">
        <v>87.797</v>
      </c>
      <c r="FD129" t="n">
        <v>2.05</v>
      </c>
      <c r="FF129" t="n">
        <v>30</v>
      </c>
      <c r="FJ129" t="n">
        <v>42.344864</v>
      </c>
      <c r="FK129" t="n">
        <v>42.852814</v>
      </c>
      <c r="FL129" t="n">
        <v>43.43433</v>
      </c>
      <c r="FM129" t="n">
        <v>43.945198</v>
      </c>
      <c r="HH129" t="n">
        <v>43.144</v>
      </c>
      <c r="ID129" t="n">
        <v>1.4</v>
      </c>
      <c r="IF129" t="n">
        <v>30</v>
      </c>
      <c r="IJ129" t="n">
        <v>105.90808</v>
      </c>
      <c r="IK129" t="n">
        <v>111.5187</v>
      </c>
      <c r="IL129" t="n">
        <v>112.62893</v>
      </c>
      <c r="IM129" t="n">
        <v>112.82326</v>
      </c>
      <c r="KH129" t="n">
        <v>110.72</v>
      </c>
      <c r="LD129" t="n">
        <v>2.55</v>
      </c>
    </row>
    <row r="130">
      <c r="A130" t="inlineStr">
        <is>
          <t>2026-06-05</t>
        </is>
      </c>
      <c r="B130" t="inlineStr">
        <is>
          <t>Diabetes 10</t>
        </is>
      </c>
      <c r="C130" t="inlineStr">
        <is>
          <t>200526060501</t>
        </is>
      </c>
      <c r="D130" t="inlineStr">
        <is>
          <t>TP</t>
        </is>
      </c>
      <c r="F130" t="n">
        <v>8</v>
      </c>
      <c r="G130" t="n">
        <v>6.4</v>
      </c>
      <c r="H130" t="n">
        <v>57.6</v>
      </c>
      <c r="I130" t="n">
        <v>-44.8</v>
      </c>
      <c r="J130" t="n">
        <v>6.3703365</v>
      </c>
      <c r="K130" t="n">
        <v>6.1689672</v>
      </c>
      <c r="L130" t="n">
        <v>6.361713</v>
      </c>
      <c r="M130" t="n">
        <v>6.3208203</v>
      </c>
      <c r="BH130" t="n">
        <v>6.305</v>
      </c>
      <c r="BS130" t="n">
        <v>-1.48</v>
      </c>
      <c r="CD130" t="n">
        <v>1.28</v>
      </c>
      <c r="CF130" t="n">
        <v>8</v>
      </c>
      <c r="CG130" t="n">
        <v>4.1</v>
      </c>
      <c r="CH130" t="n">
        <v>36.9</v>
      </c>
      <c r="CI130" t="n">
        <v>-28.7</v>
      </c>
      <c r="CJ130" t="n">
        <v>4.1500087</v>
      </c>
      <c r="CK130" t="n">
        <v>4.096152</v>
      </c>
      <c r="CL130" t="n">
        <v>4.1718974</v>
      </c>
      <c r="CM130" t="n">
        <v>4.158496</v>
      </c>
      <c r="EH130" t="n">
        <v>4.144</v>
      </c>
      <c r="ES130" t="n">
        <v>1.08</v>
      </c>
      <c r="FD130" t="n">
        <v>0.6899999999999999</v>
      </c>
      <c r="FF130" t="n">
        <v>8</v>
      </c>
      <c r="FG130" t="n">
        <v>4.2</v>
      </c>
      <c r="FH130" t="n">
        <v>37.8</v>
      </c>
      <c r="FI130" t="n">
        <v>-29.4</v>
      </c>
      <c r="FJ130" t="n">
        <v>3.9471376</v>
      </c>
      <c r="FK130" t="n">
        <v>3.89858</v>
      </c>
      <c r="FL130" t="n">
        <v>3.9891846</v>
      </c>
      <c r="FM130" t="n">
        <v>3.9600253</v>
      </c>
      <c r="HH130" t="n">
        <v>3.949</v>
      </c>
      <c r="HS130" t="n">
        <v>-5.98</v>
      </c>
      <c r="ID130" t="n">
        <v>0.83</v>
      </c>
      <c r="IF130" t="n">
        <v>8</v>
      </c>
      <c r="IG130" t="n">
        <v>7.5</v>
      </c>
      <c r="IH130" t="n">
        <v>67.5</v>
      </c>
      <c r="II130" t="n">
        <v>-52.5</v>
      </c>
      <c r="IJ130" t="n">
        <v>7.2523146</v>
      </c>
      <c r="IK130" t="n">
        <v>7.248461</v>
      </c>
      <c r="IL130" t="n">
        <v>7.518112</v>
      </c>
      <c r="IM130" t="n">
        <v>7.219742</v>
      </c>
      <c r="KH130" t="n">
        <v>7.31</v>
      </c>
      <c r="KS130" t="n">
        <v>-2.54</v>
      </c>
      <c r="LD130" t="n">
        <v>1.66</v>
      </c>
    </row>
    <row r="131">
      <c r="A131" t="inlineStr">
        <is>
          <t>2026-06-05</t>
        </is>
      </c>
      <c r="B131" t="inlineStr">
        <is>
          <t>Diabetes 10</t>
        </is>
      </c>
      <c r="C131" t="inlineStr">
        <is>
          <t>200526060501</t>
        </is>
      </c>
      <c r="D131" t="inlineStr">
        <is>
          <t>TRIG</t>
        </is>
      </c>
      <c r="F131" t="n">
        <v>15</v>
      </c>
      <c r="J131" t="n">
        <v>180.68863</v>
      </c>
      <c r="K131" t="n">
        <v>172.96155</v>
      </c>
      <c r="L131" t="n">
        <v>177.68526</v>
      </c>
      <c r="M131" t="n">
        <v>176.8941</v>
      </c>
      <c r="BH131" t="n">
        <v>177.057</v>
      </c>
      <c r="CD131" t="n">
        <v>1.56</v>
      </c>
      <c r="CF131" t="n">
        <v>15</v>
      </c>
      <c r="CJ131" t="n">
        <v>94.21485</v>
      </c>
      <c r="CK131" t="n">
        <v>93.19199999999999</v>
      </c>
      <c r="CL131" t="n">
        <v>92.991196</v>
      </c>
      <c r="CM131" t="n">
        <v>91.52733000000001</v>
      </c>
      <c r="EH131" t="n">
        <v>92.98099999999999</v>
      </c>
      <c r="FD131" t="n">
        <v>1.03</v>
      </c>
      <c r="FF131" t="n">
        <v>15</v>
      </c>
      <c r="FJ131" t="n">
        <v>108.29781</v>
      </c>
      <c r="FK131" t="n">
        <v>106.29176</v>
      </c>
      <c r="FL131" t="n">
        <v>106.04872</v>
      </c>
      <c r="FM131" t="n">
        <v>106.53618</v>
      </c>
      <c r="HH131" t="n">
        <v>106.794</v>
      </c>
      <c r="ID131" t="n">
        <v>0.83</v>
      </c>
      <c r="IF131" t="n">
        <v>15</v>
      </c>
      <c r="IJ131" t="n">
        <v>222.42151</v>
      </c>
      <c r="IK131" t="n">
        <v>219.04619</v>
      </c>
      <c r="IL131" t="n">
        <v>229.61841</v>
      </c>
      <c r="IM131" t="n">
        <v>218.64114</v>
      </c>
      <c r="KH131" t="n">
        <v>222.432</v>
      </c>
      <c r="LD131" t="n">
        <v>1.98</v>
      </c>
    </row>
    <row r="132">
      <c r="A132" t="inlineStr">
        <is>
          <t>2026-06-05</t>
        </is>
      </c>
      <c r="B132" t="inlineStr">
        <is>
          <t>Specific Test 6</t>
        </is>
      </c>
      <c r="C132" t="inlineStr">
        <is>
          <t>103726060501 &amp; 203726060501</t>
        </is>
      </c>
      <c r="D132" t="inlineStr">
        <is>
          <t>AMY</t>
        </is>
      </c>
      <c r="F132" t="n">
        <v>10</v>
      </c>
      <c r="G132" t="n">
        <v>78</v>
      </c>
      <c r="H132" t="n">
        <v>858</v>
      </c>
      <c r="I132" t="n">
        <v>-702</v>
      </c>
      <c r="J132" t="n">
        <v>77.70972999999999</v>
      </c>
      <c r="K132" t="n">
        <v>77.73439</v>
      </c>
      <c r="L132" t="n">
        <v>79.3751</v>
      </c>
      <c r="M132" t="n">
        <v>77.81684</v>
      </c>
      <c r="N132" t="n">
        <v>76.47525</v>
      </c>
      <c r="O132" t="n">
        <v>76.69015</v>
      </c>
      <c r="BH132" t="n">
        <v>77.634</v>
      </c>
      <c r="BS132" t="n">
        <v>-0.47</v>
      </c>
      <c r="CD132" t="n">
        <v>1.21</v>
      </c>
      <c r="CF132" t="n">
        <v>10</v>
      </c>
      <c r="CG132" t="n">
        <v>404</v>
      </c>
      <c r="CH132" t="n">
        <v>4444</v>
      </c>
      <c r="CI132" t="n">
        <v>-3636</v>
      </c>
      <c r="CJ132" t="n">
        <v>405.48984</v>
      </c>
      <c r="CK132" t="n">
        <v>399.1468</v>
      </c>
      <c r="CL132" t="n">
        <v>416.599</v>
      </c>
      <c r="CM132" t="n">
        <v>407.53577</v>
      </c>
      <c r="CN132" t="n">
        <v>412.74994</v>
      </c>
      <c r="CO132" t="n">
        <v>406.7555</v>
      </c>
      <c r="EH132" t="n">
        <v>408.046</v>
      </c>
      <c r="ES132" t="n">
        <v>1</v>
      </c>
      <c r="FD132" t="n">
        <v>1.35</v>
      </c>
      <c r="FF132" t="n">
        <v>10</v>
      </c>
      <c r="FG132" t="n">
        <v>63</v>
      </c>
      <c r="FH132" t="n">
        <v>693</v>
      </c>
      <c r="FI132" t="n">
        <v>-567</v>
      </c>
      <c r="FJ132" t="n">
        <v>63.91224</v>
      </c>
      <c r="FK132" t="n">
        <v>62.748512</v>
      </c>
      <c r="FL132" t="n">
        <v>62.752277</v>
      </c>
      <c r="FM132" t="n">
        <v>63.800537</v>
      </c>
      <c r="HH132" t="n">
        <v>63.303</v>
      </c>
      <c r="HS132" t="n">
        <v>0.48</v>
      </c>
      <c r="ID132" t="n">
        <v>0.88</v>
      </c>
      <c r="IF132" t="n">
        <v>10</v>
      </c>
      <c r="IG132" t="n">
        <v>297</v>
      </c>
      <c r="IH132" t="n">
        <v>3267</v>
      </c>
      <c r="II132" t="n">
        <v>-2673</v>
      </c>
      <c r="IJ132" t="n">
        <v>310.0324</v>
      </c>
      <c r="IK132" t="n">
        <v>296.5205</v>
      </c>
      <c r="IL132" t="n">
        <v>297.45148</v>
      </c>
      <c r="IM132" t="n">
        <v>297.7686</v>
      </c>
      <c r="KH132" t="n">
        <v>300.443</v>
      </c>
      <c r="KS132" t="n">
        <v>1.16</v>
      </c>
      <c r="LD132" t="n">
        <v>1.85</v>
      </c>
    </row>
    <row r="133">
      <c r="A133" t="inlineStr">
        <is>
          <t>2026-06-05</t>
        </is>
      </c>
      <c r="B133" t="inlineStr">
        <is>
          <t>Specific Test 6</t>
        </is>
      </c>
      <c r="C133" t="inlineStr">
        <is>
          <t>103726060501 &amp; 203726060501</t>
        </is>
      </c>
      <c r="D133" t="inlineStr">
        <is>
          <t>P-LIPA</t>
        </is>
      </c>
      <c r="F133" t="n">
        <v>30</v>
      </c>
      <c r="J133" t="n">
        <v>72.52252</v>
      </c>
      <c r="K133" t="n">
        <v>70.48416</v>
      </c>
      <c r="L133" t="n">
        <v>71.30383999999999</v>
      </c>
      <c r="M133" t="n">
        <v>73.17300400000001</v>
      </c>
      <c r="N133" t="n">
        <v>73.563446</v>
      </c>
      <c r="O133" t="n">
        <v>72.36355</v>
      </c>
      <c r="BH133" t="n">
        <v>72.235</v>
      </c>
      <c r="CD133" t="n">
        <v>1.46</v>
      </c>
      <c r="CF133" t="n">
        <v>30</v>
      </c>
      <c r="CJ133" t="n">
        <v>90.72646</v>
      </c>
      <c r="CK133" t="n">
        <v>91.13891599999999</v>
      </c>
      <c r="CL133" t="n">
        <v>90.5278</v>
      </c>
      <c r="CM133" t="n">
        <v>90.23054500000001</v>
      </c>
      <c r="CN133" t="n">
        <v>90.33359</v>
      </c>
      <c r="CO133" t="n">
        <v>89.20116</v>
      </c>
      <c r="EH133" t="n">
        <v>90.36</v>
      </c>
      <c r="FD133" t="n">
        <v>0.66</v>
      </c>
      <c r="FF133" t="n">
        <v>30</v>
      </c>
      <c r="FJ133" t="n">
        <v>40.364037</v>
      </c>
      <c r="FK133" t="n">
        <v>42.059937</v>
      </c>
      <c r="FL133" t="n">
        <v>42.34272</v>
      </c>
      <c r="FM133" t="n">
        <v>42.033405</v>
      </c>
      <c r="HH133" t="n">
        <v>41.7</v>
      </c>
      <c r="ID133" t="n">
        <v>1.87</v>
      </c>
      <c r="IF133" t="n">
        <v>30</v>
      </c>
      <c r="IJ133" t="n">
        <v>113.384094</v>
      </c>
      <c r="IK133" t="n">
        <v>115.230995</v>
      </c>
      <c r="IL133" t="n">
        <v>114.869804</v>
      </c>
      <c r="IM133" t="n">
        <v>114.29313</v>
      </c>
      <c r="KH133" t="n">
        <v>114.445</v>
      </c>
      <c r="LD133" t="n">
        <v>0.61</v>
      </c>
    </row>
    <row r="134">
      <c r="A134" t="inlineStr">
        <is>
          <t>2026-06-05</t>
        </is>
      </c>
      <c r="B134" t="inlineStr">
        <is>
          <t>Exotic Pets 13</t>
        </is>
      </c>
      <c r="C134" t="inlineStr">
        <is>
          <t>100426060501</t>
        </is>
      </c>
      <c r="D134" t="inlineStr">
        <is>
          <t>ALB</t>
        </is>
      </c>
      <c r="F134" t="n">
        <v>8</v>
      </c>
      <c r="G134" t="n">
        <v>4.2</v>
      </c>
      <c r="H134" t="n">
        <v>37.8</v>
      </c>
      <c r="I134" t="n">
        <v>-29.4</v>
      </c>
      <c r="J134" t="n">
        <v>4.382193</v>
      </c>
      <c r="K134" t="n">
        <v>4.285678</v>
      </c>
      <c r="L134" t="n">
        <v>4.28631</v>
      </c>
      <c r="M134" t="n">
        <v>4.3026876</v>
      </c>
      <c r="BH134" t="n">
        <v>4.314</v>
      </c>
      <c r="BS134" t="n">
        <v>2.72</v>
      </c>
      <c r="CD134" t="n">
        <v>0.92</v>
      </c>
      <c r="CF134" t="n">
        <v>8</v>
      </c>
      <c r="CG134" t="n">
        <v>2.7</v>
      </c>
      <c r="CH134" t="n">
        <v>24.3</v>
      </c>
      <c r="CI134" t="n">
        <v>-18.9</v>
      </c>
      <c r="CJ134" t="n">
        <v>2.8504138</v>
      </c>
      <c r="CK134" t="n">
        <v>2.8629036</v>
      </c>
      <c r="CL134" t="n">
        <v>2.8340716</v>
      </c>
      <c r="CM134" t="n">
        <v>2.8299477</v>
      </c>
      <c r="EH134" t="n">
        <v>2.844</v>
      </c>
      <c r="ES134" t="n">
        <v>5.35</v>
      </c>
      <c r="FD134" t="n">
        <v>0.46</v>
      </c>
      <c r="FF134" t="n">
        <v>8</v>
      </c>
      <c r="FG134" t="n">
        <v>2.6</v>
      </c>
      <c r="FH134" t="n">
        <v>23.4</v>
      </c>
      <c r="FI134" t="n">
        <v>-18.2</v>
      </c>
      <c r="FJ134" t="n">
        <v>2.6789663</v>
      </c>
      <c r="FK134" t="n">
        <v>2.6677854</v>
      </c>
      <c r="FL134" t="n">
        <v>2.650982</v>
      </c>
      <c r="FM134" t="n">
        <v>2.6702623</v>
      </c>
      <c r="HH134" t="n">
        <v>2.667</v>
      </c>
      <c r="HS134" t="n">
        <v>2.58</v>
      </c>
      <c r="ID134" t="n">
        <v>0.38</v>
      </c>
      <c r="IF134" t="n">
        <v>8</v>
      </c>
      <c r="IG134" t="n">
        <v>4.2</v>
      </c>
      <c r="IH134" t="n">
        <v>37.8</v>
      </c>
      <c r="II134" t="n">
        <v>-29.4</v>
      </c>
      <c r="IJ134" t="n">
        <v>4.23635</v>
      </c>
      <c r="IK134" t="n">
        <v>4.2711086</v>
      </c>
      <c r="IL134" t="n">
        <v>4.1461406</v>
      </c>
      <c r="IM134" t="n">
        <v>4.2622237</v>
      </c>
      <c r="KH134" t="n">
        <v>4.229</v>
      </c>
      <c r="KS134" t="n">
        <v>0.6899999999999999</v>
      </c>
      <c r="LD134" t="n">
        <v>1.17</v>
      </c>
    </row>
    <row r="135">
      <c r="A135" t="inlineStr">
        <is>
          <t>2026-06-05</t>
        </is>
      </c>
      <c r="B135" t="inlineStr">
        <is>
          <t>Exotic Pets 13</t>
        </is>
      </c>
      <c r="C135" t="inlineStr">
        <is>
          <t>100426060501</t>
        </is>
      </c>
      <c r="D135" t="inlineStr">
        <is>
          <t>AST</t>
        </is>
      </c>
      <c r="F135" t="n">
        <v>15</v>
      </c>
      <c r="G135" t="n">
        <v>44</v>
      </c>
      <c r="H135" t="n">
        <v>704</v>
      </c>
      <c r="I135" t="n">
        <v>-616</v>
      </c>
      <c r="J135" t="n">
        <v>49.239285</v>
      </c>
      <c r="K135" t="n">
        <v>41.642345</v>
      </c>
      <c r="L135" t="n">
        <v>42.86622</v>
      </c>
      <c r="M135" t="n">
        <v>44.004913</v>
      </c>
      <c r="BH135" t="n">
        <v>44.438</v>
      </c>
      <c r="BS135" t="n">
        <v>1</v>
      </c>
      <c r="CD135" t="n">
        <v>6.51</v>
      </c>
      <c r="CF135" t="n">
        <v>15</v>
      </c>
      <c r="CG135" t="n">
        <v>221</v>
      </c>
      <c r="CH135" t="n">
        <v>3536</v>
      </c>
      <c r="CI135" t="n">
        <v>-3094</v>
      </c>
      <c r="CJ135" t="n">
        <v>231.52864</v>
      </c>
      <c r="CK135" t="n">
        <v>222.65668</v>
      </c>
      <c r="CL135" t="n">
        <v>222.40105</v>
      </c>
      <c r="CM135" t="n">
        <v>226.70949</v>
      </c>
      <c r="EH135" t="n">
        <v>225.824</v>
      </c>
      <c r="ES135" t="n">
        <v>2.18</v>
      </c>
      <c r="FD135" t="n">
        <v>1.64</v>
      </c>
      <c r="FF135" t="n">
        <v>15</v>
      </c>
      <c r="FG135" t="n">
        <v>45</v>
      </c>
      <c r="FH135" t="n">
        <v>720</v>
      </c>
      <c r="FI135" t="n">
        <v>-630</v>
      </c>
      <c r="FJ135" t="n">
        <v>40.973186</v>
      </c>
      <c r="FK135" t="n">
        <v>45.255604</v>
      </c>
      <c r="FL135" t="n">
        <v>45.95585</v>
      </c>
      <c r="FM135" t="n">
        <v>46.207916</v>
      </c>
      <c r="HH135" t="n">
        <v>44.598</v>
      </c>
      <c r="HS135" t="n">
        <v>-0.89</v>
      </c>
      <c r="ID135" t="n">
        <v>4.76</v>
      </c>
      <c r="IF135" t="n">
        <v>15</v>
      </c>
      <c r="IG135" t="n">
        <v>282</v>
      </c>
      <c r="IH135" t="n">
        <v>4512</v>
      </c>
      <c r="II135" t="n">
        <v>-3948</v>
      </c>
      <c r="IJ135" t="n">
        <v>302.76575</v>
      </c>
      <c r="IK135" t="n">
        <v>298.2078</v>
      </c>
      <c r="IL135" t="n">
        <v>287.92886</v>
      </c>
      <c r="IM135" t="n">
        <v>291.66122</v>
      </c>
      <c r="KH135" t="n">
        <v>295.141</v>
      </c>
      <c r="KS135" t="n">
        <v>4.66</v>
      </c>
      <c r="LD135" t="n">
        <v>1.94</v>
      </c>
    </row>
    <row r="136">
      <c r="A136" t="inlineStr">
        <is>
          <t>2026-06-05</t>
        </is>
      </c>
      <c r="B136" t="inlineStr">
        <is>
          <t>Exotic Pets 13</t>
        </is>
      </c>
      <c r="C136" t="inlineStr">
        <is>
          <t>100426060501</t>
        </is>
      </c>
      <c r="D136" t="inlineStr">
        <is>
          <t>CK</t>
        </is>
      </c>
      <c r="F136" t="n">
        <v>20</v>
      </c>
      <c r="J136" t="n">
        <v>151.6159</v>
      </c>
      <c r="K136" t="n">
        <v>136.04799</v>
      </c>
      <c r="L136" t="n">
        <v>144.45503</v>
      </c>
      <c r="M136" t="n">
        <v>144.5077</v>
      </c>
      <c r="BH136" t="n">
        <v>144.157</v>
      </c>
      <c r="CD136" t="n">
        <v>3.82</v>
      </c>
      <c r="CF136" t="n">
        <v>20</v>
      </c>
      <c r="CJ136" t="n">
        <v>508.70743</v>
      </c>
      <c r="CK136" t="n">
        <v>483.1354</v>
      </c>
      <c r="CL136" t="n">
        <v>489.24567</v>
      </c>
      <c r="CM136" t="n">
        <v>478.92578</v>
      </c>
      <c r="EH136" t="n">
        <v>490.004</v>
      </c>
      <c r="FD136" t="n">
        <v>2.33</v>
      </c>
      <c r="FF136" t="n">
        <v>20</v>
      </c>
      <c r="FJ136" t="n">
        <v>80.30816</v>
      </c>
      <c r="FK136" t="n">
        <v>70.76505</v>
      </c>
      <c r="FL136" t="n">
        <v>75.64185000000001</v>
      </c>
      <c r="FM136" t="n">
        <v>72.6968</v>
      </c>
      <c r="HH136" t="n">
        <v>74.85299999999999</v>
      </c>
      <c r="ID136" t="n">
        <v>4.8</v>
      </c>
      <c r="IF136" t="n">
        <v>20</v>
      </c>
      <c r="IJ136" t="n">
        <v>702.8440000000001</v>
      </c>
      <c r="IK136" t="n">
        <v>660.1471</v>
      </c>
      <c r="IL136" t="n">
        <v>657.5309999999999</v>
      </c>
      <c r="IM136" t="n">
        <v>667.60144</v>
      </c>
      <c r="KH136" t="n">
        <v>672.0309999999999</v>
      </c>
      <c r="LD136" t="n">
        <v>2.7</v>
      </c>
    </row>
    <row r="137">
      <c r="A137" t="inlineStr">
        <is>
          <t>2026-06-05</t>
        </is>
      </c>
      <c r="B137" t="inlineStr">
        <is>
          <t>Exotic Pets 13</t>
        </is>
      </c>
      <c r="C137" t="inlineStr">
        <is>
          <t>100426060501</t>
        </is>
      </c>
      <c r="D137" t="inlineStr">
        <is>
          <t>Ca</t>
        </is>
      </c>
      <c r="G137" t="n">
        <v>9.1</v>
      </c>
      <c r="J137" t="n">
        <v>9.333406</v>
      </c>
      <c r="K137" t="n">
        <v>9.581299</v>
      </c>
      <c r="L137" t="n">
        <v>9.406445</v>
      </c>
      <c r="M137" t="n">
        <v>9.400086</v>
      </c>
      <c r="BH137" t="n">
        <v>9.43</v>
      </c>
      <c r="BS137" t="n">
        <v>3.63</v>
      </c>
      <c r="CD137" t="n">
        <v>0.97</v>
      </c>
      <c r="CG137" t="n">
        <v>12.4</v>
      </c>
      <c r="CJ137" t="n">
        <v>12.434613</v>
      </c>
      <c r="CK137" t="n">
        <v>11.87854</v>
      </c>
      <c r="CL137" t="n">
        <v>12.251824</v>
      </c>
      <c r="CM137" t="n">
        <v>12.334908</v>
      </c>
      <c r="EH137" t="n">
        <v>12.225</v>
      </c>
      <c r="ES137" t="n">
        <v>-1.41</v>
      </c>
      <c r="FD137" t="n">
        <v>1.72</v>
      </c>
      <c r="FG137" t="n">
        <v>5.9</v>
      </c>
      <c r="FJ137" t="n">
        <v>5.9675274</v>
      </c>
      <c r="FK137" t="n">
        <v>5.663824</v>
      </c>
      <c r="FL137" t="n">
        <v>5.8991566</v>
      </c>
      <c r="FM137" t="n">
        <v>5.710586</v>
      </c>
      <c r="HH137" t="n">
        <v>5.81</v>
      </c>
      <c r="HS137" t="n">
        <v>-1.52</v>
      </c>
      <c r="ID137" t="n">
        <v>2.18</v>
      </c>
      <c r="IG137" t="n">
        <v>12.7</v>
      </c>
      <c r="IJ137" t="n">
        <v>12.185921</v>
      </c>
      <c r="IK137" t="n">
        <v>12.456257</v>
      </c>
      <c r="IL137" t="n">
        <v>12.559235</v>
      </c>
      <c r="IM137" t="n">
        <v>12.550591</v>
      </c>
      <c r="KH137" t="n">
        <v>12.438</v>
      </c>
      <c r="KS137" t="n">
        <v>-2.06</v>
      </c>
      <c r="LD137" t="n">
        <v>1.21</v>
      </c>
    </row>
    <row r="138">
      <c r="A138" t="inlineStr">
        <is>
          <t>2026-06-05</t>
        </is>
      </c>
      <c r="B138" t="inlineStr">
        <is>
          <t>Exotic Pets 13</t>
        </is>
      </c>
      <c r="C138" t="inlineStr">
        <is>
          <t>100426060501</t>
        </is>
      </c>
      <c r="D138" t="inlineStr">
        <is>
          <t>GLU</t>
        </is>
      </c>
      <c r="F138" t="n">
        <v>8</v>
      </c>
      <c r="G138" t="n">
        <v>90.16</v>
      </c>
      <c r="H138" t="n">
        <v>811.4399999999999</v>
      </c>
      <c r="I138" t="n">
        <v>-631.12</v>
      </c>
      <c r="J138" t="n">
        <v>92.54237999999999</v>
      </c>
      <c r="K138" t="n">
        <v>90.57034</v>
      </c>
      <c r="L138" t="n">
        <v>90.44188</v>
      </c>
      <c r="M138" t="n">
        <v>90.66840999999999</v>
      </c>
      <c r="BH138" t="n">
        <v>91.056</v>
      </c>
      <c r="BS138" t="n">
        <v>0.99</v>
      </c>
      <c r="CD138" t="n">
        <v>0.95</v>
      </c>
      <c r="CF138" t="n">
        <v>8</v>
      </c>
      <c r="CG138" t="n">
        <v>293.02</v>
      </c>
      <c r="CH138" t="n">
        <v>2637.18</v>
      </c>
      <c r="CI138" t="n">
        <v>-2051.14</v>
      </c>
      <c r="CJ138" t="n">
        <v>302.10855</v>
      </c>
      <c r="CK138" t="n">
        <v>299.48383</v>
      </c>
      <c r="CL138" t="n">
        <v>298.70593</v>
      </c>
      <c r="CM138" t="n">
        <v>301.083</v>
      </c>
      <c r="EH138" t="n">
        <v>300.345</v>
      </c>
      <c r="ES138" t="n">
        <v>2.5</v>
      </c>
      <c r="FD138" t="n">
        <v>0.44</v>
      </c>
      <c r="FF138" t="n">
        <v>8</v>
      </c>
      <c r="FG138" t="n">
        <v>65.66</v>
      </c>
      <c r="FH138" t="n">
        <v>590.9399999999999</v>
      </c>
      <c r="FI138" t="n">
        <v>-459.62</v>
      </c>
      <c r="FJ138" t="n">
        <v>66.582016</v>
      </c>
      <c r="FK138" t="n">
        <v>66.04597</v>
      </c>
      <c r="FL138" t="n">
        <v>66.19729599999999</v>
      </c>
      <c r="FM138" t="n">
        <v>66.55345</v>
      </c>
      <c r="HH138" t="n">
        <v>66.345</v>
      </c>
      <c r="HS138" t="n">
        <v>1.04</v>
      </c>
      <c r="ID138" t="n">
        <v>0.35</v>
      </c>
      <c r="IF138" t="n">
        <v>8</v>
      </c>
      <c r="IG138" t="n">
        <v>359.66</v>
      </c>
      <c r="IH138" t="n">
        <v>3236.94</v>
      </c>
      <c r="II138" t="n">
        <v>-2517.62</v>
      </c>
      <c r="IJ138" t="n">
        <v>369.33392</v>
      </c>
      <c r="IK138" t="n">
        <v>367.11002</v>
      </c>
      <c r="IL138" t="n">
        <v>365.09778</v>
      </c>
      <c r="IM138" t="n">
        <v>370.64935</v>
      </c>
      <c r="KH138" t="n">
        <v>368.048</v>
      </c>
      <c r="KS138" t="n">
        <v>2.33</v>
      </c>
      <c r="LD138" t="n">
        <v>0.58</v>
      </c>
    </row>
    <row r="139">
      <c r="A139" t="inlineStr">
        <is>
          <t>2026-06-05</t>
        </is>
      </c>
      <c r="B139" t="inlineStr">
        <is>
          <t>Exotic Pets 13</t>
        </is>
      </c>
      <c r="C139" t="inlineStr">
        <is>
          <t>100426060501</t>
        </is>
      </c>
      <c r="D139" t="inlineStr">
        <is>
          <t>PHOS</t>
        </is>
      </c>
      <c r="F139" t="n">
        <v>10</v>
      </c>
      <c r="G139" t="n">
        <v>3.3</v>
      </c>
      <c r="H139" t="n">
        <v>36.3</v>
      </c>
      <c r="I139" t="n">
        <v>-29.7</v>
      </c>
      <c r="J139" t="n">
        <v>3.3427238</v>
      </c>
      <c r="K139" t="n">
        <v>3.304753</v>
      </c>
      <c r="L139" t="n">
        <v>3.2260883</v>
      </c>
      <c r="M139" t="n">
        <v>3.2980936</v>
      </c>
      <c r="BH139" t="n">
        <v>3.293</v>
      </c>
      <c r="BS139" t="n">
        <v>-0.21</v>
      </c>
      <c r="CD139" t="n">
        <v>1.28</v>
      </c>
      <c r="CF139" t="n">
        <v>10</v>
      </c>
      <c r="CG139" t="n">
        <v>7.2</v>
      </c>
      <c r="CH139" t="n">
        <v>79.2</v>
      </c>
      <c r="CI139" t="n">
        <v>-64.8</v>
      </c>
      <c r="CJ139" t="n">
        <v>7.0818152</v>
      </c>
      <c r="CK139" t="n">
        <v>7.110699</v>
      </c>
      <c r="CL139" t="n">
        <v>7.1811156</v>
      </c>
      <c r="CM139" t="n">
        <v>7.1470194</v>
      </c>
      <c r="EH139" t="n">
        <v>7.13</v>
      </c>
      <c r="ES139" t="n">
        <v>-0.97</v>
      </c>
      <c r="FD139" t="n">
        <v>0.52</v>
      </c>
      <c r="FF139" t="n">
        <v>10</v>
      </c>
      <c r="FG139" t="n">
        <v>1.9</v>
      </c>
      <c r="FH139" t="n">
        <v>20.9</v>
      </c>
      <c r="FI139" t="n">
        <v>-17.1</v>
      </c>
      <c r="FJ139" t="n">
        <v>1.9334605</v>
      </c>
      <c r="FK139" t="n">
        <v>1.8937808</v>
      </c>
      <c r="FL139" t="n">
        <v>1.9738483</v>
      </c>
      <c r="FM139" t="n">
        <v>1.9274687</v>
      </c>
      <c r="HH139" t="n">
        <v>1.932</v>
      </c>
      <c r="HS139" t="n">
        <v>1.69</v>
      </c>
      <c r="ID139" t="n">
        <v>1.47</v>
      </c>
      <c r="IF139" t="n">
        <v>10</v>
      </c>
      <c r="IG139" t="n">
        <v>7.2</v>
      </c>
      <c r="IH139" t="n">
        <v>79.2</v>
      </c>
      <c r="II139" t="n">
        <v>-64.8</v>
      </c>
      <c r="IJ139" t="n">
        <v>7.3948493</v>
      </c>
      <c r="IK139" t="n">
        <v>7.3175645</v>
      </c>
      <c r="IL139" t="n">
        <v>7.2824464</v>
      </c>
      <c r="IM139" t="n">
        <v>7.3483787</v>
      </c>
      <c r="KH139" t="n">
        <v>7.336</v>
      </c>
      <c r="KS139" t="n">
        <v>1.89</v>
      </c>
      <c r="LD139" t="n">
        <v>0.5600000000000001</v>
      </c>
    </row>
    <row r="140">
      <c r="A140" t="inlineStr">
        <is>
          <t>2026-06-05</t>
        </is>
      </c>
      <c r="B140" t="inlineStr">
        <is>
          <t>Exotic Pets 13</t>
        </is>
      </c>
      <c r="C140" t="inlineStr">
        <is>
          <t>100426060501</t>
        </is>
      </c>
      <c r="D140" t="inlineStr">
        <is>
          <t>TP</t>
        </is>
      </c>
      <c r="F140" t="n">
        <v>8</v>
      </c>
      <c r="G140" t="n">
        <v>6.4</v>
      </c>
      <c r="H140" t="n">
        <v>57.6</v>
      </c>
      <c r="I140" t="n">
        <v>-44.8</v>
      </c>
      <c r="J140" t="n">
        <v>6.536679</v>
      </c>
      <c r="K140" t="n">
        <v>6.322743</v>
      </c>
      <c r="L140" t="n">
        <v>6.3915644</v>
      </c>
      <c r="M140" t="n">
        <v>6.347678</v>
      </c>
      <c r="BH140" t="n">
        <v>6.4</v>
      </c>
      <c r="BS140" t="n">
        <v>-0.01</v>
      </c>
      <c r="CD140" t="n">
        <v>1.29</v>
      </c>
      <c r="CF140" t="n">
        <v>8</v>
      </c>
      <c r="CG140" t="n">
        <v>4.1</v>
      </c>
      <c r="CH140" t="n">
        <v>36.9</v>
      </c>
      <c r="CI140" t="n">
        <v>-28.7</v>
      </c>
      <c r="CJ140" t="n">
        <v>4.1899176</v>
      </c>
      <c r="CK140" t="n">
        <v>4.130063</v>
      </c>
      <c r="CL140" t="n">
        <v>4.1708937</v>
      </c>
      <c r="CM140" t="n">
        <v>4.1787887</v>
      </c>
      <c r="EH140" t="n">
        <v>4.167</v>
      </c>
      <c r="ES140" t="n">
        <v>1.64</v>
      </c>
      <c r="FD140" t="n">
        <v>0.54</v>
      </c>
      <c r="FF140" t="n">
        <v>8</v>
      </c>
      <c r="FG140" t="n">
        <v>4.2</v>
      </c>
      <c r="FH140" t="n">
        <v>37.8</v>
      </c>
      <c r="FI140" t="n">
        <v>-29.4</v>
      </c>
      <c r="FJ140" t="n">
        <v>3.9218984</v>
      </c>
      <c r="FK140" t="n">
        <v>3.869642</v>
      </c>
      <c r="FL140" t="n">
        <v>3.9340186</v>
      </c>
      <c r="FM140" t="n">
        <v>3.8844721</v>
      </c>
      <c r="HH140" t="n">
        <v>3.903</v>
      </c>
      <c r="HS140" t="n">
        <v>-7.08</v>
      </c>
      <c r="ID140" t="n">
        <v>0.67</v>
      </c>
      <c r="IF140" t="n">
        <v>8</v>
      </c>
      <c r="IG140" t="n">
        <v>7.5</v>
      </c>
      <c r="IH140" t="n">
        <v>67.5</v>
      </c>
      <c r="II140" t="n">
        <v>-52.5</v>
      </c>
      <c r="IJ140" t="n">
        <v>7.282102</v>
      </c>
      <c r="IK140" t="n">
        <v>7.2081966</v>
      </c>
      <c r="IL140" t="n">
        <v>7.1325927</v>
      </c>
      <c r="IM140" t="n">
        <v>7.211668</v>
      </c>
      <c r="KH140" t="n">
        <v>7.209</v>
      </c>
      <c r="KS140" t="n">
        <v>-3.88</v>
      </c>
      <c r="LD140" t="n">
        <v>0.73</v>
      </c>
    </row>
    <row r="141">
      <c r="A141" t="inlineStr">
        <is>
          <t>2026-06-05</t>
        </is>
      </c>
      <c r="B141" t="inlineStr">
        <is>
          <t>Exotic Pets 13</t>
        </is>
      </c>
      <c r="C141" t="inlineStr">
        <is>
          <t>100426060501</t>
        </is>
      </c>
      <c r="D141" t="inlineStr">
        <is>
          <t>URIC</t>
        </is>
      </c>
      <c r="F141" t="n">
        <v>10</v>
      </c>
      <c r="G141" t="n">
        <v>4.561200670000002</v>
      </c>
      <c r="H141" t="n">
        <v>50.17320737000001</v>
      </c>
      <c r="I141" t="n">
        <v>-41.05080603000002</v>
      </c>
      <c r="J141" t="n">
        <v>4.683419</v>
      </c>
      <c r="K141" t="n">
        <v>4.508216</v>
      </c>
      <c r="L141" t="n">
        <v>4.6507926</v>
      </c>
      <c r="M141" t="n">
        <v>4.777864</v>
      </c>
      <c r="BH141" t="n">
        <v>4.655</v>
      </c>
      <c r="BS141" t="n">
        <v>2.06</v>
      </c>
      <c r="CD141" t="n">
        <v>2.08</v>
      </c>
      <c r="CF141" t="n">
        <v>10</v>
      </c>
      <c r="CG141" t="n">
        <v>9.699999999999999</v>
      </c>
      <c r="CH141" t="n">
        <v>106.7</v>
      </c>
      <c r="CI141" t="n">
        <v>-87.3</v>
      </c>
      <c r="CJ141" t="n">
        <v>9.357654</v>
      </c>
      <c r="CK141" t="n">
        <v>9.257611000000001</v>
      </c>
      <c r="CL141" t="n">
        <v>9.447317</v>
      </c>
      <c r="CM141" t="n">
        <v>9.715406</v>
      </c>
      <c r="EH141" t="n">
        <v>9.444000000000001</v>
      </c>
      <c r="ES141" t="n">
        <v>-2.63</v>
      </c>
      <c r="FD141" t="n">
        <v>1.8</v>
      </c>
      <c r="FF141" t="n">
        <v>10</v>
      </c>
      <c r="FG141" t="n">
        <v>2.7</v>
      </c>
      <c r="FH141" t="n">
        <v>29.7</v>
      </c>
      <c r="FI141" t="n">
        <v>-24.3</v>
      </c>
      <c r="FJ141" t="n">
        <v>2.7014391</v>
      </c>
      <c r="FK141" t="n">
        <v>2.737732</v>
      </c>
      <c r="FL141" t="n">
        <v>2.7868488</v>
      </c>
      <c r="FM141" t="n">
        <v>2.978815</v>
      </c>
      <c r="HH141" t="n">
        <v>2.801</v>
      </c>
      <c r="HS141" t="n">
        <v>3.75</v>
      </c>
      <c r="ID141" t="n">
        <v>3.82</v>
      </c>
      <c r="IF141" t="n">
        <v>10</v>
      </c>
      <c r="IG141" t="n">
        <v>9.300000000000001</v>
      </c>
      <c r="IH141" t="n">
        <v>102.3</v>
      </c>
      <c r="II141" t="n">
        <v>-83.7</v>
      </c>
      <c r="IJ141" t="n">
        <v>9.394568</v>
      </c>
      <c r="IK141" t="n">
        <v>9.355427000000001</v>
      </c>
      <c r="IL141" t="n">
        <v>9.140143</v>
      </c>
      <c r="IM141" t="n">
        <v>9.458035000000001</v>
      </c>
      <c r="KH141" t="n">
        <v>9.337</v>
      </c>
      <c r="KS141" t="n">
        <v>0.4</v>
      </c>
      <c r="LD141" t="n">
        <v>1.28</v>
      </c>
    </row>
    <row r="142">
      <c r="A142" t="inlineStr">
        <is>
          <t>2026-06-05</t>
        </is>
      </c>
      <c r="B142" t="inlineStr">
        <is>
          <t>Electrolyte 7</t>
        </is>
      </c>
      <c r="C142" t="inlineStr">
        <is>
          <t>100326060501</t>
        </is>
      </c>
      <c r="D142" t="inlineStr">
        <is>
          <t>ALP</t>
        </is>
      </c>
      <c r="F142" t="n">
        <v>20</v>
      </c>
      <c r="G142" t="n">
        <v>136</v>
      </c>
      <c r="H142" t="n">
        <v>2856</v>
      </c>
      <c r="I142" t="n">
        <v>-2584</v>
      </c>
      <c r="J142" t="n">
        <v>134.17603</v>
      </c>
      <c r="K142" t="n">
        <v>137.75282</v>
      </c>
      <c r="L142" t="n">
        <v>138.77849</v>
      </c>
      <c r="M142" t="n">
        <v>137.22932</v>
      </c>
      <c r="BH142" t="n">
        <v>136.984</v>
      </c>
      <c r="BS142" t="n">
        <v>0.72</v>
      </c>
      <c r="CD142" t="n">
        <v>1.25</v>
      </c>
      <c r="CF142" t="n">
        <v>20</v>
      </c>
      <c r="CG142" t="n">
        <v>456</v>
      </c>
      <c r="CH142" t="n">
        <v>9576</v>
      </c>
      <c r="CI142" t="n">
        <v>-8664</v>
      </c>
      <c r="CJ142" t="n">
        <v>424.02304</v>
      </c>
      <c r="CK142" t="n">
        <v>428.55875</v>
      </c>
      <c r="CL142" t="n">
        <v>435.6292</v>
      </c>
      <c r="CM142" t="n">
        <v>427.8199</v>
      </c>
      <c r="EH142" t="n">
        <v>429.008</v>
      </c>
      <c r="ES142" t="n">
        <v>-5.92</v>
      </c>
      <c r="FD142" t="n">
        <v>0.98</v>
      </c>
      <c r="FF142" t="n">
        <v>20</v>
      </c>
      <c r="FG142" t="n">
        <v>75</v>
      </c>
      <c r="FH142" t="n">
        <v>1575</v>
      </c>
      <c r="FI142" t="n">
        <v>-1425</v>
      </c>
      <c r="FJ142" t="n">
        <v>76.258675</v>
      </c>
      <c r="FK142" t="n">
        <v>75.05851</v>
      </c>
      <c r="FL142" t="n">
        <v>77.10789</v>
      </c>
      <c r="FM142" t="n">
        <v>77.54613000000001</v>
      </c>
      <c r="HH142" t="n">
        <v>76.49299999999999</v>
      </c>
      <c r="HS142" t="n">
        <v>1.99</v>
      </c>
      <c r="ID142" t="n">
        <v>1.24</v>
      </c>
      <c r="IF142" t="n">
        <v>20</v>
      </c>
      <c r="IG142" t="n">
        <v>251</v>
      </c>
      <c r="IH142" t="n">
        <v>5271</v>
      </c>
      <c r="II142" t="n">
        <v>-4769</v>
      </c>
      <c r="IJ142" t="n">
        <v>217.19695</v>
      </c>
      <c r="IK142" t="n">
        <v>216.12723</v>
      </c>
      <c r="IL142" t="n">
        <v>214.01804</v>
      </c>
      <c r="IM142" t="n">
        <v>219.11145</v>
      </c>
      <c r="KH142" t="n">
        <v>216.613</v>
      </c>
      <c r="KS142" t="n">
        <v>-13.7</v>
      </c>
      <c r="LD142" t="n">
        <v>0.85</v>
      </c>
    </row>
    <row r="143">
      <c r="A143" t="inlineStr">
        <is>
          <t>2026-06-05</t>
        </is>
      </c>
      <c r="B143" t="inlineStr">
        <is>
          <t>Electrolyte 7</t>
        </is>
      </c>
      <c r="C143" t="inlineStr">
        <is>
          <t>100326060501</t>
        </is>
      </c>
      <c r="D143" t="inlineStr">
        <is>
          <t>Cl</t>
        </is>
      </c>
      <c r="F143" t="n">
        <v>5</v>
      </c>
      <c r="G143" t="n">
        <v>90</v>
      </c>
      <c r="H143" t="n">
        <v>540</v>
      </c>
      <c r="I143" t="n">
        <v>-360</v>
      </c>
      <c r="J143" t="n">
        <v>108.06285</v>
      </c>
      <c r="K143" t="n">
        <v>110.21211</v>
      </c>
      <c r="L143" t="n">
        <v>109.54026</v>
      </c>
      <c r="M143" t="n">
        <v>103.24937</v>
      </c>
      <c r="BH143" t="n">
        <v>107.766</v>
      </c>
      <c r="BS143" t="n">
        <v>19.74</v>
      </c>
      <c r="CD143" t="n">
        <v>2.53</v>
      </c>
      <c r="CF143" t="n">
        <v>5</v>
      </c>
      <c r="CG143" t="n">
        <v>91</v>
      </c>
      <c r="CH143" t="n">
        <v>546</v>
      </c>
      <c r="CI143" t="n">
        <v>-364</v>
      </c>
      <c r="CJ143" t="n">
        <v>99.63266</v>
      </c>
      <c r="CK143" t="n">
        <v>98.646996</v>
      </c>
      <c r="CL143" t="n">
        <v>101.35674</v>
      </c>
      <c r="CM143" t="n">
        <v>99.625755</v>
      </c>
      <c r="EH143" t="n">
        <v>99.816</v>
      </c>
      <c r="ES143" t="n">
        <v>9.69</v>
      </c>
      <c r="FD143" t="n">
        <v>0.98</v>
      </c>
      <c r="FF143" t="n">
        <v>5</v>
      </c>
      <c r="FG143" t="n">
        <v>77</v>
      </c>
      <c r="FH143" t="n">
        <v>462</v>
      </c>
      <c r="FI143" t="n">
        <v>-308</v>
      </c>
      <c r="FJ143" t="n">
        <v>88.544785</v>
      </c>
      <c r="FK143" t="n">
        <v>80.88575</v>
      </c>
      <c r="FL143" t="n">
        <v>89.41061000000001</v>
      </c>
      <c r="FM143" t="n">
        <v>87.39243999999999</v>
      </c>
      <c r="HH143" t="n">
        <v>86.55800000000001</v>
      </c>
      <c r="HS143" t="n">
        <v>12.41</v>
      </c>
      <c r="ID143" t="n">
        <v>3.87</v>
      </c>
      <c r="IF143" t="n">
        <v>5</v>
      </c>
      <c r="IG143" t="n">
        <v>118</v>
      </c>
      <c r="IH143" t="n">
        <v>708</v>
      </c>
      <c r="II143" t="n">
        <v>-472</v>
      </c>
      <c r="IJ143" t="n">
        <v>135.59686</v>
      </c>
      <c r="IK143" t="n">
        <v>136.27324</v>
      </c>
      <c r="IL143" t="n">
        <v>135.52606</v>
      </c>
      <c r="IM143" t="n">
        <v>134.9403</v>
      </c>
      <c r="KH143" t="n">
        <v>135.584</v>
      </c>
      <c r="KS143" t="n">
        <v>14.9</v>
      </c>
      <c r="LD143" t="n">
        <v>0.35</v>
      </c>
    </row>
    <row r="144">
      <c r="A144" t="inlineStr">
        <is>
          <t>2026-06-05</t>
        </is>
      </c>
      <c r="B144" t="inlineStr">
        <is>
          <t>Electrolyte 7</t>
        </is>
      </c>
      <c r="C144" t="inlineStr">
        <is>
          <t>100326060501</t>
        </is>
      </c>
      <c r="D144" t="inlineStr">
        <is>
          <t>K</t>
        </is>
      </c>
      <c r="G144" t="n">
        <v>3.9</v>
      </c>
      <c r="J144" t="n">
        <v>5.2089176</v>
      </c>
      <c r="K144" t="n">
        <v>5.6494536</v>
      </c>
      <c r="L144" t="n">
        <v>5.517267</v>
      </c>
      <c r="M144" t="n">
        <v>5.2306075</v>
      </c>
      <c r="BH144" t="n">
        <v>5.402</v>
      </c>
      <c r="BS144" t="n">
        <v>38.5</v>
      </c>
      <c r="CD144" t="n">
        <v>3.48</v>
      </c>
      <c r="CG144" t="n">
        <v>6</v>
      </c>
      <c r="CJ144" t="n">
        <v>8.612802500000001</v>
      </c>
      <c r="CK144" t="n">
        <v>8.528892000000001</v>
      </c>
      <c r="CL144" t="n">
        <v>8.751875</v>
      </c>
      <c r="CM144" t="n">
        <v>8.50103</v>
      </c>
      <c r="EH144" t="n">
        <v>8.599</v>
      </c>
      <c r="ES144" t="n">
        <v>43.31</v>
      </c>
      <c r="FD144" t="n">
        <v>1.13</v>
      </c>
      <c r="FG144" t="n">
        <v>2.2</v>
      </c>
      <c r="FJ144" t="n">
        <v>3.566732</v>
      </c>
      <c r="FK144" t="n">
        <v>3.1333609</v>
      </c>
      <c r="FL144" t="n">
        <v>3.5303977</v>
      </c>
      <c r="FM144" t="n">
        <v>3.3671563</v>
      </c>
      <c r="HH144" t="n">
        <v>3.399</v>
      </c>
      <c r="HS144" t="n">
        <v>54.52</v>
      </c>
      <c r="ID144" t="n">
        <v>5.03</v>
      </c>
      <c r="IG144" t="n">
        <v>8.4</v>
      </c>
      <c r="IJ144" t="n">
        <v>11.39316</v>
      </c>
      <c r="IK144" t="n">
        <v>11.529701</v>
      </c>
      <c r="IL144" t="n">
        <v>11.654291</v>
      </c>
      <c r="IM144" t="n">
        <v>11.903408</v>
      </c>
      <c r="KH144" t="n">
        <v>11.62</v>
      </c>
      <c r="KS144" t="n">
        <v>38.33</v>
      </c>
      <c r="LD144" t="n">
        <v>1.62</v>
      </c>
    </row>
    <row r="145">
      <c r="A145" t="inlineStr">
        <is>
          <t>2026-06-05</t>
        </is>
      </c>
      <c r="B145" t="inlineStr">
        <is>
          <t>Electrolyte 7</t>
        </is>
      </c>
      <c r="C145" t="inlineStr">
        <is>
          <t>100326060501</t>
        </is>
      </c>
      <c r="D145" t="inlineStr">
        <is>
          <t>Na</t>
        </is>
      </c>
      <c r="G145" t="n">
        <v>141</v>
      </c>
      <c r="J145" t="n">
        <v>158.41815</v>
      </c>
      <c r="K145" t="n">
        <v>166.25136</v>
      </c>
      <c r="L145" t="n">
        <v>160.6489</v>
      </c>
      <c r="M145" t="n">
        <v>154.96655</v>
      </c>
      <c r="BH145" t="n">
        <v>160.071</v>
      </c>
      <c r="BS145" t="n">
        <v>13.53</v>
      </c>
      <c r="CD145" t="n">
        <v>2.56</v>
      </c>
      <c r="CG145" t="n">
        <v>129</v>
      </c>
      <c r="CJ145" t="n">
        <v>144.79747</v>
      </c>
      <c r="CK145" t="n">
        <v>143.38979</v>
      </c>
      <c r="CL145" t="n">
        <v>147.00774</v>
      </c>
      <c r="CM145" t="n">
        <v>142.44429</v>
      </c>
      <c r="EH145" t="n">
        <v>144.41</v>
      </c>
      <c r="ES145" t="n">
        <v>11.95</v>
      </c>
      <c r="FD145" t="n">
        <v>1.19</v>
      </c>
      <c r="FG145" t="n">
        <v>118</v>
      </c>
      <c r="FJ145" t="n">
        <v>131.38594</v>
      </c>
      <c r="FK145" t="n">
        <v>123.94127</v>
      </c>
      <c r="FL145" t="n">
        <v>129.59784</v>
      </c>
      <c r="FM145" t="n">
        <v>129.38937</v>
      </c>
      <c r="HH145" t="n">
        <v>128.579</v>
      </c>
      <c r="HS145" t="n">
        <v>8.960000000000001</v>
      </c>
      <c r="ID145" t="n">
        <v>2.17</v>
      </c>
      <c r="IG145" t="n">
        <v>166</v>
      </c>
      <c r="IJ145" t="n">
        <v>177.22014</v>
      </c>
      <c r="IK145" t="n">
        <v>177.95396</v>
      </c>
      <c r="IL145" t="n">
        <v>180.05453</v>
      </c>
      <c r="IM145" t="n">
        <v>187.16994</v>
      </c>
      <c r="KH145" t="n">
        <v>180.6</v>
      </c>
      <c r="KS145" t="n">
        <v>8.789999999999999</v>
      </c>
      <c r="LD145" t="n">
        <v>2.18</v>
      </c>
    </row>
    <row r="146">
      <c r="A146" t="inlineStr">
        <is>
          <t>2026-06-05</t>
        </is>
      </c>
      <c r="B146" t="inlineStr">
        <is>
          <t>Electrolyte 7</t>
        </is>
      </c>
      <c r="C146" t="inlineStr">
        <is>
          <t>100326060501</t>
        </is>
      </c>
      <c r="D146" t="inlineStr">
        <is>
          <t>TCO2</t>
        </is>
      </c>
      <c r="F146" t="n">
        <v>20</v>
      </c>
      <c r="G146" t="n">
        <v>32.5</v>
      </c>
      <c r="H146" t="n">
        <v>682.5</v>
      </c>
      <c r="I146" t="n">
        <v>-617.5</v>
      </c>
      <c r="J146" t="n">
        <v>44.947422</v>
      </c>
      <c r="K146" t="n">
        <v>48.282673</v>
      </c>
      <c r="L146" t="n">
        <v>45.0505</v>
      </c>
      <c r="M146" t="n">
        <v>43.345837</v>
      </c>
      <c r="BH146" t="n">
        <v>45.407</v>
      </c>
      <c r="BS146" t="n">
        <v>39.71</v>
      </c>
      <c r="CD146" t="n">
        <v>3.95</v>
      </c>
      <c r="CF146" t="n">
        <v>20</v>
      </c>
      <c r="CG146" t="n">
        <v>21.2</v>
      </c>
      <c r="CH146" t="n">
        <v>445.2</v>
      </c>
      <c r="CI146" t="n">
        <v>-402.8</v>
      </c>
      <c r="CJ146" t="n">
        <v>31.193811</v>
      </c>
      <c r="CK146" t="n">
        <v>31.260695</v>
      </c>
      <c r="CL146" t="n">
        <v>31.204723</v>
      </c>
      <c r="CM146" t="n">
        <v>30.230192</v>
      </c>
      <c r="EH146" t="n">
        <v>30.972</v>
      </c>
      <c r="ES146" t="n">
        <v>46.1</v>
      </c>
      <c r="FD146" t="n">
        <v>1.39</v>
      </c>
      <c r="FF146" t="n">
        <v>20</v>
      </c>
      <c r="FG146" t="n">
        <v>17.3</v>
      </c>
      <c r="FH146" t="n">
        <v>363.3</v>
      </c>
      <c r="FI146" t="n">
        <v>-328.7</v>
      </c>
      <c r="FJ146" t="n">
        <v>36.42951</v>
      </c>
      <c r="FK146" t="n">
        <v>29.823812</v>
      </c>
      <c r="FL146" t="n">
        <v>33.319595</v>
      </c>
      <c r="FM146" t="n">
        <v>30.866755</v>
      </c>
      <c r="HH146" t="n">
        <v>32.61</v>
      </c>
      <c r="HS146" t="n">
        <v>88.5</v>
      </c>
      <c r="ID146" t="n">
        <v>7.8</v>
      </c>
      <c r="IF146" t="n">
        <v>20</v>
      </c>
      <c r="IG146" t="n">
        <v>26.7</v>
      </c>
      <c r="IH146" t="n">
        <v>560.6999999999999</v>
      </c>
      <c r="II146" t="n">
        <v>-507.3</v>
      </c>
      <c r="IJ146" t="n">
        <v>40.92073</v>
      </c>
      <c r="IK146" t="n">
        <v>42.723557</v>
      </c>
      <c r="IL146" t="n">
        <v>41.124966</v>
      </c>
      <c r="IM146" t="n">
        <v>40.579826</v>
      </c>
      <c r="KH146" t="n">
        <v>41.337</v>
      </c>
      <c r="KS146" t="n">
        <v>54.82</v>
      </c>
      <c r="LD146" t="n">
        <v>1.99</v>
      </c>
    </row>
    <row r="147">
      <c r="A147" t="inlineStr">
        <is>
          <t>2026-06-04</t>
        </is>
      </c>
      <c r="B147" t="inlineStr">
        <is>
          <t>Optimum Wellness 37</t>
        </is>
      </c>
      <c r="C147" t="inlineStr">
        <is>
          <t>209226060401</t>
        </is>
      </c>
      <c r="D147" t="inlineStr">
        <is>
          <t>AMY</t>
        </is>
      </c>
      <c r="F147" t="n">
        <v>10</v>
      </c>
      <c r="G147" t="n">
        <v>78</v>
      </c>
      <c r="H147" t="n">
        <v>858</v>
      </c>
      <c r="I147" t="n">
        <v>-702</v>
      </c>
      <c r="J147" t="n">
        <v>78.28167864397922</v>
      </c>
      <c r="K147" t="n">
        <v>77.252144</v>
      </c>
      <c r="L147" t="n">
        <v>79.57956</v>
      </c>
      <c r="M147" t="n">
        <v>78.09986000000001</v>
      </c>
      <c r="N147" t="n">
        <v>76.155396</v>
      </c>
      <c r="O147" t="n">
        <v>76.725784</v>
      </c>
      <c r="BH147" t="n">
        <v>77.682</v>
      </c>
      <c r="BS147" t="n">
        <v>-0.41</v>
      </c>
      <c r="CD147" t="n">
        <v>1.45</v>
      </c>
      <c r="CF147" t="n">
        <v>10</v>
      </c>
      <c r="CG147" t="n">
        <v>404</v>
      </c>
      <c r="CH147" t="n">
        <v>4444</v>
      </c>
      <c r="CI147" t="n">
        <v>-3636</v>
      </c>
      <c r="CJ147" t="n">
        <v>400.1972914660533</v>
      </c>
      <c r="CK147" t="n">
        <v>409.6775</v>
      </c>
      <c r="CL147" t="n">
        <v>63.560238</v>
      </c>
      <c r="CM147" t="n">
        <v>404.25223</v>
      </c>
      <c r="CN147" t="n">
        <v>420.99884</v>
      </c>
      <c r="CO147" t="n">
        <v>410.0807</v>
      </c>
      <c r="CP147" t="n">
        <v>407.88455</v>
      </c>
      <c r="CQ147" t="n">
        <v>398.3979</v>
      </c>
      <c r="EH147" t="n">
        <v>364.381</v>
      </c>
      <c r="ES147" t="n">
        <v>-9.81</v>
      </c>
      <c r="FD147" t="n">
        <v>31.25</v>
      </c>
      <c r="FF147" t="n">
        <v>10</v>
      </c>
      <c r="FG147" t="n">
        <v>63</v>
      </c>
      <c r="FH147" t="n">
        <v>693</v>
      </c>
      <c r="FI147" t="n">
        <v>-567</v>
      </c>
      <c r="FJ147" t="n">
        <v>66.08670236862676</v>
      </c>
      <c r="FK147" t="n">
        <v>64.6396</v>
      </c>
      <c r="FL147" t="n">
        <v>63.5245</v>
      </c>
      <c r="FM147" t="n">
        <v>63.35424</v>
      </c>
      <c r="FN147" t="n">
        <v>64.23135000000001</v>
      </c>
      <c r="HH147" t="n">
        <v>64.367</v>
      </c>
      <c r="HS147" t="n">
        <v>2.17</v>
      </c>
      <c r="ID147" t="n">
        <v>1.52</v>
      </c>
      <c r="IF147" t="n">
        <v>10</v>
      </c>
      <c r="IG147" t="n">
        <v>297</v>
      </c>
      <c r="IH147" t="n">
        <v>3267</v>
      </c>
      <c r="II147" t="n">
        <v>-2673</v>
      </c>
      <c r="IJ147" t="n">
        <v>299.8189982598963</v>
      </c>
      <c r="IK147" t="n">
        <v>293.4057212544037</v>
      </c>
      <c r="IL147" t="n">
        <v>299.16898</v>
      </c>
      <c r="IM147" t="n">
        <v>304.52835</v>
      </c>
      <c r="IN147" t="n">
        <v>291.1401</v>
      </c>
      <c r="IO147" t="n">
        <v>294.3505</v>
      </c>
      <c r="IP147" t="n">
        <v>297.8666</v>
      </c>
      <c r="KH147" t="n">
        <v>297.183</v>
      </c>
      <c r="KS147" t="n">
        <v>0.06</v>
      </c>
      <c r="LD147" t="n">
        <v>1.42</v>
      </c>
    </row>
    <row r="148">
      <c r="A148" t="inlineStr">
        <is>
          <t>2026-06-04</t>
        </is>
      </c>
      <c r="B148" t="inlineStr">
        <is>
          <t>Optimum Wellness 37</t>
        </is>
      </c>
      <c r="C148" t="inlineStr">
        <is>
          <t>209226060401</t>
        </is>
      </c>
      <c r="D148" t="inlineStr">
        <is>
          <t>AST</t>
        </is>
      </c>
      <c r="F148" t="n">
        <v>15</v>
      </c>
      <c r="G148" t="n">
        <v>44</v>
      </c>
      <c r="H148" t="n">
        <v>704</v>
      </c>
      <c r="I148" t="n">
        <v>-616</v>
      </c>
      <c r="J148" t="n">
        <v>43.98129505063139</v>
      </c>
      <c r="K148" t="n">
        <v>48.65937</v>
      </c>
      <c r="L148" t="n">
        <v>44.489643</v>
      </c>
      <c r="M148" t="n">
        <v>44.747814</v>
      </c>
      <c r="N148" t="n">
        <v>44.501797</v>
      </c>
      <c r="O148" t="n">
        <v>45.259857</v>
      </c>
      <c r="BH148" t="n">
        <v>45.273</v>
      </c>
      <c r="BS148" t="n">
        <v>2.89</v>
      </c>
      <c r="CD148" t="n">
        <v>3.45</v>
      </c>
      <c r="CF148" t="n">
        <v>15</v>
      </c>
      <c r="CG148" t="n">
        <v>221</v>
      </c>
      <c r="CH148" t="n">
        <v>3536</v>
      </c>
      <c r="CI148" t="n">
        <v>-3094</v>
      </c>
      <c r="CJ148" t="n">
        <v>224.5056855662774</v>
      </c>
      <c r="CK148" t="n">
        <v>235.35387</v>
      </c>
      <c r="CL148" t="n">
        <v>44.48793</v>
      </c>
      <c r="CM148" t="n">
        <v>228.53056</v>
      </c>
      <c r="CN148" t="n">
        <v>234.50749</v>
      </c>
      <c r="CO148" t="n">
        <v>224.67696</v>
      </c>
      <c r="CP148" t="n">
        <v>227.0813</v>
      </c>
      <c r="CQ148" t="n">
        <v>228.65808</v>
      </c>
      <c r="EH148" t="n">
        <v>205.975</v>
      </c>
      <c r="ES148" t="n">
        <v>-6.8</v>
      </c>
      <c r="FD148" t="n">
        <v>29.69</v>
      </c>
      <c r="FF148" t="n">
        <v>15</v>
      </c>
      <c r="FG148" t="n">
        <v>45</v>
      </c>
      <c r="FH148" t="n">
        <v>720</v>
      </c>
      <c r="FI148" t="n">
        <v>-630</v>
      </c>
      <c r="FJ148" t="n">
        <v>43.70826032945008</v>
      </c>
      <c r="FK148" t="n">
        <v>44.656006</v>
      </c>
      <c r="FL148" t="n">
        <v>45.10323</v>
      </c>
      <c r="FM148" t="n">
        <v>44.27724</v>
      </c>
      <c r="FN148" t="n">
        <v>45.586067</v>
      </c>
      <c r="HH148" t="n">
        <v>44.666</v>
      </c>
      <c r="HS148" t="n">
        <v>-0.74</v>
      </c>
      <c r="ID148" t="n">
        <v>1.45</v>
      </c>
      <c r="IF148" t="n">
        <v>15</v>
      </c>
      <c r="IG148" t="n">
        <v>282</v>
      </c>
      <c r="IH148" t="n">
        <v>4512</v>
      </c>
      <c r="II148" t="n">
        <v>-3948</v>
      </c>
      <c r="IJ148" t="n">
        <v>281.9503476568565</v>
      </c>
      <c r="IK148" t="n">
        <v>279.5803169721354</v>
      </c>
      <c r="IL148" t="n">
        <v>286.60913</v>
      </c>
      <c r="IM148" t="n">
        <v>299.5641</v>
      </c>
      <c r="IN148" t="n">
        <v>283.67126</v>
      </c>
      <c r="IO148" t="n">
        <v>283.65558</v>
      </c>
      <c r="IP148" t="n">
        <v>287.87247</v>
      </c>
      <c r="KH148" t="n">
        <v>286.129</v>
      </c>
      <c r="KS148" t="n">
        <v>1.46</v>
      </c>
      <c r="LD148" t="n">
        <v>2.11</v>
      </c>
    </row>
    <row r="149">
      <c r="A149" t="inlineStr">
        <is>
          <t>2026-06-04</t>
        </is>
      </c>
      <c r="B149" t="inlineStr">
        <is>
          <t>Optimum Wellness 37</t>
        </is>
      </c>
      <c r="C149" t="inlineStr">
        <is>
          <t>209226060401</t>
        </is>
      </c>
      <c r="D149" t="inlineStr">
        <is>
          <t>CHOL</t>
        </is>
      </c>
      <c r="F149" t="n">
        <v>10</v>
      </c>
      <c r="G149" t="n">
        <v>228</v>
      </c>
      <c r="H149" t="n">
        <v>2508</v>
      </c>
      <c r="I149" t="n">
        <v>-2052</v>
      </c>
      <c r="J149" t="n">
        <v>234.7460842139429</v>
      </c>
      <c r="K149" t="n">
        <v>235.14653</v>
      </c>
      <c r="L149" t="n">
        <v>233.39966</v>
      </c>
      <c r="M149" t="n">
        <v>229.34645</v>
      </c>
      <c r="N149" t="n">
        <v>232.8151</v>
      </c>
      <c r="O149" t="n">
        <v>232.66522</v>
      </c>
      <c r="BH149" t="n">
        <v>233.02</v>
      </c>
      <c r="BS149" t="n">
        <v>2.2</v>
      </c>
      <c r="CD149" t="n">
        <v>0.8100000000000001</v>
      </c>
      <c r="CF149" t="n">
        <v>10</v>
      </c>
      <c r="CG149" t="n">
        <v>99</v>
      </c>
      <c r="CH149" t="n">
        <v>1089</v>
      </c>
      <c r="CI149" t="n">
        <v>-891</v>
      </c>
      <c r="CJ149" t="n">
        <v>98.44023556562775</v>
      </c>
      <c r="CK149" t="n">
        <v>99.52458</v>
      </c>
      <c r="CL149" t="n">
        <v>115.09659</v>
      </c>
      <c r="CM149" t="n">
        <v>98.627396</v>
      </c>
      <c r="CN149" t="n">
        <v>104.52969</v>
      </c>
      <c r="CO149" t="n">
        <v>97.77997000000001</v>
      </c>
      <c r="CP149" t="n">
        <v>98.54864499999999</v>
      </c>
      <c r="CQ149" t="n">
        <v>98.18789</v>
      </c>
      <c r="EH149" t="n">
        <v>101.342</v>
      </c>
      <c r="ES149" t="n">
        <v>2.37</v>
      </c>
      <c r="FD149" t="n">
        <v>5.5</v>
      </c>
      <c r="FF149" t="n">
        <v>10</v>
      </c>
      <c r="FG149" t="n">
        <v>115</v>
      </c>
      <c r="FH149" t="n">
        <v>1265</v>
      </c>
      <c r="FI149" t="n">
        <v>-1035</v>
      </c>
      <c r="FJ149" t="n">
        <v>115.5388766936069</v>
      </c>
      <c r="FK149" t="n">
        <v>112.83311</v>
      </c>
      <c r="FL149" t="n">
        <v>112.41479</v>
      </c>
      <c r="FM149" t="n">
        <v>113.35879</v>
      </c>
      <c r="FN149" t="n">
        <v>113.100494</v>
      </c>
      <c r="HH149" t="n">
        <v>113.449</v>
      </c>
      <c r="HS149" t="n">
        <v>-1.35</v>
      </c>
      <c r="ID149" t="n">
        <v>0.96</v>
      </c>
      <c r="IF149" t="n">
        <v>10</v>
      </c>
      <c r="IG149" t="n">
        <v>269</v>
      </c>
      <c r="IH149" t="n">
        <v>2959</v>
      </c>
      <c r="II149" t="n">
        <v>-2421</v>
      </c>
      <c r="IJ149" t="n">
        <v>268.0069357132868</v>
      </c>
      <c r="IK149" t="n">
        <v>264.6749490164296</v>
      </c>
      <c r="IL149" t="n">
        <v>268.55255</v>
      </c>
      <c r="IM149" t="n">
        <v>273.85934</v>
      </c>
      <c r="IN149" t="n">
        <v>267.3093</v>
      </c>
      <c r="IO149" t="n">
        <v>266.78055</v>
      </c>
      <c r="IP149" t="n">
        <v>271.9959</v>
      </c>
      <c r="KH149" t="n">
        <v>268.74</v>
      </c>
      <c r="KS149" t="n">
        <v>-0.1</v>
      </c>
      <c r="LD149" t="n">
        <v>1.09</v>
      </c>
    </row>
    <row r="150">
      <c r="A150" t="inlineStr">
        <is>
          <t>2026-06-04</t>
        </is>
      </c>
      <c r="B150" t="inlineStr">
        <is>
          <t>Optimum Wellness 37</t>
        </is>
      </c>
      <c r="C150" t="inlineStr">
        <is>
          <t>209226060401</t>
        </is>
      </c>
      <c r="D150" t="inlineStr">
        <is>
          <t>CK</t>
        </is>
      </c>
      <c r="F150" t="n">
        <v>20</v>
      </c>
      <c r="J150" t="n">
        <v>143.3959807290345</v>
      </c>
      <c r="K150" t="n">
        <v>144.45833</v>
      </c>
      <c r="L150" t="n">
        <v>143.18178</v>
      </c>
      <c r="M150" t="n">
        <v>140.77559</v>
      </c>
      <c r="N150" t="n">
        <v>142.9227</v>
      </c>
      <c r="O150" t="n">
        <v>146.6482</v>
      </c>
      <c r="BH150" t="n">
        <v>143.564</v>
      </c>
      <c r="CD150" t="n">
        <v>1.23</v>
      </c>
      <c r="CF150" t="n">
        <v>20</v>
      </c>
      <c r="CJ150" t="n">
        <v>501.0327445298458</v>
      </c>
      <c r="CK150" t="n">
        <v>508.26562</v>
      </c>
      <c r="CL150" t="n">
        <v>76.39230999999999</v>
      </c>
      <c r="CM150" t="n">
        <v>497.0658</v>
      </c>
      <c r="CN150" t="n">
        <v>532.67926</v>
      </c>
      <c r="CO150" t="n">
        <v>486.26956</v>
      </c>
      <c r="CP150" t="n">
        <v>510.7913</v>
      </c>
      <c r="CQ150" t="n">
        <v>500.4683</v>
      </c>
      <c r="EH150" t="n">
        <v>451.621</v>
      </c>
      <c r="FD150" t="n">
        <v>31.53</v>
      </c>
      <c r="FF150" t="n">
        <v>20</v>
      </c>
      <c r="FJ150" t="n">
        <v>79.27187408965659</v>
      </c>
      <c r="FK150" t="n">
        <v>78.52070000000001</v>
      </c>
      <c r="FL150" t="n">
        <v>75.43325</v>
      </c>
      <c r="FM150" t="n">
        <v>75.81334</v>
      </c>
      <c r="FN150" t="n">
        <v>72.21279</v>
      </c>
      <c r="HH150" t="n">
        <v>76.25</v>
      </c>
      <c r="ID150" t="n">
        <v>3.29</v>
      </c>
      <c r="IF150" t="n">
        <v>20</v>
      </c>
      <c r="IJ150" t="n">
        <v>622.979622523711</v>
      </c>
      <c r="IK150" t="n">
        <v>622.4986225880109</v>
      </c>
      <c r="IL150" t="n">
        <v>606.5101</v>
      </c>
      <c r="IM150" t="n">
        <v>675.7129</v>
      </c>
      <c r="IN150" t="n">
        <v>616.33984</v>
      </c>
      <c r="IO150" t="n">
        <v>614.97546</v>
      </c>
      <c r="IP150" t="n">
        <v>628.3962</v>
      </c>
      <c r="KH150" t="n">
        <v>626.773</v>
      </c>
      <c r="LD150" t="n">
        <v>3.35</v>
      </c>
    </row>
    <row r="151">
      <c r="A151" t="inlineStr">
        <is>
          <t>2026-06-04</t>
        </is>
      </c>
      <c r="B151" t="inlineStr">
        <is>
          <t>Optimum Wellness 37</t>
        </is>
      </c>
      <c r="C151" t="inlineStr">
        <is>
          <t>209226060401</t>
        </is>
      </c>
      <c r="D151" t="inlineStr">
        <is>
          <t>Ca</t>
        </is>
      </c>
      <c r="G151" t="n">
        <v>9.1</v>
      </c>
      <c r="J151" t="n">
        <v>9.266442760124015</v>
      </c>
      <c r="K151" t="n">
        <v>9.393879999999999</v>
      </c>
      <c r="L151" t="n">
        <v>9.582433</v>
      </c>
      <c r="M151" t="n">
        <v>9.546053000000001</v>
      </c>
      <c r="N151" t="n">
        <v>9.461086</v>
      </c>
      <c r="O151" t="n">
        <v>9.347671</v>
      </c>
      <c r="BH151" t="n">
        <v>9.433</v>
      </c>
      <c r="BS151" t="n">
        <v>3.66</v>
      </c>
      <c r="CD151" t="n">
        <v>1.16</v>
      </c>
      <c r="CG151" t="n">
        <v>12.4</v>
      </c>
      <c r="CJ151" t="n">
        <v>12.49686722005561</v>
      </c>
      <c r="CK151" t="n">
        <v>12.496048</v>
      </c>
      <c r="CL151" t="n">
        <v>5.6298747</v>
      </c>
      <c r="CM151" t="n">
        <v>12.152364</v>
      </c>
      <c r="CN151" t="n">
        <v>12.838382</v>
      </c>
      <c r="CO151" t="n">
        <v>12.379469</v>
      </c>
      <c r="CP151" t="n">
        <v>12.581056</v>
      </c>
      <c r="CQ151" t="n">
        <v>12.519114</v>
      </c>
      <c r="EH151" t="n">
        <v>11.637</v>
      </c>
      <c r="ES151" t="n">
        <v>-6.16</v>
      </c>
      <c r="FD151" t="n">
        <v>19.57</v>
      </c>
      <c r="FG151" t="n">
        <v>5.9</v>
      </c>
      <c r="FJ151" t="n">
        <v>5.768259881178654</v>
      </c>
      <c r="FK151" t="n">
        <v>5.8307033</v>
      </c>
      <c r="FL151" t="n">
        <v>5.778577</v>
      </c>
      <c r="FM151" t="n">
        <v>5.6453075</v>
      </c>
      <c r="FN151" t="n">
        <v>5.7353616</v>
      </c>
      <c r="HH151" t="n">
        <v>5.752</v>
      </c>
      <c r="HS151" t="n">
        <v>-2.51</v>
      </c>
      <c r="ID151" t="n">
        <v>1.07</v>
      </c>
      <c r="IG151" t="n">
        <v>12.7</v>
      </c>
      <c r="IJ151" t="n">
        <v>11.94191163014556</v>
      </c>
      <c r="IK151" t="n">
        <v>12.33692059612458</v>
      </c>
      <c r="IL151" t="n">
        <v>13.053453</v>
      </c>
      <c r="IM151" t="n">
        <v>12.634809</v>
      </c>
      <c r="IN151" t="n">
        <v>12.756505</v>
      </c>
      <c r="IO151" t="n">
        <v>12.991496</v>
      </c>
      <c r="IP151" t="n">
        <v>12.744457</v>
      </c>
      <c r="KH151" t="n">
        <v>12.637</v>
      </c>
      <c r="KS151" t="n">
        <v>-0.5</v>
      </c>
      <c r="LD151" t="n">
        <v>2.83</v>
      </c>
    </row>
    <row r="152">
      <c r="A152" t="inlineStr">
        <is>
          <t>2026-06-04</t>
        </is>
      </c>
      <c r="B152" t="inlineStr">
        <is>
          <t>Optimum Wellness 37</t>
        </is>
      </c>
      <c r="C152" t="inlineStr">
        <is>
          <t>209226060401</t>
        </is>
      </c>
      <c r="D152" t="inlineStr">
        <is>
          <t>GGT</t>
        </is>
      </c>
      <c r="F152" t="n">
        <v>15</v>
      </c>
      <c r="G152" t="n">
        <v>57</v>
      </c>
      <c r="H152" t="n">
        <v>912</v>
      </c>
      <c r="I152" t="n">
        <v>-798</v>
      </c>
      <c r="J152" t="n">
        <v>62.69301382408977</v>
      </c>
      <c r="K152" t="n">
        <v>62.274345</v>
      </c>
      <c r="L152" t="n">
        <v>60.80081</v>
      </c>
      <c r="M152" t="n">
        <v>61.167717</v>
      </c>
      <c r="N152" t="n">
        <v>59.531403</v>
      </c>
      <c r="O152" t="n">
        <v>64.29991</v>
      </c>
      <c r="BH152" t="n">
        <v>61.795</v>
      </c>
      <c r="BS152" t="n">
        <v>8.41</v>
      </c>
      <c r="CD152" t="n">
        <v>2.46</v>
      </c>
      <c r="CF152" t="n">
        <v>15</v>
      </c>
      <c r="CG152" t="n">
        <v>164</v>
      </c>
      <c r="CH152" t="n">
        <v>2624</v>
      </c>
      <c r="CI152" t="n">
        <v>-2296</v>
      </c>
      <c r="CJ152" t="n">
        <v>175.0833348282464</v>
      </c>
      <c r="CK152" t="n">
        <v>179.66039</v>
      </c>
      <c r="CL152" t="n">
        <v>23.255796</v>
      </c>
      <c r="CM152" t="n">
        <v>171.89168</v>
      </c>
      <c r="CN152" t="n">
        <v>184.18394</v>
      </c>
      <c r="CO152" t="n">
        <v>173.46844</v>
      </c>
      <c r="CP152" t="n">
        <v>174.99283</v>
      </c>
      <c r="CQ152" t="n">
        <v>173.6912</v>
      </c>
      <c r="EH152" t="n">
        <v>157.028</v>
      </c>
      <c r="ES152" t="n">
        <v>-4.25</v>
      </c>
      <c r="FD152" t="n">
        <v>32.29</v>
      </c>
      <c r="FF152" t="n">
        <v>15</v>
      </c>
      <c r="FG152" t="n">
        <v>23</v>
      </c>
      <c r="FH152" t="n">
        <v>368</v>
      </c>
      <c r="FI152" t="n">
        <v>-322</v>
      </c>
      <c r="FJ152" t="n">
        <v>24.38156981736604</v>
      </c>
      <c r="FK152" t="n">
        <v>25.966736</v>
      </c>
      <c r="FL152" t="n">
        <v>23.882954</v>
      </c>
      <c r="FM152" t="n">
        <v>25.835161</v>
      </c>
      <c r="FN152" t="n">
        <v>25.593485</v>
      </c>
      <c r="HH152" t="n">
        <v>25.132</v>
      </c>
      <c r="HS152" t="n">
        <v>9.27</v>
      </c>
      <c r="ID152" t="n">
        <v>3.34</v>
      </c>
      <c r="IF152" t="n">
        <v>15</v>
      </c>
      <c r="IG152" t="n">
        <v>126</v>
      </c>
      <c r="IH152" t="n">
        <v>2016</v>
      </c>
      <c r="II152" t="n">
        <v>-1764</v>
      </c>
      <c r="IJ152" t="n">
        <v>131.2007778643525</v>
      </c>
      <c r="IK152" t="n">
        <v>132.074787508894</v>
      </c>
      <c r="IL152" t="n">
        <v>135.40915</v>
      </c>
      <c r="IM152" t="n">
        <v>143.80748</v>
      </c>
      <c r="IN152" t="n">
        <v>136.48863</v>
      </c>
      <c r="IO152" t="n">
        <v>133.75157</v>
      </c>
      <c r="IP152" t="n">
        <v>138.61803</v>
      </c>
      <c r="KH152" t="n">
        <v>135.907</v>
      </c>
      <c r="KS152" t="n">
        <v>7.86</v>
      </c>
      <c r="LD152" t="n">
        <v>2.94</v>
      </c>
    </row>
    <row r="153">
      <c r="A153" t="inlineStr">
        <is>
          <t>2026-06-04</t>
        </is>
      </c>
      <c r="B153" t="inlineStr">
        <is>
          <t>Optimum Wellness 37</t>
        </is>
      </c>
      <c r="C153" t="inlineStr">
        <is>
          <t>209226060401</t>
        </is>
      </c>
      <c r="D153" t="inlineStr">
        <is>
          <t>PHOS</t>
        </is>
      </c>
      <c r="F153" t="n">
        <v>10</v>
      </c>
      <c r="G153" t="n">
        <v>3.3</v>
      </c>
      <c r="H153" t="n">
        <v>36.3</v>
      </c>
      <c r="I153" t="n">
        <v>-29.7</v>
      </c>
      <c r="J153" t="n">
        <v>3.238784027817432</v>
      </c>
      <c r="K153" t="n">
        <v>3.311482</v>
      </c>
      <c r="L153" t="n">
        <v>3.2825823</v>
      </c>
      <c r="M153" t="n">
        <v>3.18744</v>
      </c>
      <c r="N153" t="n">
        <v>3.1619725</v>
      </c>
      <c r="O153" t="n">
        <v>3.2233663</v>
      </c>
      <c r="BH153" t="n">
        <v>3.234</v>
      </c>
      <c r="BS153" t="n">
        <v>-1.99</v>
      </c>
      <c r="CD153" t="n">
        <v>1.59</v>
      </c>
      <c r="CF153" t="n">
        <v>10</v>
      </c>
      <c r="CG153" t="n">
        <v>7.2</v>
      </c>
      <c r="CH153" t="n">
        <v>79.2</v>
      </c>
      <c r="CI153" t="n">
        <v>-64.8</v>
      </c>
      <c r="CJ153" t="n">
        <v>7.101293078576804</v>
      </c>
      <c r="CK153" t="n">
        <v>7.285503</v>
      </c>
      <c r="CL153" t="n">
        <v>1.9294533</v>
      </c>
      <c r="CM153" t="n">
        <v>7.167672</v>
      </c>
      <c r="CN153" t="n">
        <v>7.409863</v>
      </c>
      <c r="CO153" t="n">
        <v>7.2428637</v>
      </c>
      <c r="CP153" t="n">
        <v>7.318305</v>
      </c>
      <c r="CQ153" t="n">
        <v>7.083769</v>
      </c>
      <c r="EH153" t="n">
        <v>6.567</v>
      </c>
      <c r="ES153" t="n">
        <v>-8.789999999999999</v>
      </c>
      <c r="FD153" t="n">
        <v>26.74</v>
      </c>
      <c r="FF153" t="n">
        <v>10</v>
      </c>
      <c r="FG153" t="n">
        <v>1.9</v>
      </c>
      <c r="FH153" t="n">
        <v>20.9</v>
      </c>
      <c r="FI153" t="n">
        <v>-17.1</v>
      </c>
      <c r="FJ153" t="n">
        <v>2.020490256742637</v>
      </c>
      <c r="FK153" t="n">
        <v>1.8857883</v>
      </c>
      <c r="FL153" t="n">
        <v>1.9784788</v>
      </c>
      <c r="FM153" t="n">
        <v>1.9761293</v>
      </c>
      <c r="FN153" t="n">
        <v>1.9411145</v>
      </c>
      <c r="HH153" t="n">
        <v>1.96</v>
      </c>
      <c r="HS153" t="n">
        <v>3.18</v>
      </c>
      <c r="ID153" t="n">
        <v>2.3</v>
      </c>
      <c r="IF153" t="n">
        <v>10</v>
      </c>
      <c r="IG153" t="n">
        <v>7.2</v>
      </c>
      <c r="IH153" t="n">
        <v>79.2</v>
      </c>
      <c r="II153" t="n">
        <v>-64.8</v>
      </c>
      <c r="IJ153" t="n">
        <v>7.457883191141668</v>
      </c>
      <c r="IK153" t="n">
        <v>7.220441504068162</v>
      </c>
      <c r="IL153" t="n">
        <v>7.290014</v>
      </c>
      <c r="IM153" t="n">
        <v>7.3298054</v>
      </c>
      <c r="IN153" t="n">
        <v>7.2268596</v>
      </c>
      <c r="IO153" t="n">
        <v>7.155633</v>
      </c>
      <c r="IP153" t="n">
        <v>7.394904</v>
      </c>
      <c r="KH153" t="n">
        <v>7.297</v>
      </c>
      <c r="KS153" t="n">
        <v>1.34</v>
      </c>
      <c r="LD153" t="n">
        <v>1.34</v>
      </c>
    </row>
    <row r="154">
      <c r="A154" t="inlineStr">
        <is>
          <t>2026-06-04</t>
        </is>
      </c>
      <c r="B154" t="inlineStr">
        <is>
          <t>Optimum Wellness 37</t>
        </is>
      </c>
      <c r="C154" t="inlineStr">
        <is>
          <t>209226060401</t>
        </is>
      </c>
      <c r="D154" t="inlineStr">
        <is>
          <t>TBIL</t>
        </is>
      </c>
      <c r="F154" t="n">
        <v>20</v>
      </c>
      <c r="G154" t="n">
        <v>1.1</v>
      </c>
      <c r="H154" t="n">
        <v>23.1</v>
      </c>
      <c r="I154" t="n">
        <v>-20.9</v>
      </c>
      <c r="J154" t="n">
        <v>1.281258935212787</v>
      </c>
      <c r="K154" t="n">
        <v>1.2894282</v>
      </c>
      <c r="L154" t="n">
        <v>1.2936008</v>
      </c>
      <c r="M154" t="n">
        <v>1.2773995</v>
      </c>
      <c r="N154" t="n">
        <v>1.3373533</v>
      </c>
      <c r="O154" t="n">
        <v>1.3737794</v>
      </c>
      <c r="BH154" t="n">
        <v>1.309</v>
      </c>
      <c r="BS154" t="n">
        <v>18.98</v>
      </c>
      <c r="CD154" t="n">
        <v>2.68</v>
      </c>
      <c r="CF154" t="n">
        <v>20</v>
      </c>
      <c r="CG154" t="n">
        <v>5.1</v>
      </c>
      <c r="CH154" t="n">
        <v>107.1</v>
      </c>
      <c r="CI154" t="n">
        <v>-96.89999999999999</v>
      </c>
      <c r="CJ154" t="n">
        <v>5.118739455820426</v>
      </c>
      <c r="CK154" t="n">
        <v>5.2641993</v>
      </c>
      <c r="CL154" t="n">
        <v>0.7151081</v>
      </c>
      <c r="CM154" t="n">
        <v>5.158723</v>
      </c>
      <c r="CN154" t="n">
        <v>5.314898</v>
      </c>
      <c r="CO154" t="n">
        <v>5.119874</v>
      </c>
      <c r="CP154" t="n">
        <v>5.203265</v>
      </c>
      <c r="CQ154" t="n">
        <v>5.118508</v>
      </c>
      <c r="EH154" t="n">
        <v>4.627</v>
      </c>
      <c r="ES154" t="n">
        <v>-9.279999999999999</v>
      </c>
      <c r="FD154" t="n">
        <v>31.99</v>
      </c>
      <c r="FF154" t="n">
        <v>20</v>
      </c>
      <c r="FG154" t="n">
        <v>0.8</v>
      </c>
      <c r="FH154" t="n">
        <v>16.8</v>
      </c>
      <c r="FI154" t="n">
        <v>-15.2</v>
      </c>
      <c r="FJ154" t="n">
        <v>0.7201115275270373</v>
      </c>
      <c r="FK154" t="n">
        <v>0.6833059</v>
      </c>
      <c r="FL154" t="n">
        <v>0.7089615500000001</v>
      </c>
      <c r="FM154" t="n">
        <v>0.73577267</v>
      </c>
      <c r="FN154" t="n">
        <v>0.7165287</v>
      </c>
      <c r="HH154" t="n">
        <v>0.713</v>
      </c>
      <c r="HS154" t="n">
        <v>-10.88</v>
      </c>
      <c r="ID154" t="n">
        <v>2.41</v>
      </c>
      <c r="IF154" t="n">
        <v>20</v>
      </c>
      <c r="IG154" t="n">
        <v>8.4</v>
      </c>
      <c r="IH154" t="n">
        <v>176.4</v>
      </c>
      <c r="II154" t="n">
        <v>-159.6</v>
      </c>
      <c r="IJ154" t="n">
        <v>8.156150569777427</v>
      </c>
      <c r="IK154" t="n">
        <v>8.236473658266418</v>
      </c>
      <c r="IL154" t="n">
        <v>7.820816</v>
      </c>
      <c r="IM154" t="n">
        <v>8.237297999999999</v>
      </c>
      <c r="IN154" t="n">
        <v>8.083130000000001</v>
      </c>
      <c r="IO154" t="n">
        <v>8.130470000000001</v>
      </c>
      <c r="IP154" t="n">
        <v>8.194252000000001</v>
      </c>
      <c r="KH154" t="n">
        <v>8.122999999999999</v>
      </c>
      <c r="KS154" t="n">
        <v>-3.3</v>
      </c>
      <c r="LD154" t="n">
        <v>1.65</v>
      </c>
    </row>
    <row r="155">
      <c r="A155" t="inlineStr">
        <is>
          <t>2026-06-04</t>
        </is>
      </c>
      <c r="B155" t="inlineStr">
        <is>
          <t>Optimum Wellness 37</t>
        </is>
      </c>
      <c r="C155" t="inlineStr">
        <is>
          <t>109126060401</t>
        </is>
      </c>
      <c r="D155" t="inlineStr">
        <is>
          <t>ALB</t>
        </is>
      </c>
      <c r="F155" t="n">
        <v>8</v>
      </c>
      <c r="G155" t="n">
        <v>4.2</v>
      </c>
      <c r="H155" t="n">
        <v>37.8</v>
      </c>
      <c r="I155" t="n">
        <v>-29.4</v>
      </c>
      <c r="J155" t="n">
        <v>3.979687308477163</v>
      </c>
      <c r="K155" t="n">
        <v>4.0483375</v>
      </c>
      <c r="L155" t="n">
        <v>3.9882615</v>
      </c>
      <c r="M155" t="n">
        <v>3.8947365</v>
      </c>
      <c r="N155" t="n">
        <v>4.0409846</v>
      </c>
      <c r="O155" t="n">
        <v>3.9969518</v>
      </c>
      <c r="BH155" t="n">
        <v>3.991</v>
      </c>
      <c r="BS155" t="n">
        <v>-4.96</v>
      </c>
      <c r="CD155" t="n">
        <v>1.26</v>
      </c>
      <c r="CF155" t="n">
        <v>8</v>
      </c>
      <c r="CG155" t="n">
        <v>2.7</v>
      </c>
      <c r="CH155" t="n">
        <v>24.3</v>
      </c>
      <c r="CI155" t="n">
        <v>-18.9</v>
      </c>
      <c r="CJ155" t="n">
        <v>2.605370580937779</v>
      </c>
      <c r="CK155" t="n">
        <v>2.659763</v>
      </c>
      <c r="CL155" t="n">
        <v>2.5325673</v>
      </c>
      <c r="CM155" t="n">
        <v>2.7177505</v>
      </c>
      <c r="CN155" t="n">
        <v>2.739562</v>
      </c>
      <c r="CO155" t="n">
        <v>2.7109723</v>
      </c>
      <c r="CP155" t="n">
        <v>2.6482775</v>
      </c>
      <c r="CQ155" t="n">
        <v>2.6752002</v>
      </c>
      <c r="EH155" t="n">
        <v>2.661</v>
      </c>
      <c r="ES155" t="n">
        <v>-1.44</v>
      </c>
      <c r="FD155" t="n">
        <v>2.37</v>
      </c>
      <c r="FF155" t="n">
        <v>8</v>
      </c>
      <c r="FG155" t="n">
        <v>2.6</v>
      </c>
      <c r="FH155" t="n">
        <v>23.4</v>
      </c>
      <c r="FI155" t="n">
        <v>-18.2</v>
      </c>
      <c r="FJ155" t="n">
        <v>2.643646607772116</v>
      </c>
      <c r="FK155" t="n">
        <v>2.514877101077395</v>
      </c>
      <c r="FL155" t="n">
        <v>2.610515</v>
      </c>
      <c r="FM155" t="n">
        <v>2.5383449</v>
      </c>
      <c r="FN155" t="n">
        <v>2.4724157</v>
      </c>
      <c r="FO155" t="n">
        <v>2.506944</v>
      </c>
      <c r="HH155" t="n">
        <v>2.548</v>
      </c>
      <c r="HS155" t="n">
        <v>-2.01</v>
      </c>
      <c r="ID155" t="n">
        <v>2.36</v>
      </c>
      <c r="IF155" t="n">
        <v>8</v>
      </c>
      <c r="IG155" t="n">
        <v>4.2</v>
      </c>
      <c r="IH155" t="n">
        <v>37.8</v>
      </c>
      <c r="II155" t="n">
        <v>-29.4</v>
      </c>
      <c r="IJ155" t="n">
        <v>4.119637694493686</v>
      </c>
      <c r="IK155" t="n">
        <v>4.0864415</v>
      </c>
      <c r="IL155" t="n">
        <v>4.086144</v>
      </c>
      <c r="IM155" t="n">
        <v>4.0205927</v>
      </c>
      <c r="IN155" t="n">
        <v>4.1303134</v>
      </c>
      <c r="IO155" t="n">
        <v>4.1003513</v>
      </c>
      <c r="KH155" t="n">
        <v>4.091</v>
      </c>
      <c r="KS155" t="n">
        <v>-2.61</v>
      </c>
      <c r="LD155" t="n">
        <v>0.86</v>
      </c>
    </row>
    <row r="156">
      <c r="A156" t="inlineStr">
        <is>
          <t>2026-06-04</t>
        </is>
      </c>
      <c r="B156" t="inlineStr">
        <is>
          <t>Optimum Wellness 37</t>
        </is>
      </c>
      <c r="C156" t="inlineStr">
        <is>
          <t>109126060401</t>
        </is>
      </c>
      <c r="D156" t="inlineStr">
        <is>
          <t>ALP</t>
        </is>
      </c>
      <c r="F156" t="n">
        <v>20</v>
      </c>
      <c r="G156" t="n">
        <v>136</v>
      </c>
      <c r="H156" t="n">
        <v>2856</v>
      </c>
      <c r="I156" t="n">
        <v>-2584</v>
      </c>
      <c r="J156" t="n">
        <v>141.7537288384922</v>
      </c>
      <c r="K156" t="n">
        <v>141.51799</v>
      </c>
      <c r="L156" t="n">
        <v>143.68468</v>
      </c>
      <c r="M156" t="n">
        <v>143.59224</v>
      </c>
      <c r="N156" t="n">
        <v>143.22409</v>
      </c>
      <c r="O156" t="n">
        <v>143.3303</v>
      </c>
      <c r="BH156" t="n">
        <v>142.851</v>
      </c>
      <c r="BS156" t="n">
        <v>5.04</v>
      </c>
      <c r="CD156" t="n">
        <v>0.61</v>
      </c>
      <c r="CF156" t="n">
        <v>20</v>
      </c>
      <c r="CG156" t="n">
        <v>456</v>
      </c>
      <c r="CH156" t="n">
        <v>9576</v>
      </c>
      <c r="CI156" t="n">
        <v>-8664</v>
      </c>
      <c r="CJ156" t="n">
        <v>458.1820532960286</v>
      </c>
      <c r="CK156" t="n">
        <v>457.05984</v>
      </c>
      <c r="CL156" t="n">
        <v>73.62529000000001</v>
      </c>
      <c r="CM156" t="n">
        <v>464.33163</v>
      </c>
      <c r="CN156" t="n">
        <v>456.58795</v>
      </c>
      <c r="CO156" t="n">
        <v>466.49164</v>
      </c>
      <c r="CP156" t="n">
        <v>454.3681</v>
      </c>
      <c r="CQ156" t="n">
        <v>454.56775</v>
      </c>
      <c r="EH156" t="n">
        <v>410.652</v>
      </c>
      <c r="ES156" t="n">
        <v>-9.94</v>
      </c>
      <c r="FD156" t="n">
        <v>31.04</v>
      </c>
      <c r="FF156" t="n">
        <v>20</v>
      </c>
      <c r="FG156" t="n">
        <v>75</v>
      </c>
      <c r="FH156" t="n">
        <v>1575</v>
      </c>
      <c r="FI156" t="n">
        <v>-1425</v>
      </c>
      <c r="FJ156" t="n">
        <v>74.0616066207871</v>
      </c>
      <c r="FK156" t="n">
        <v>73.18562234156869</v>
      </c>
      <c r="FL156" t="n">
        <v>73.42838999999999</v>
      </c>
      <c r="FM156" t="n">
        <v>72.79813</v>
      </c>
      <c r="FN156" t="n">
        <v>72.99747499999999</v>
      </c>
      <c r="FO156" t="n">
        <v>73.27029400000001</v>
      </c>
      <c r="HH156" t="n">
        <v>73.29000000000001</v>
      </c>
      <c r="HS156" t="n">
        <v>-2.28</v>
      </c>
      <c r="ID156" t="n">
        <v>0.54</v>
      </c>
      <c r="IF156" t="n">
        <v>20</v>
      </c>
      <c r="IG156" t="n">
        <v>251</v>
      </c>
      <c r="IH156" t="n">
        <v>5271</v>
      </c>
      <c r="II156" t="n">
        <v>-4769</v>
      </c>
      <c r="IJ156" t="n">
        <v>232.7043250373671</v>
      </c>
      <c r="IK156" t="n">
        <v>226.82741</v>
      </c>
      <c r="IL156" t="n">
        <v>224.46136</v>
      </c>
      <c r="IM156" t="n">
        <v>222.02896</v>
      </c>
      <c r="IN156" t="n">
        <v>221.4763</v>
      </c>
      <c r="IO156" t="n">
        <v>221.3979</v>
      </c>
      <c r="KH156" t="n">
        <v>224.816</v>
      </c>
      <c r="KS156" t="n">
        <v>-10.43</v>
      </c>
      <c r="LD156" t="n">
        <v>1.79</v>
      </c>
    </row>
    <row r="157">
      <c r="A157" t="inlineStr">
        <is>
          <t>2026-06-04</t>
        </is>
      </c>
      <c r="B157" t="inlineStr">
        <is>
          <t>Optimum Wellness 37</t>
        </is>
      </c>
      <c r="C157" t="inlineStr">
        <is>
          <t>109126060401</t>
        </is>
      </c>
      <c r="D157" t="inlineStr">
        <is>
          <t>ALT</t>
        </is>
      </c>
      <c r="F157" t="n">
        <v>15</v>
      </c>
      <c r="G157" t="n">
        <v>28</v>
      </c>
      <c r="H157" t="n">
        <v>448</v>
      </c>
      <c r="I157" t="n">
        <v>-392</v>
      </c>
      <c r="J157" t="n">
        <v>22.95998645722403</v>
      </c>
      <c r="K157" t="n">
        <v>26.87091</v>
      </c>
      <c r="L157" t="n">
        <v>33.768536</v>
      </c>
      <c r="M157" t="n">
        <v>28.432608</v>
      </c>
      <c r="N157" t="n">
        <v>26.179478</v>
      </c>
      <c r="O157" t="n">
        <v>27.908705</v>
      </c>
      <c r="BH157" t="n">
        <v>27.687</v>
      </c>
      <c r="BS157" t="n">
        <v>-1.12</v>
      </c>
      <c r="CD157" t="n">
        <v>11.69</v>
      </c>
      <c r="CF157" t="n">
        <v>15</v>
      </c>
      <c r="CG157" t="n">
        <v>115</v>
      </c>
      <c r="CH157" t="n">
        <v>1840</v>
      </c>
      <c r="CI157" t="n">
        <v>-1610</v>
      </c>
      <c r="CJ157" t="n">
        <v>118.3593213254939</v>
      </c>
      <c r="CK157" t="n">
        <v>122.25858</v>
      </c>
      <c r="CL157" t="n">
        <v>25.743685</v>
      </c>
      <c r="CM157" t="n">
        <v>128.32681</v>
      </c>
      <c r="CN157" t="n">
        <v>122.2148</v>
      </c>
      <c r="CO157" t="n">
        <v>116.9689</v>
      </c>
      <c r="CP157" t="n">
        <v>123.79105</v>
      </c>
      <c r="CQ157" t="n">
        <v>122.11602</v>
      </c>
      <c r="EH157" t="n">
        <v>109.972</v>
      </c>
      <c r="ES157" t="n">
        <v>-4.37</v>
      </c>
      <c r="FD157" t="n">
        <v>29.09</v>
      </c>
      <c r="FF157" t="n">
        <v>15</v>
      </c>
      <c r="FG157" t="n">
        <v>26</v>
      </c>
      <c r="FH157" t="n">
        <v>416</v>
      </c>
      <c r="FI157" t="n">
        <v>-364</v>
      </c>
      <c r="FJ157" t="n">
        <v>21.06446813398573</v>
      </c>
      <c r="FK157" t="n">
        <v>21.80157194835101</v>
      </c>
      <c r="FL157" t="n">
        <v>24.248295</v>
      </c>
      <c r="FM157" t="n">
        <v>18.015356</v>
      </c>
      <c r="FN157" t="n">
        <v>21.792608</v>
      </c>
      <c r="FO157" t="n">
        <v>20.201462</v>
      </c>
      <c r="HH157" t="n">
        <v>21.187</v>
      </c>
      <c r="HS157" t="n">
        <v>-18.51</v>
      </c>
      <c r="ID157" t="n">
        <v>8.859999999999999</v>
      </c>
      <c r="IF157" t="n">
        <v>15</v>
      </c>
      <c r="IG157" t="n">
        <v>217</v>
      </c>
      <c r="IH157" t="n">
        <v>3472</v>
      </c>
      <c r="II157" t="n">
        <v>-3038</v>
      </c>
      <c r="IJ157" t="n">
        <v>214.6382582050122</v>
      </c>
      <c r="IK157" t="n">
        <v>211.63068</v>
      </c>
      <c r="IL157" t="n">
        <v>213.26659</v>
      </c>
      <c r="IM157" t="n">
        <v>209.12715</v>
      </c>
      <c r="IN157" t="n">
        <v>205.9952</v>
      </c>
      <c r="IO157" t="n">
        <v>212.10011</v>
      </c>
      <c r="KH157" t="n">
        <v>211.126</v>
      </c>
      <c r="KS157" t="n">
        <v>-2.71</v>
      </c>
      <c r="LD157" t="n">
        <v>1.35</v>
      </c>
    </row>
    <row r="158">
      <c r="A158" t="inlineStr">
        <is>
          <t>2026-06-04</t>
        </is>
      </c>
      <c r="B158" t="inlineStr">
        <is>
          <t>Optimum Wellness 37</t>
        </is>
      </c>
      <c r="C158" t="inlineStr">
        <is>
          <t>109126060401</t>
        </is>
      </c>
      <c r="D158" t="inlineStr">
        <is>
          <t>BUN</t>
        </is>
      </c>
      <c r="F158" t="n">
        <v>9</v>
      </c>
      <c r="G158" t="n">
        <v>14.8</v>
      </c>
      <c r="H158" t="n">
        <v>148</v>
      </c>
      <c r="I158" t="n">
        <v>-118.4</v>
      </c>
      <c r="J158" t="n">
        <v>14.74340184624814</v>
      </c>
      <c r="K158" t="n">
        <v>14.516922</v>
      </c>
      <c r="L158" t="n">
        <v>14.572572</v>
      </c>
      <c r="M158" t="n">
        <v>14.581136</v>
      </c>
      <c r="N158" t="n">
        <v>14.28626</v>
      </c>
      <c r="O158" t="n">
        <v>14.729344</v>
      </c>
      <c r="BH158" t="n">
        <v>14.572</v>
      </c>
      <c r="BS158" t="n">
        <v>-1.54</v>
      </c>
      <c r="CD158" t="n">
        <v>1.04</v>
      </c>
      <c r="CF158" t="n">
        <v>9</v>
      </c>
      <c r="CG158" t="n">
        <v>44.7</v>
      </c>
      <c r="CH158" t="n">
        <v>447</v>
      </c>
      <c r="CI158" t="n">
        <v>-357.6</v>
      </c>
      <c r="CJ158" t="n">
        <v>44.46303084471049</v>
      </c>
      <c r="CK158" t="n">
        <v>43.50045</v>
      </c>
      <c r="CL158" t="n">
        <v>14.910093</v>
      </c>
      <c r="CM158" t="n">
        <v>44.643295</v>
      </c>
      <c r="CN158" t="n">
        <v>44.73694</v>
      </c>
      <c r="CO158" t="n">
        <v>44.398403</v>
      </c>
      <c r="CP158" t="n">
        <v>44.802383</v>
      </c>
      <c r="CQ158" t="n">
        <v>44.592518</v>
      </c>
      <c r="EH158" t="n">
        <v>40.756</v>
      </c>
      <c r="ES158" t="n">
        <v>-8.82</v>
      </c>
      <c r="FD158" t="n">
        <v>23.99</v>
      </c>
      <c r="FF158" t="n">
        <v>9</v>
      </c>
      <c r="FG158" t="n">
        <v>14.7</v>
      </c>
      <c r="FH158" t="n">
        <v>147</v>
      </c>
      <c r="FI158" t="n">
        <v>-117.6</v>
      </c>
      <c r="FJ158" t="n">
        <v>15.08213435932674</v>
      </c>
      <c r="FK158" t="n">
        <v>14.99737934820156</v>
      </c>
      <c r="FL158" t="n">
        <v>14.760562</v>
      </c>
      <c r="FM158" t="n">
        <v>14.802836</v>
      </c>
      <c r="FN158" t="n">
        <v>14.794218</v>
      </c>
      <c r="FO158" t="n">
        <v>14.688491</v>
      </c>
      <c r="HH158" t="n">
        <v>14.854</v>
      </c>
      <c r="HS158" t="n">
        <v>1.05</v>
      </c>
      <c r="ID158" t="n">
        <v>0.93</v>
      </c>
      <c r="IF158" t="n">
        <v>9</v>
      </c>
      <c r="IG158" t="n">
        <v>65.7</v>
      </c>
      <c r="IH158" t="n">
        <v>657</v>
      </c>
      <c r="II158" t="n">
        <v>-525.6</v>
      </c>
      <c r="IJ158" t="n">
        <v>66.65012323207335</v>
      </c>
      <c r="IK158" t="n">
        <v>64.073105</v>
      </c>
      <c r="IL158" t="n">
        <v>64.75754499999999</v>
      </c>
      <c r="IM158" t="n">
        <v>65.663124</v>
      </c>
      <c r="IN158" t="n">
        <v>64.179855</v>
      </c>
      <c r="IO158" t="n">
        <v>65.44842</v>
      </c>
      <c r="KH158" t="n">
        <v>65.129</v>
      </c>
      <c r="KS158" t="n">
        <v>-0.87</v>
      </c>
      <c r="LD158" t="n">
        <v>1.38</v>
      </c>
    </row>
    <row r="159">
      <c r="A159" t="inlineStr">
        <is>
          <t>2026-06-04</t>
        </is>
      </c>
      <c r="B159" t="inlineStr">
        <is>
          <t>Optimum Wellness 37</t>
        </is>
      </c>
      <c r="C159" t="inlineStr">
        <is>
          <t>109126060401</t>
        </is>
      </c>
      <c r="D159" t="inlineStr">
        <is>
          <t>CREA</t>
        </is>
      </c>
      <c r="F159" t="n">
        <v>10</v>
      </c>
      <c r="G159" t="n">
        <v>1.5</v>
      </c>
      <c r="H159" t="n">
        <v>16.5</v>
      </c>
      <c r="I159" t="n">
        <v>-13.5</v>
      </c>
      <c r="J159" t="n">
        <v>1.303054796525128</v>
      </c>
      <c r="K159" t="n">
        <v>1.2614708</v>
      </c>
      <c r="L159" t="n">
        <v>1.2576308</v>
      </c>
      <c r="M159" t="n">
        <v>1.3022738</v>
      </c>
      <c r="N159" t="n">
        <v>1.3433048</v>
      </c>
      <c r="O159" t="n">
        <v>1.3401831</v>
      </c>
      <c r="BH159" t="n">
        <v>1.301</v>
      </c>
      <c r="BS159" t="n">
        <v>-13.25</v>
      </c>
      <c r="CD159" t="n">
        <v>2.58</v>
      </c>
      <c r="CF159" t="n">
        <v>10</v>
      </c>
      <c r="CG159" t="n">
        <v>5.55</v>
      </c>
      <c r="CH159" t="n">
        <v>61.05</v>
      </c>
      <c r="CI159" t="n">
        <v>-49.95</v>
      </c>
      <c r="CJ159" t="n">
        <v>4.748498232116935</v>
      </c>
      <c r="CK159" t="n">
        <v>4.7482767</v>
      </c>
      <c r="CL159" t="n">
        <v>0.72760713</v>
      </c>
      <c r="CM159" t="n">
        <v>4.8727975</v>
      </c>
      <c r="CN159" t="n">
        <v>4.7880654</v>
      </c>
      <c r="CO159" t="n">
        <v>4.7587996</v>
      </c>
      <c r="CP159" t="n">
        <v>4.729058</v>
      </c>
      <c r="CQ159" t="n">
        <v>4.877108</v>
      </c>
      <c r="EH159" t="n">
        <v>4.281</v>
      </c>
      <c r="ES159" t="n">
        <v>-22.86</v>
      </c>
      <c r="FD159" t="n">
        <v>31.4</v>
      </c>
      <c r="FF159" t="n">
        <v>10</v>
      </c>
      <c r="FG159" t="n">
        <v>0.97</v>
      </c>
      <c r="FH159" t="n">
        <v>10.67</v>
      </c>
      <c r="FI159" t="n">
        <v>-8.73</v>
      </c>
      <c r="FJ159" t="n">
        <v>0.7510167011005595</v>
      </c>
      <c r="FK159" t="n">
        <v>0.7324974368770609</v>
      </c>
      <c r="FL159" t="n">
        <v>0.63903135</v>
      </c>
      <c r="FM159" t="n">
        <v>0.6999055</v>
      </c>
      <c r="FN159" t="n">
        <v>0.9452521</v>
      </c>
      <c r="FO159" t="n">
        <v>0.71637</v>
      </c>
      <c r="HH159" t="n">
        <v>0.747</v>
      </c>
      <c r="HS159" t="n">
        <v>-22.95</v>
      </c>
      <c r="ID159" t="n">
        <v>12.73</v>
      </c>
      <c r="IF159" t="n">
        <v>10</v>
      </c>
      <c r="IG159" t="n">
        <v>5.95</v>
      </c>
      <c r="IH159" t="n">
        <v>65.45</v>
      </c>
      <c r="II159" t="n">
        <v>-53.55</v>
      </c>
      <c r="IJ159" t="n">
        <v>5.538787193324226</v>
      </c>
      <c r="IK159" t="n">
        <v>5.261195</v>
      </c>
      <c r="IL159" t="n">
        <v>5.461248</v>
      </c>
      <c r="IM159" t="n">
        <v>5.5186973</v>
      </c>
      <c r="IN159" t="n">
        <v>5.4836254</v>
      </c>
      <c r="IO159" t="n">
        <v>5.6736965</v>
      </c>
      <c r="KH159" t="n">
        <v>5.49</v>
      </c>
      <c r="KS159" t="n">
        <v>-7.74</v>
      </c>
      <c r="LD159" t="n">
        <v>2.23</v>
      </c>
    </row>
    <row r="160">
      <c r="A160" t="inlineStr">
        <is>
          <t>2026-06-04</t>
        </is>
      </c>
      <c r="B160" t="inlineStr">
        <is>
          <t>Optimum Wellness 37</t>
        </is>
      </c>
      <c r="C160" t="inlineStr">
        <is>
          <t>109126060401</t>
        </is>
      </c>
      <c r="D160" t="inlineStr">
        <is>
          <t>GLU</t>
        </is>
      </c>
      <c r="F160" t="n">
        <v>8</v>
      </c>
      <c r="G160" t="n">
        <v>90.16</v>
      </c>
      <c r="H160" t="n">
        <v>811.4399999999999</v>
      </c>
      <c r="I160" t="n">
        <v>-631.12</v>
      </c>
      <c r="J160" t="n">
        <v>92.87695817346072</v>
      </c>
      <c r="K160" t="n">
        <v>92.49821</v>
      </c>
      <c r="L160" t="n">
        <v>92.22423999999999</v>
      </c>
      <c r="M160" t="n">
        <v>91.656364</v>
      </c>
      <c r="N160" t="n">
        <v>92.56225000000001</v>
      </c>
      <c r="O160" t="n">
        <v>93.26723</v>
      </c>
      <c r="BH160" t="n">
        <v>92.514</v>
      </c>
      <c r="BS160" t="n">
        <v>2.61</v>
      </c>
      <c r="CD160" t="n">
        <v>0.54</v>
      </c>
      <c r="CF160" t="n">
        <v>8</v>
      </c>
      <c r="CG160" t="n">
        <v>293.02</v>
      </c>
      <c r="CH160" t="n">
        <v>2637.18</v>
      </c>
      <c r="CI160" t="n">
        <v>-2051.14</v>
      </c>
      <c r="CJ160" t="n">
        <v>303.3945626054584</v>
      </c>
      <c r="CK160" t="n">
        <v>303.76675</v>
      </c>
      <c r="CL160" t="n">
        <v>68.19656999999999</v>
      </c>
      <c r="CM160" t="n">
        <v>307.57422</v>
      </c>
      <c r="CN160" t="n">
        <v>304.04593</v>
      </c>
      <c r="CO160" t="n">
        <v>305.05435</v>
      </c>
      <c r="CP160" t="n">
        <v>304.61285</v>
      </c>
      <c r="CQ160" t="n">
        <v>306.506</v>
      </c>
      <c r="EH160" t="n">
        <v>275.394</v>
      </c>
      <c r="ES160" t="n">
        <v>-6.02</v>
      </c>
      <c r="FD160" t="n">
        <v>28.44</v>
      </c>
      <c r="FF160" t="n">
        <v>8</v>
      </c>
      <c r="FG160" t="n">
        <v>65.66</v>
      </c>
      <c r="FH160" t="n">
        <v>590.9399999999999</v>
      </c>
      <c r="FI160" t="n">
        <v>-459.62</v>
      </c>
      <c r="FJ160" t="n">
        <v>69.05111335124302</v>
      </c>
      <c r="FK160" t="n">
        <v>67.60215650228845</v>
      </c>
      <c r="FL160" t="n">
        <v>66.77444</v>
      </c>
      <c r="FM160" t="n">
        <v>67.05807</v>
      </c>
      <c r="FN160" t="n">
        <v>66.92726</v>
      </c>
      <c r="FO160" t="n">
        <v>66.33376</v>
      </c>
      <c r="HH160" t="n">
        <v>67.291</v>
      </c>
      <c r="HS160" t="n">
        <v>2.48</v>
      </c>
      <c r="ID160" t="n">
        <v>1.3</v>
      </c>
      <c r="IF160" t="n">
        <v>8</v>
      </c>
      <c r="IG160" t="n">
        <v>359.66</v>
      </c>
      <c r="IH160" t="n">
        <v>3236.94</v>
      </c>
      <c r="II160" t="n">
        <v>-2517.62</v>
      </c>
      <c r="IJ160" t="n">
        <v>377.2364187788767</v>
      </c>
      <c r="IK160" t="n">
        <v>364.7509</v>
      </c>
      <c r="IL160" t="n">
        <v>363.40335</v>
      </c>
      <c r="IM160" t="n">
        <v>365.8284</v>
      </c>
      <c r="IN160" t="n">
        <v>359.47842</v>
      </c>
      <c r="IO160" t="n">
        <v>367.68405</v>
      </c>
      <c r="KH160" t="n">
        <v>366.397</v>
      </c>
      <c r="KS160" t="n">
        <v>1.87</v>
      </c>
      <c r="LD160" t="n">
        <v>1.49</v>
      </c>
    </row>
    <row r="161">
      <c r="A161" t="inlineStr">
        <is>
          <t>2026-06-04</t>
        </is>
      </c>
      <c r="B161" t="inlineStr">
        <is>
          <t>Optimum Wellness 37</t>
        </is>
      </c>
      <c r="C161" t="inlineStr">
        <is>
          <t>109126060401</t>
        </is>
      </c>
      <c r="D161" t="inlineStr">
        <is>
          <t>TP</t>
        </is>
      </c>
      <c r="F161" t="n">
        <v>8</v>
      </c>
      <c r="G161" t="n">
        <v>6.4</v>
      </c>
      <c r="H161" t="n">
        <v>57.6</v>
      </c>
      <c r="I161" t="n">
        <v>-44.8</v>
      </c>
      <c r="J161" t="n">
        <v>6.527420945951852</v>
      </c>
      <c r="K161" t="n">
        <v>6.5001755</v>
      </c>
      <c r="L161" t="n">
        <v>6.504694</v>
      </c>
      <c r="M161" t="n">
        <v>6.3090973</v>
      </c>
      <c r="N161" t="n">
        <v>6.3181653</v>
      </c>
      <c r="O161" t="n">
        <v>6.4583325</v>
      </c>
      <c r="BH161" t="n">
        <v>6.436</v>
      </c>
      <c r="BS161" t="n">
        <v>0.57</v>
      </c>
      <c r="CD161" t="n">
        <v>1.39</v>
      </c>
      <c r="CF161" t="n">
        <v>8</v>
      </c>
      <c r="CG161" t="n">
        <v>4.1</v>
      </c>
      <c r="CH161" t="n">
        <v>36.9</v>
      </c>
      <c r="CI161" t="n">
        <v>-28.7</v>
      </c>
      <c r="CJ161" t="n">
        <v>4.175114889343224</v>
      </c>
      <c r="CK161" t="n">
        <v>4.198771</v>
      </c>
      <c r="CL161" t="n">
        <v>4.1332903</v>
      </c>
      <c r="CM161" t="n">
        <v>4.331078</v>
      </c>
      <c r="CN161" t="n">
        <v>4.2717876</v>
      </c>
      <c r="CO161" t="n">
        <v>4.2838893</v>
      </c>
      <c r="CP161" t="n">
        <v>4.3315463</v>
      </c>
      <c r="CQ161" t="n">
        <v>4.3001595</v>
      </c>
      <c r="EH161" t="n">
        <v>4.253</v>
      </c>
      <c r="ES161" t="n">
        <v>3.74</v>
      </c>
      <c r="FD161" t="n">
        <v>1.64</v>
      </c>
      <c r="FF161" t="n">
        <v>8</v>
      </c>
      <c r="FG161" t="n">
        <v>4.2</v>
      </c>
      <c r="FH161" t="n">
        <v>37.8</v>
      </c>
      <c r="FI161" t="n">
        <v>-29.4</v>
      </c>
      <c r="FJ161" t="n">
        <v>4.083653535968774</v>
      </c>
      <c r="FK161" t="n">
        <v>4.023703198071691</v>
      </c>
      <c r="FL161" t="n">
        <v>3.993793</v>
      </c>
      <c r="FM161" t="n">
        <v>4.0220523</v>
      </c>
      <c r="FN161" t="n">
        <v>4.0293345</v>
      </c>
      <c r="FO161" t="n">
        <v>3.9476748</v>
      </c>
      <c r="HH161" t="n">
        <v>4.017</v>
      </c>
      <c r="HS161" t="n">
        <v>-4.36</v>
      </c>
      <c r="ID161" t="n">
        <v>1.02</v>
      </c>
      <c r="IF161" t="n">
        <v>8</v>
      </c>
      <c r="IG161" t="n">
        <v>7.5</v>
      </c>
      <c r="IH161" t="n">
        <v>67.5</v>
      </c>
      <c r="II161" t="n">
        <v>-52.5</v>
      </c>
      <c r="IJ161" t="n">
        <v>7.533296442084496</v>
      </c>
      <c r="IK161" t="n">
        <v>7.3214245</v>
      </c>
      <c r="IL161" t="n">
        <v>7.3912263</v>
      </c>
      <c r="IM161" t="n">
        <v>7.443936</v>
      </c>
      <c r="IN161" t="n">
        <v>7.247029</v>
      </c>
      <c r="IO161" t="n">
        <v>7.5589776</v>
      </c>
      <c r="KH161" t="n">
        <v>7.416</v>
      </c>
      <c r="KS161" t="n">
        <v>-1.12</v>
      </c>
      <c r="LD161" t="n">
        <v>1.49</v>
      </c>
    </row>
    <row r="162">
      <c r="A162" t="inlineStr">
        <is>
          <t>2026-06-03</t>
        </is>
      </c>
      <c r="B162" t="inlineStr">
        <is>
          <t>Core Chem 13</t>
        </is>
      </c>
      <c r="C162" t="inlineStr">
        <is>
          <t>100126060301 &amp; 200126060301</t>
        </is>
      </c>
      <c r="D162" t="inlineStr">
        <is>
          <t>ALB</t>
        </is>
      </c>
      <c r="F162" t="n">
        <v>8</v>
      </c>
      <c r="G162" t="n">
        <v>4.2</v>
      </c>
      <c r="H162" t="n">
        <v>37.8</v>
      </c>
      <c r="I162" t="n">
        <v>-29.4</v>
      </c>
      <c r="J162" t="n">
        <v>4.06552</v>
      </c>
      <c r="K162" t="n">
        <v>4.109404</v>
      </c>
      <c r="L162" t="n">
        <v>4.059157</v>
      </c>
      <c r="M162" t="n">
        <v>4.1701846</v>
      </c>
      <c r="N162" t="n">
        <v>4.112223</v>
      </c>
      <c r="O162" t="n">
        <v>4.1541624</v>
      </c>
      <c r="BH162" t="n">
        <v>4.112</v>
      </c>
      <c r="BS162" t="n">
        <v>-2.1</v>
      </c>
      <c r="CD162" t="n">
        <v>1</v>
      </c>
      <c r="CF162" t="n">
        <v>8</v>
      </c>
      <c r="CG162" t="n">
        <v>2.7</v>
      </c>
      <c r="CH162" t="n">
        <v>24.3</v>
      </c>
      <c r="CI162" t="n">
        <v>-18.9</v>
      </c>
      <c r="CJ162" t="n">
        <v>2.666954</v>
      </c>
      <c r="CK162" t="n">
        <v>2.6648664</v>
      </c>
      <c r="CL162" t="n">
        <v>2.7324803</v>
      </c>
      <c r="CM162" t="n">
        <v>2.8456275</v>
      </c>
      <c r="CN162" t="n">
        <v>2.8128583</v>
      </c>
      <c r="CO162" t="n">
        <v>2.8183057</v>
      </c>
      <c r="EH162" t="n">
        <v>2.757</v>
      </c>
      <c r="ES162" t="n">
        <v>2.11</v>
      </c>
      <c r="FD162" t="n">
        <v>2.65</v>
      </c>
      <c r="FF162" t="n">
        <v>8</v>
      </c>
      <c r="FG162" t="n">
        <v>2.6</v>
      </c>
      <c r="FH162" t="n">
        <v>23.4</v>
      </c>
      <c r="FI162" t="n">
        <v>-18.2</v>
      </c>
      <c r="FJ162" t="n">
        <v>2.4853563</v>
      </c>
      <c r="FK162" t="n">
        <v>2.4906187</v>
      </c>
      <c r="FL162" t="n">
        <v>2.6897733</v>
      </c>
      <c r="FM162" t="n">
        <v>2.7176082</v>
      </c>
      <c r="HH162" t="n">
        <v>2.596</v>
      </c>
      <c r="HS162" t="n">
        <v>-0.16</v>
      </c>
      <c r="ID162" t="n">
        <v>4.17</v>
      </c>
      <c r="IF162" t="n">
        <v>8</v>
      </c>
      <c r="IG162" t="n">
        <v>4.2</v>
      </c>
      <c r="IH162" t="n">
        <v>37.8</v>
      </c>
      <c r="II162" t="n">
        <v>-29.4</v>
      </c>
      <c r="IJ162" t="n">
        <v>3.9453511</v>
      </c>
      <c r="IK162" t="n">
        <v>4.0268674</v>
      </c>
      <c r="IL162" t="n">
        <v>4.2283053</v>
      </c>
      <c r="IM162" t="n">
        <v>4.0844717</v>
      </c>
      <c r="KH162" t="n">
        <v>4.071</v>
      </c>
      <c r="KS162" t="n">
        <v>-3.07</v>
      </c>
      <c r="LD162" t="n">
        <v>2.54</v>
      </c>
    </row>
    <row r="163">
      <c r="A163" t="inlineStr">
        <is>
          <t>2026-06-03</t>
        </is>
      </c>
      <c r="B163" t="inlineStr">
        <is>
          <t>Core Chem 13</t>
        </is>
      </c>
      <c r="C163" t="inlineStr">
        <is>
          <t>100126060301 &amp; 200126060301</t>
        </is>
      </c>
      <c r="D163" t="inlineStr">
        <is>
          <t>ALP</t>
        </is>
      </c>
      <c r="F163" t="n">
        <v>20</v>
      </c>
      <c r="G163" t="n">
        <v>136</v>
      </c>
      <c r="H163" t="n">
        <v>2856</v>
      </c>
      <c r="I163" t="n">
        <v>-2584</v>
      </c>
      <c r="J163" t="n">
        <v>143.70627</v>
      </c>
      <c r="K163" t="n">
        <v>142.331</v>
      </c>
      <c r="L163" t="n">
        <v>140.266</v>
      </c>
      <c r="M163" t="n">
        <v>141.79117</v>
      </c>
      <c r="N163" t="n">
        <v>141.45511</v>
      </c>
      <c r="O163" t="n">
        <v>141.83177</v>
      </c>
      <c r="BH163" t="n">
        <v>141.897</v>
      </c>
      <c r="BS163" t="n">
        <v>4.34</v>
      </c>
      <c r="CD163" t="n">
        <v>0.72</v>
      </c>
      <c r="CF163" t="n">
        <v>20</v>
      </c>
      <c r="CG163" t="n">
        <v>456</v>
      </c>
      <c r="CH163" t="n">
        <v>9576</v>
      </c>
      <c r="CI163" t="n">
        <v>-8664</v>
      </c>
      <c r="CJ163" t="n">
        <v>465.3785</v>
      </c>
      <c r="CK163" t="n">
        <v>451.84213</v>
      </c>
      <c r="CL163" t="n">
        <v>455.93668</v>
      </c>
      <c r="CM163" t="n">
        <v>454.13895</v>
      </c>
      <c r="CN163" t="n">
        <v>458.7047</v>
      </c>
      <c r="CO163" t="n">
        <v>458.1863</v>
      </c>
      <c r="EH163" t="n">
        <v>457.365</v>
      </c>
      <c r="ES163" t="n">
        <v>0.3</v>
      </c>
      <c r="FD163" t="n">
        <v>0.93</v>
      </c>
      <c r="FF163" t="n">
        <v>20</v>
      </c>
      <c r="FG163" t="n">
        <v>75</v>
      </c>
      <c r="FH163" t="n">
        <v>1575</v>
      </c>
      <c r="FI163" t="n">
        <v>-1425</v>
      </c>
      <c r="FJ163" t="n">
        <v>72.28525999999999</v>
      </c>
      <c r="FK163" t="n">
        <v>72.89012</v>
      </c>
      <c r="FL163" t="n">
        <v>72.69161</v>
      </c>
      <c r="FM163" t="n">
        <v>73.67074</v>
      </c>
      <c r="HH163" t="n">
        <v>72.884</v>
      </c>
      <c r="HS163" t="n">
        <v>-2.82</v>
      </c>
      <c r="ID163" t="n">
        <v>0.6899999999999999</v>
      </c>
      <c r="IF163" t="n">
        <v>20</v>
      </c>
      <c r="IG163" t="n">
        <v>251</v>
      </c>
      <c r="IH163" t="n">
        <v>5271</v>
      </c>
      <c r="II163" t="n">
        <v>-4769</v>
      </c>
      <c r="IJ163" t="n">
        <v>219.05716</v>
      </c>
      <c r="IK163" t="n">
        <v>221.14557</v>
      </c>
      <c r="IL163" t="n">
        <v>228.61417</v>
      </c>
      <c r="IM163" t="n">
        <v>224.45628</v>
      </c>
      <c r="KH163" t="n">
        <v>223.318</v>
      </c>
      <c r="KS163" t="n">
        <v>-11.03</v>
      </c>
      <c r="LD163" t="n">
        <v>1.62</v>
      </c>
    </row>
    <row r="164">
      <c r="A164" t="inlineStr">
        <is>
          <t>2026-06-03</t>
        </is>
      </c>
      <c r="B164" t="inlineStr">
        <is>
          <t>Core Chem 13</t>
        </is>
      </c>
      <c r="C164" t="inlineStr">
        <is>
          <t>100126060301 &amp; 200126060301</t>
        </is>
      </c>
      <c r="D164" t="inlineStr">
        <is>
          <t>ALT</t>
        </is>
      </c>
      <c r="F164" t="n">
        <v>15</v>
      </c>
      <c r="G164" t="n">
        <v>28</v>
      </c>
      <c r="H164" t="n">
        <v>448</v>
      </c>
      <c r="I164" t="n">
        <v>-392</v>
      </c>
      <c r="J164" t="n">
        <v>31.63653</v>
      </c>
      <c r="K164" t="n">
        <v>24.86924</v>
      </c>
      <c r="L164" t="n">
        <v>26.375507</v>
      </c>
      <c r="M164" t="n">
        <v>31.73262</v>
      </c>
      <c r="N164" t="n">
        <v>26.401608</v>
      </c>
      <c r="O164" t="n">
        <v>33.503548</v>
      </c>
      <c r="BH164" t="n">
        <v>29.087</v>
      </c>
      <c r="BS164" t="n">
        <v>3.88</v>
      </c>
      <c r="CD164" t="n">
        <v>11.35</v>
      </c>
      <c r="CF164" t="n">
        <v>15</v>
      </c>
      <c r="CG164" t="n">
        <v>115</v>
      </c>
      <c r="CH164" t="n">
        <v>1840</v>
      </c>
      <c r="CI164" t="n">
        <v>-1610</v>
      </c>
      <c r="CJ164" t="n">
        <v>118.025345</v>
      </c>
      <c r="CK164" t="n">
        <v>118.27839</v>
      </c>
      <c r="CL164" t="n">
        <v>123.20789</v>
      </c>
      <c r="CM164" t="n">
        <v>118.27988</v>
      </c>
      <c r="CN164" t="n">
        <v>117.9159</v>
      </c>
      <c r="CO164" t="n">
        <v>118.21323</v>
      </c>
      <c r="EH164" t="n">
        <v>118.987</v>
      </c>
      <c r="ES164" t="n">
        <v>3.47</v>
      </c>
      <c r="FD164" t="n">
        <v>1.59</v>
      </c>
      <c r="FF164" t="n">
        <v>15</v>
      </c>
      <c r="FG164" t="n">
        <v>26</v>
      </c>
      <c r="FH164" t="n">
        <v>416</v>
      </c>
      <c r="FI164" t="n">
        <v>-364</v>
      </c>
      <c r="FJ164" t="n">
        <v>19.390528</v>
      </c>
      <c r="FK164" t="n">
        <v>24.591778</v>
      </c>
      <c r="FL164" t="n">
        <v>23.99702</v>
      </c>
      <c r="FM164" t="n">
        <v>28.36865</v>
      </c>
      <c r="HH164" t="n">
        <v>24.087</v>
      </c>
      <c r="HS164" t="n">
        <v>-7.36</v>
      </c>
      <c r="ID164" t="n">
        <v>13.24</v>
      </c>
      <c r="IF164" t="n">
        <v>15</v>
      </c>
      <c r="IG164" t="n">
        <v>217</v>
      </c>
      <c r="IH164" t="n">
        <v>3472</v>
      </c>
      <c r="II164" t="n">
        <v>-3038</v>
      </c>
      <c r="IJ164" t="n">
        <v>195.8678</v>
      </c>
      <c r="IK164" t="n">
        <v>199.7849</v>
      </c>
      <c r="IL164" t="n">
        <v>205.29636</v>
      </c>
      <c r="IM164" t="n">
        <v>204.3856</v>
      </c>
      <c r="KH164" t="n">
        <v>201.334</v>
      </c>
      <c r="KS164" t="n">
        <v>-7.22</v>
      </c>
      <c r="LD164" t="n">
        <v>1.88</v>
      </c>
    </row>
    <row r="165">
      <c r="A165" t="inlineStr">
        <is>
          <t>2026-06-03</t>
        </is>
      </c>
      <c r="B165" t="inlineStr">
        <is>
          <t>Core Chem 13</t>
        </is>
      </c>
      <c r="C165" t="inlineStr">
        <is>
          <t>100126060301 &amp; 200126060301</t>
        </is>
      </c>
      <c r="D165" t="inlineStr">
        <is>
          <t>BUN</t>
        </is>
      </c>
      <c r="F165" t="n">
        <v>9</v>
      </c>
      <c r="G165" t="n">
        <v>14.8</v>
      </c>
      <c r="H165" t="n">
        <v>148</v>
      </c>
      <c r="I165" t="n">
        <v>-118.4</v>
      </c>
      <c r="J165" t="n">
        <v>14.176762</v>
      </c>
      <c r="K165" t="n">
        <v>14.474639</v>
      </c>
      <c r="L165" t="n">
        <v>14.371846</v>
      </c>
      <c r="M165" t="n">
        <v>15.20307</v>
      </c>
      <c r="N165" t="n">
        <v>14.119519</v>
      </c>
      <c r="O165" t="n">
        <v>14.541247</v>
      </c>
      <c r="BH165" t="n">
        <v>14.481</v>
      </c>
      <c r="BS165" t="n">
        <v>-2.15</v>
      </c>
      <c r="CD165" t="n">
        <v>2.46</v>
      </c>
      <c r="CF165" t="n">
        <v>9</v>
      </c>
      <c r="CG165" t="n">
        <v>44.7</v>
      </c>
      <c r="CH165" t="n">
        <v>447</v>
      </c>
      <c r="CI165" t="n">
        <v>-357.6</v>
      </c>
      <c r="CJ165" t="n">
        <v>43.90588</v>
      </c>
      <c r="CK165" t="n">
        <v>44.19082</v>
      </c>
      <c r="CL165" t="n">
        <v>44.596962</v>
      </c>
      <c r="CM165" t="n">
        <v>44.697628</v>
      </c>
      <c r="CN165" t="n">
        <v>45.445503</v>
      </c>
      <c r="CO165" t="n">
        <v>45.022877</v>
      </c>
      <c r="EH165" t="n">
        <v>44.643</v>
      </c>
      <c r="ES165" t="n">
        <v>-0.13</v>
      </c>
      <c r="FD165" t="n">
        <v>1.14</v>
      </c>
      <c r="FF165" t="n">
        <v>9</v>
      </c>
      <c r="FG165" t="n">
        <v>14.7</v>
      </c>
      <c r="FH165" t="n">
        <v>147</v>
      </c>
      <c r="FI165" t="n">
        <v>-117.6</v>
      </c>
      <c r="FJ165" t="n">
        <v>14.137385</v>
      </c>
      <c r="FK165" t="n">
        <v>14.402941</v>
      </c>
      <c r="FL165" t="n">
        <v>14.652069</v>
      </c>
      <c r="FM165" t="n">
        <v>14.5440035</v>
      </c>
      <c r="HH165" t="n">
        <v>14.434</v>
      </c>
      <c r="HS165" t="n">
        <v>-1.81</v>
      </c>
      <c r="ID165" t="n">
        <v>1.34</v>
      </c>
      <c r="IF165" t="n">
        <v>9</v>
      </c>
      <c r="IG165" t="n">
        <v>65.7</v>
      </c>
      <c r="IH165" t="n">
        <v>657</v>
      </c>
      <c r="II165" t="n">
        <v>-525.6</v>
      </c>
      <c r="IJ165" t="n">
        <v>64.27359</v>
      </c>
      <c r="IK165" t="n">
        <v>63.85681</v>
      </c>
      <c r="IL165" t="n">
        <v>64.041275</v>
      </c>
      <c r="IM165" t="n">
        <v>65.56851</v>
      </c>
      <c r="KH165" t="n">
        <v>64.435</v>
      </c>
      <c r="KS165" t="n">
        <v>-1.93</v>
      </c>
      <c r="LD165" t="n">
        <v>1.04</v>
      </c>
    </row>
    <row r="166">
      <c r="A166" t="inlineStr">
        <is>
          <t>2026-06-03</t>
        </is>
      </c>
      <c r="B166" t="inlineStr">
        <is>
          <t>Core Chem 13</t>
        </is>
      </c>
      <c r="C166" t="inlineStr">
        <is>
          <t>100126060301 &amp; 200126060301</t>
        </is>
      </c>
      <c r="D166" t="inlineStr">
        <is>
          <t>CREA</t>
        </is>
      </c>
      <c r="F166" t="n">
        <v>10</v>
      </c>
      <c r="G166" t="n">
        <v>1.5</v>
      </c>
      <c r="H166" t="n">
        <v>16.5</v>
      </c>
      <c r="I166" t="n">
        <v>-13.5</v>
      </c>
      <c r="J166" t="n">
        <v>1.2257947</v>
      </c>
      <c r="K166" t="n">
        <v>1.175161</v>
      </c>
      <c r="L166" t="n">
        <v>1.2083808</v>
      </c>
      <c r="M166" t="n">
        <v>1.2793767</v>
      </c>
      <c r="N166" t="n">
        <v>1.290171</v>
      </c>
      <c r="O166" t="n">
        <v>1.265597</v>
      </c>
      <c r="BH166" t="n">
        <v>1.241</v>
      </c>
      <c r="BS166" t="n">
        <v>-17.28</v>
      </c>
      <c r="CD166" t="n">
        <v>3.31</v>
      </c>
      <c r="CF166" t="n">
        <v>10</v>
      </c>
      <c r="CG166" t="n">
        <v>5.55</v>
      </c>
      <c r="CH166" t="n">
        <v>61.05</v>
      </c>
      <c r="CI166" t="n">
        <v>-49.95</v>
      </c>
      <c r="CJ166" t="n">
        <v>4.4791393</v>
      </c>
      <c r="CK166" t="n">
        <v>4.4717894</v>
      </c>
      <c r="CL166" t="n">
        <v>4.5612607</v>
      </c>
      <c r="CM166" t="n">
        <v>4.6657367</v>
      </c>
      <c r="CN166" t="n">
        <v>4.7242274</v>
      </c>
      <c r="CO166" t="n">
        <v>4.7446623</v>
      </c>
      <c r="EH166" t="n">
        <v>4.608</v>
      </c>
      <c r="ES166" t="n">
        <v>-16.98</v>
      </c>
      <c r="FD166" t="n">
        <v>2.39</v>
      </c>
      <c r="FF166" t="n">
        <v>10</v>
      </c>
      <c r="FG166" t="n">
        <v>0.97</v>
      </c>
      <c r="FH166" t="n">
        <v>10.67</v>
      </c>
      <c r="FI166" t="n">
        <v>-8.73</v>
      </c>
      <c r="FJ166" t="n">
        <v>0.6714762</v>
      </c>
      <c r="FK166" t="n">
        <v>0.67045486</v>
      </c>
      <c r="FL166" t="n">
        <v>0.7216145</v>
      </c>
      <c r="FM166" t="n">
        <v>0.75027245</v>
      </c>
      <c r="HH166" t="n">
        <v>0.703</v>
      </c>
      <c r="HS166" t="n">
        <v>-27.48</v>
      </c>
      <c r="ID166" t="n">
        <v>4.84</v>
      </c>
      <c r="IF166" t="n">
        <v>10</v>
      </c>
      <c r="IG166" t="n">
        <v>5.95</v>
      </c>
      <c r="IH166" t="n">
        <v>65.45</v>
      </c>
      <c r="II166" t="n">
        <v>-53.55</v>
      </c>
      <c r="IJ166" t="n">
        <v>5.1767235</v>
      </c>
      <c r="IK166" t="n">
        <v>5.2171235</v>
      </c>
      <c r="IL166" t="n">
        <v>5.4326267</v>
      </c>
      <c r="IM166" t="n">
        <v>5.258906</v>
      </c>
      <c r="KH166" t="n">
        <v>5.271</v>
      </c>
      <c r="KS166" t="n">
        <v>-11.41</v>
      </c>
      <c r="LD166" t="n">
        <v>1.85</v>
      </c>
    </row>
    <row r="167">
      <c r="A167" t="inlineStr">
        <is>
          <t>2026-06-03</t>
        </is>
      </c>
      <c r="B167" t="inlineStr">
        <is>
          <t>Core Chem 13</t>
        </is>
      </c>
      <c r="C167" t="inlineStr">
        <is>
          <t>100126060301 &amp; 200126060301</t>
        </is>
      </c>
      <c r="D167" t="inlineStr">
        <is>
          <t>GLU</t>
        </is>
      </c>
      <c r="F167" t="n">
        <v>8</v>
      </c>
      <c r="G167" t="n">
        <v>90.16</v>
      </c>
      <c r="H167" t="n">
        <v>811.4399999999999</v>
      </c>
      <c r="I167" t="n">
        <v>-631.12</v>
      </c>
      <c r="J167" t="n">
        <v>91.38766</v>
      </c>
      <c r="K167" t="n">
        <v>92.09138</v>
      </c>
      <c r="L167" t="n">
        <v>91.56577</v>
      </c>
      <c r="M167" t="n">
        <v>92.33213000000001</v>
      </c>
      <c r="N167" t="n">
        <v>93.04263</v>
      </c>
      <c r="O167" t="n">
        <v>93.32486</v>
      </c>
      <c r="BH167" t="n">
        <v>92.291</v>
      </c>
      <c r="BS167" t="n">
        <v>2.36</v>
      </c>
      <c r="CD167" t="n">
        <v>0.77</v>
      </c>
      <c r="CF167" t="n">
        <v>8</v>
      </c>
      <c r="CG167" t="n">
        <v>293.02</v>
      </c>
      <c r="CH167" t="n">
        <v>2637.18</v>
      </c>
      <c r="CI167" t="n">
        <v>-2051.14</v>
      </c>
      <c r="CJ167" t="n">
        <v>299.84872</v>
      </c>
      <c r="CK167" t="n">
        <v>296.75876</v>
      </c>
      <c r="CL167" t="n">
        <v>303.61655</v>
      </c>
      <c r="CM167" t="n">
        <v>310.4158</v>
      </c>
      <c r="CN167" t="n">
        <v>312.95334</v>
      </c>
      <c r="CO167" t="n">
        <v>312.76126</v>
      </c>
      <c r="EH167" t="n">
        <v>306.059</v>
      </c>
      <c r="ES167" t="n">
        <v>4.45</v>
      </c>
      <c r="FD167" t="n">
        <v>2.08</v>
      </c>
      <c r="FF167" t="n">
        <v>8</v>
      </c>
      <c r="FG167" t="n">
        <v>65.66</v>
      </c>
      <c r="FH167" t="n">
        <v>590.9399999999999</v>
      </c>
      <c r="FI167" t="n">
        <v>-459.62</v>
      </c>
      <c r="FJ167" t="n">
        <v>65.19021600000001</v>
      </c>
      <c r="FK167" t="n">
        <v>67.34274000000001</v>
      </c>
      <c r="FL167" t="n">
        <v>67.95625</v>
      </c>
      <c r="FM167" t="n">
        <v>75.82971999999999</v>
      </c>
      <c r="HH167" t="n">
        <v>69.08</v>
      </c>
      <c r="HS167" t="n">
        <v>5.21</v>
      </c>
      <c r="ID167" t="n">
        <v>5.83</v>
      </c>
      <c r="IF167" t="n">
        <v>8</v>
      </c>
      <c r="IG167" t="n">
        <v>359.66</v>
      </c>
      <c r="IH167" t="n">
        <v>3236.94</v>
      </c>
      <c r="II167" t="n">
        <v>-2517.62</v>
      </c>
      <c r="IJ167" t="n">
        <v>354.91373</v>
      </c>
      <c r="IK167" t="n">
        <v>352.47412</v>
      </c>
      <c r="IL167" t="n">
        <v>369.36716</v>
      </c>
      <c r="IM167" t="n">
        <v>364.26627</v>
      </c>
      <c r="KH167" t="n">
        <v>360.255</v>
      </c>
      <c r="KS167" t="n">
        <v>0.17</v>
      </c>
      <c r="LD167" t="n">
        <v>1.9</v>
      </c>
    </row>
    <row r="168">
      <c r="A168" t="inlineStr">
        <is>
          <t>2026-06-03</t>
        </is>
      </c>
      <c r="B168" t="inlineStr">
        <is>
          <t>Core Chem 13</t>
        </is>
      </c>
      <c r="C168" t="inlineStr">
        <is>
          <t>100126060301 &amp; 200126060301</t>
        </is>
      </c>
      <c r="D168" t="inlineStr">
        <is>
          <t>TP</t>
        </is>
      </c>
      <c r="F168" t="n">
        <v>8</v>
      </c>
      <c r="G168" t="n">
        <v>6.4</v>
      </c>
      <c r="H168" t="n">
        <v>57.6</v>
      </c>
      <c r="I168" t="n">
        <v>-44.8</v>
      </c>
      <c r="J168" t="n">
        <v>6.282992</v>
      </c>
      <c r="K168" t="n">
        <v>6.429007</v>
      </c>
      <c r="L168" t="n">
        <v>6.4259295</v>
      </c>
      <c r="M168" t="n">
        <v>6.501707</v>
      </c>
      <c r="N168" t="n">
        <v>6.3538747</v>
      </c>
      <c r="O168" t="n">
        <v>6.5076537</v>
      </c>
      <c r="BH168" t="n">
        <v>6.417</v>
      </c>
      <c r="BS168" t="n">
        <v>0.26</v>
      </c>
      <c r="CD168" t="n">
        <v>1.23</v>
      </c>
      <c r="CF168" t="n">
        <v>8</v>
      </c>
      <c r="CG168" t="n">
        <v>4.1</v>
      </c>
      <c r="CH168" t="n">
        <v>36.9</v>
      </c>
      <c r="CI168" t="n">
        <v>-28.7</v>
      </c>
      <c r="CJ168" t="n">
        <v>4.2261086</v>
      </c>
      <c r="CK168" t="n">
        <v>4.2856603</v>
      </c>
      <c r="CL168" t="n">
        <v>4.280058</v>
      </c>
      <c r="CM168" t="n">
        <v>4.3337274</v>
      </c>
      <c r="CN168" t="n">
        <v>4.2527447</v>
      </c>
      <c r="CO168" t="n">
        <v>4.4103312</v>
      </c>
      <c r="EH168" t="n">
        <v>4.298</v>
      </c>
      <c r="ES168" t="n">
        <v>4.83</v>
      </c>
      <c r="FD168" t="n">
        <v>1.4</v>
      </c>
      <c r="FF168" t="n">
        <v>8</v>
      </c>
      <c r="FG168" t="n">
        <v>4.2</v>
      </c>
      <c r="FH168" t="n">
        <v>37.8</v>
      </c>
      <c r="FI168" t="n">
        <v>-29.4</v>
      </c>
      <c r="FJ168" t="n">
        <v>3.948099</v>
      </c>
      <c r="FK168" t="n">
        <v>4.002664</v>
      </c>
      <c r="FL168" t="n">
        <v>4.1331887</v>
      </c>
      <c r="FM168" t="n">
        <v>4.3681912</v>
      </c>
      <c r="HH168" t="n">
        <v>4.113</v>
      </c>
      <c r="HS168" t="n">
        <v>-2.07</v>
      </c>
      <c r="ID168" t="n">
        <v>3.94</v>
      </c>
      <c r="IF168" t="n">
        <v>8</v>
      </c>
      <c r="IG168" t="n">
        <v>7.5</v>
      </c>
      <c r="IH168" t="n">
        <v>67.5</v>
      </c>
      <c r="II168" t="n">
        <v>-52.5</v>
      </c>
      <c r="IJ168" t="n">
        <v>7.4672036</v>
      </c>
      <c r="IK168" t="n">
        <v>7.3281198</v>
      </c>
      <c r="IL168" t="n">
        <v>7.389866</v>
      </c>
      <c r="IM168" t="n">
        <v>7.3866363</v>
      </c>
      <c r="KH168" t="n">
        <v>7.393</v>
      </c>
      <c r="KS168" t="n">
        <v>-1.43</v>
      </c>
      <c r="LD168" t="n">
        <v>0.67</v>
      </c>
    </row>
    <row r="169">
      <c r="A169" t="inlineStr">
        <is>
          <t>2026-06-02</t>
        </is>
      </c>
      <c r="B169" t="inlineStr">
        <is>
          <t>General Chem 26</t>
        </is>
      </c>
      <c r="C169" t="inlineStr">
        <is>
          <t>205426060201</t>
        </is>
      </c>
      <c r="D169" t="inlineStr">
        <is>
          <t>AMY</t>
        </is>
      </c>
      <c r="F169" t="n">
        <v>10</v>
      </c>
      <c r="G169" t="n">
        <v>78</v>
      </c>
      <c r="H169" t="n">
        <v>858</v>
      </c>
      <c r="I169" t="n">
        <v>-702</v>
      </c>
      <c r="J169" t="n">
        <v>76.84215500000001</v>
      </c>
      <c r="K169" t="n">
        <v>74.99303399999999</v>
      </c>
      <c r="L169" t="n">
        <v>75.41569</v>
      </c>
      <c r="M169" t="n">
        <v>74.57388</v>
      </c>
      <c r="BH169" t="n">
        <v>75.456</v>
      </c>
      <c r="BS169" t="n">
        <v>-3.26</v>
      </c>
      <c r="CD169" t="n">
        <v>1.13</v>
      </c>
      <c r="CF169" t="n">
        <v>10</v>
      </c>
      <c r="CG169" t="n">
        <v>404</v>
      </c>
      <c r="CH169" t="n">
        <v>4444</v>
      </c>
      <c r="CI169" t="n">
        <v>-3636</v>
      </c>
      <c r="CJ169" t="n">
        <v>413.61313</v>
      </c>
      <c r="CK169" t="n">
        <v>416.63358</v>
      </c>
      <c r="CL169" t="n">
        <v>407.4077</v>
      </c>
      <c r="CM169" t="n">
        <v>403.07367</v>
      </c>
      <c r="EH169" t="n">
        <v>410.182</v>
      </c>
      <c r="ES169" t="n">
        <v>1.53</v>
      </c>
      <c r="FD169" t="n">
        <v>1.29</v>
      </c>
      <c r="FF169" t="n">
        <v>10</v>
      </c>
      <c r="FG169" t="n">
        <v>63</v>
      </c>
      <c r="FH169" t="n">
        <v>693</v>
      </c>
      <c r="FI169" t="n">
        <v>-567</v>
      </c>
      <c r="FJ169" t="n">
        <v>62.122856</v>
      </c>
      <c r="FK169" t="n">
        <v>62.567562</v>
      </c>
      <c r="FL169" t="n">
        <v>62.80672</v>
      </c>
      <c r="FM169" t="n">
        <v>61.53236</v>
      </c>
      <c r="HH169" t="n">
        <v>62.257</v>
      </c>
      <c r="HS169" t="n">
        <v>-1.18</v>
      </c>
      <c r="ID169" t="n">
        <v>0.78</v>
      </c>
      <c r="IF169" t="n">
        <v>10</v>
      </c>
      <c r="IG169" t="n">
        <v>297</v>
      </c>
      <c r="IH169" t="n">
        <v>3267</v>
      </c>
      <c r="II169" t="n">
        <v>-2673</v>
      </c>
      <c r="IJ169" t="n">
        <v>300.0839</v>
      </c>
      <c r="IK169" t="n">
        <v>295.13107</v>
      </c>
      <c r="IL169" t="n">
        <v>295.71198</v>
      </c>
      <c r="IM169" t="n">
        <v>302.01373</v>
      </c>
      <c r="KH169" t="n">
        <v>298.235</v>
      </c>
      <c r="KS169" t="n">
        <v>0.42</v>
      </c>
      <c r="LD169" t="n">
        <v>0.97</v>
      </c>
    </row>
    <row r="170">
      <c r="A170" t="inlineStr">
        <is>
          <t>2026-06-02</t>
        </is>
      </c>
      <c r="B170" t="inlineStr">
        <is>
          <t>General Chem 26</t>
        </is>
      </c>
      <c r="C170" t="inlineStr">
        <is>
          <t>205426060201</t>
        </is>
      </c>
      <c r="D170" t="inlineStr">
        <is>
          <t>AST</t>
        </is>
      </c>
      <c r="F170" t="n">
        <v>15</v>
      </c>
      <c r="G170" t="n">
        <v>44</v>
      </c>
      <c r="H170" t="n">
        <v>704</v>
      </c>
      <c r="I170" t="n">
        <v>-616</v>
      </c>
      <c r="J170" t="n">
        <v>47.885334</v>
      </c>
      <c r="K170" t="n">
        <v>44.950306</v>
      </c>
      <c r="L170" t="n">
        <v>43.72768</v>
      </c>
      <c r="M170" t="n">
        <v>43.614742</v>
      </c>
      <c r="BH170" t="n">
        <v>45.045</v>
      </c>
      <c r="BS170" t="n">
        <v>2.37</v>
      </c>
      <c r="CD170" t="n">
        <v>3.82</v>
      </c>
      <c r="CF170" t="n">
        <v>15</v>
      </c>
      <c r="CG170" t="n">
        <v>221</v>
      </c>
      <c r="CH170" t="n">
        <v>3536</v>
      </c>
      <c r="CI170" t="n">
        <v>-3094</v>
      </c>
      <c r="CJ170" t="n">
        <v>240.29549</v>
      </c>
      <c r="CK170" t="n">
        <v>237.1558</v>
      </c>
      <c r="CL170" t="n">
        <v>227.89928</v>
      </c>
      <c r="CM170" t="n">
        <v>229.44762</v>
      </c>
      <c r="EH170" t="n">
        <v>233.7</v>
      </c>
      <c r="ES170" t="n">
        <v>5.75</v>
      </c>
      <c r="FD170" t="n">
        <v>2.21</v>
      </c>
      <c r="FF170" t="n">
        <v>15</v>
      </c>
      <c r="FG170" t="n">
        <v>45</v>
      </c>
      <c r="FH170" t="n">
        <v>720</v>
      </c>
      <c r="FI170" t="n">
        <v>-630</v>
      </c>
      <c r="FJ170" t="n">
        <v>47.713367</v>
      </c>
      <c r="FK170" t="n">
        <v>46.331154</v>
      </c>
      <c r="FL170" t="n">
        <v>46.923798</v>
      </c>
      <c r="FM170" t="n">
        <v>44.873592</v>
      </c>
      <c r="HH170" t="n">
        <v>46.46</v>
      </c>
      <c r="HS170" t="n">
        <v>3.25</v>
      </c>
      <c r="ID170" t="n">
        <v>2.24</v>
      </c>
      <c r="IF170" t="n">
        <v>15</v>
      </c>
      <c r="IG170" t="n">
        <v>282</v>
      </c>
      <c r="IH170" t="n">
        <v>4512</v>
      </c>
      <c r="II170" t="n">
        <v>-3948</v>
      </c>
      <c r="IJ170" t="n">
        <v>293.34238</v>
      </c>
      <c r="IK170" t="n">
        <v>286.45953</v>
      </c>
      <c r="IL170" t="n">
        <v>280.45364</v>
      </c>
      <c r="IM170" t="n">
        <v>280.02945</v>
      </c>
      <c r="KH170" t="n">
        <v>285.071</v>
      </c>
      <c r="KS170" t="n">
        <v>1.09</v>
      </c>
      <c r="LD170" t="n">
        <v>1.9</v>
      </c>
    </row>
    <row r="171">
      <c r="A171" t="inlineStr">
        <is>
          <t>2026-06-02</t>
        </is>
      </c>
      <c r="B171" t="inlineStr">
        <is>
          <t>General Chem 26</t>
        </is>
      </c>
      <c r="C171" t="inlineStr">
        <is>
          <t>205426060201</t>
        </is>
      </c>
      <c r="D171" t="inlineStr">
        <is>
          <t>CHOL</t>
        </is>
      </c>
      <c r="F171" t="n">
        <v>10</v>
      </c>
      <c r="G171" t="n">
        <v>228</v>
      </c>
      <c r="H171" t="n">
        <v>2508</v>
      </c>
      <c r="I171" t="n">
        <v>-2052</v>
      </c>
      <c r="J171" t="n">
        <v>239.22777</v>
      </c>
      <c r="K171" t="n">
        <v>241.22903</v>
      </c>
      <c r="L171" t="n">
        <v>231.45573</v>
      </c>
      <c r="M171" t="n">
        <v>229.2309</v>
      </c>
      <c r="BH171" t="n">
        <v>235.286</v>
      </c>
      <c r="BS171" t="n">
        <v>3.2</v>
      </c>
      <c r="CD171" t="n">
        <v>2.15</v>
      </c>
      <c r="CF171" t="n">
        <v>10</v>
      </c>
      <c r="CG171" t="n">
        <v>99</v>
      </c>
      <c r="CH171" t="n">
        <v>1089</v>
      </c>
      <c r="CI171" t="n">
        <v>-891</v>
      </c>
      <c r="CJ171" t="n">
        <v>100.6604</v>
      </c>
      <c r="CK171" t="n">
        <v>100.550606</v>
      </c>
      <c r="CL171" t="n">
        <v>99.58118399999999</v>
      </c>
      <c r="CM171" t="n">
        <v>100.166435</v>
      </c>
      <c r="EH171" t="n">
        <v>100.24</v>
      </c>
      <c r="ES171" t="n">
        <v>1.25</v>
      </c>
      <c r="FD171" t="n">
        <v>0.42</v>
      </c>
      <c r="FF171" t="n">
        <v>10</v>
      </c>
      <c r="FG171" t="n">
        <v>115</v>
      </c>
      <c r="FH171" t="n">
        <v>1265</v>
      </c>
      <c r="FI171" t="n">
        <v>-1035</v>
      </c>
      <c r="FJ171" t="n">
        <v>113.81345</v>
      </c>
      <c r="FK171" t="n">
        <v>113.98074</v>
      </c>
      <c r="FL171" t="n">
        <v>119.302315</v>
      </c>
      <c r="FM171" t="n">
        <v>116.45652</v>
      </c>
      <c r="HH171" t="n">
        <v>115.888</v>
      </c>
      <c r="HS171" t="n">
        <v>0.77</v>
      </c>
      <c r="ID171" t="n">
        <v>1.93</v>
      </c>
      <c r="IF171" t="n">
        <v>10</v>
      </c>
      <c r="IG171" t="n">
        <v>269</v>
      </c>
      <c r="IH171" t="n">
        <v>2959</v>
      </c>
      <c r="II171" t="n">
        <v>-2421</v>
      </c>
      <c r="IJ171" t="n">
        <v>268.87607</v>
      </c>
      <c r="IK171" t="n">
        <v>271.80414</v>
      </c>
      <c r="IL171" t="n">
        <v>263.59784</v>
      </c>
      <c r="IM171" t="n">
        <v>272.8429</v>
      </c>
      <c r="KH171" t="n">
        <v>269.28</v>
      </c>
      <c r="KS171" t="n">
        <v>0.1</v>
      </c>
      <c r="LD171" t="n">
        <v>1.33</v>
      </c>
    </row>
    <row r="172">
      <c r="A172" t="inlineStr">
        <is>
          <t>2026-06-02</t>
        </is>
      </c>
      <c r="B172" t="inlineStr">
        <is>
          <t>General Chem 26</t>
        </is>
      </c>
      <c r="C172" t="inlineStr">
        <is>
          <t>205426060201</t>
        </is>
      </c>
      <c r="D172" t="inlineStr">
        <is>
          <t>CK</t>
        </is>
      </c>
      <c r="F172" t="n">
        <v>20</v>
      </c>
      <c r="J172" t="n">
        <v>149.52428</v>
      </c>
      <c r="K172" t="n">
        <v>144.88916</v>
      </c>
      <c r="L172" t="n">
        <v>144.85223</v>
      </c>
      <c r="M172" t="n">
        <v>137.81151</v>
      </c>
      <c r="BH172" t="n">
        <v>144.269</v>
      </c>
      <c r="CD172" t="n">
        <v>2.9</v>
      </c>
      <c r="CF172" t="n">
        <v>20</v>
      </c>
      <c r="CJ172" t="n">
        <v>550.17053</v>
      </c>
      <c r="CK172" t="n">
        <v>525.30444</v>
      </c>
      <c r="CL172" t="n">
        <v>514.6038</v>
      </c>
      <c r="CM172" t="n">
        <v>517.37415</v>
      </c>
      <c r="EH172" t="n">
        <v>526.8630000000001</v>
      </c>
      <c r="FD172" t="n">
        <v>2.66</v>
      </c>
      <c r="FF172" t="n">
        <v>20</v>
      </c>
      <c r="FJ172" t="n">
        <v>73.01581</v>
      </c>
      <c r="FK172" t="n">
        <v>74.76005000000001</v>
      </c>
      <c r="FL172" t="n">
        <v>73.06838999999999</v>
      </c>
      <c r="FM172" t="n">
        <v>68.74163</v>
      </c>
      <c r="HH172" t="n">
        <v>72.396</v>
      </c>
      <c r="ID172" t="n">
        <v>3.07</v>
      </c>
      <c r="IF172" t="n">
        <v>20</v>
      </c>
      <c r="IJ172" t="n">
        <v>706.6518</v>
      </c>
      <c r="IK172" t="n">
        <v>669.6348</v>
      </c>
      <c r="IL172" t="n">
        <v>665.7845</v>
      </c>
      <c r="IM172" t="n">
        <v>662.0123</v>
      </c>
      <c r="KH172" t="n">
        <v>676.021</v>
      </c>
      <c r="LD172" t="n">
        <v>2.65</v>
      </c>
    </row>
    <row r="173">
      <c r="A173" t="inlineStr">
        <is>
          <t>2026-06-02</t>
        </is>
      </c>
      <c r="B173" t="inlineStr">
        <is>
          <t>General Chem 26</t>
        </is>
      </c>
      <c r="C173" t="inlineStr">
        <is>
          <t>205426060201</t>
        </is>
      </c>
      <c r="D173" t="inlineStr">
        <is>
          <t>Ca</t>
        </is>
      </c>
      <c r="G173" t="n">
        <v>9.1</v>
      </c>
      <c r="J173" t="n">
        <v>10.614781</v>
      </c>
      <c r="K173" t="n">
        <v>9.603569999999999</v>
      </c>
      <c r="L173" t="n">
        <v>9.706872000000001</v>
      </c>
      <c r="M173" t="n">
        <v>9.676589999999999</v>
      </c>
      <c r="BH173" t="n">
        <v>9.9</v>
      </c>
      <c r="BS173" t="n">
        <v>8.800000000000001</v>
      </c>
      <c r="CD173" t="n">
        <v>4.18</v>
      </c>
      <c r="CG173" t="n">
        <v>12.4</v>
      </c>
      <c r="CJ173" t="n">
        <v>13.723455</v>
      </c>
      <c r="CK173" t="n">
        <v>13.060929</v>
      </c>
      <c r="CL173" t="n">
        <v>12.8344345</v>
      </c>
      <c r="CM173" t="n">
        <v>12.848061</v>
      </c>
      <c r="EH173" t="n">
        <v>13.117</v>
      </c>
      <c r="ES173" t="n">
        <v>5.78</v>
      </c>
      <c r="FD173" t="n">
        <v>2.76</v>
      </c>
      <c r="FG173" t="n">
        <v>5.9</v>
      </c>
      <c r="FJ173" t="n">
        <v>5.9062943</v>
      </c>
      <c r="FK173" t="n">
        <v>6.042128</v>
      </c>
      <c r="FL173" t="n">
        <v>6.355752</v>
      </c>
      <c r="FM173" t="n">
        <v>6.0507746</v>
      </c>
      <c r="HH173" t="n">
        <v>6.089</v>
      </c>
      <c r="HS173" t="n">
        <v>3.2</v>
      </c>
      <c r="ID173" t="n">
        <v>2.7</v>
      </c>
      <c r="IG173" t="n">
        <v>12.7</v>
      </c>
      <c r="IJ173" t="n">
        <v>12.739326</v>
      </c>
      <c r="IK173" t="n">
        <v>13.083368</v>
      </c>
      <c r="IL173" t="n">
        <v>13.387753</v>
      </c>
      <c r="IM173" t="n">
        <v>13.248733</v>
      </c>
      <c r="KH173" t="n">
        <v>13.115</v>
      </c>
      <c r="KS173" t="n">
        <v>3.27</v>
      </c>
      <c r="LD173" t="n">
        <v>1.85</v>
      </c>
    </row>
    <row r="174">
      <c r="A174" t="inlineStr">
        <is>
          <t>2026-06-02</t>
        </is>
      </c>
      <c r="B174" t="inlineStr">
        <is>
          <t>General Chem 26</t>
        </is>
      </c>
      <c r="C174" t="inlineStr">
        <is>
          <t>205426060201</t>
        </is>
      </c>
      <c r="D174" t="inlineStr">
        <is>
          <t>GGT</t>
        </is>
      </c>
      <c r="F174" t="n">
        <v>15</v>
      </c>
      <c r="G174" t="n">
        <v>57</v>
      </c>
      <c r="H174" t="n">
        <v>912</v>
      </c>
      <c r="I174" t="n">
        <v>-798</v>
      </c>
      <c r="J174" t="n">
        <v>63.42332</v>
      </c>
      <c r="K174" t="n">
        <v>62.335938</v>
      </c>
      <c r="L174" t="n">
        <v>59.796135</v>
      </c>
      <c r="M174" t="n">
        <v>59.741764</v>
      </c>
      <c r="BH174" t="n">
        <v>61.324</v>
      </c>
      <c r="BS174" t="n">
        <v>7.59</v>
      </c>
      <c r="CD174" t="n">
        <v>2.61</v>
      </c>
      <c r="CF174" t="n">
        <v>15</v>
      </c>
      <c r="CG174" t="n">
        <v>164</v>
      </c>
      <c r="CH174" t="n">
        <v>2624</v>
      </c>
      <c r="CI174" t="n">
        <v>-2296</v>
      </c>
      <c r="CJ174" t="n">
        <v>183.89447</v>
      </c>
      <c r="CK174" t="n">
        <v>182.18892</v>
      </c>
      <c r="CL174" t="n">
        <v>176.25723</v>
      </c>
      <c r="CM174" t="n">
        <v>177.25304</v>
      </c>
      <c r="EH174" t="n">
        <v>179.898</v>
      </c>
      <c r="ES174" t="n">
        <v>9.69</v>
      </c>
      <c r="FD174" t="n">
        <v>1.79</v>
      </c>
      <c r="FF174" t="n">
        <v>15</v>
      </c>
      <c r="FG174" t="n">
        <v>23</v>
      </c>
      <c r="FH174" t="n">
        <v>368</v>
      </c>
      <c r="FI174" t="n">
        <v>-322</v>
      </c>
      <c r="FJ174" t="n">
        <v>24.689081</v>
      </c>
      <c r="FK174" t="n">
        <v>24.792955</v>
      </c>
      <c r="FL174" t="n">
        <v>24.360294</v>
      </c>
      <c r="FM174" t="n">
        <v>24.81619</v>
      </c>
      <c r="HH174" t="n">
        <v>24.665</v>
      </c>
      <c r="HS174" t="n">
        <v>7.24</v>
      </c>
      <c r="ID174" t="n">
        <v>0.74</v>
      </c>
      <c r="IF174" t="n">
        <v>15</v>
      </c>
      <c r="IG174" t="n">
        <v>126</v>
      </c>
      <c r="IH174" t="n">
        <v>2016</v>
      </c>
      <c r="II174" t="n">
        <v>-1764</v>
      </c>
      <c r="IJ174" t="n">
        <v>140.47823</v>
      </c>
      <c r="IK174" t="n">
        <v>135.67943</v>
      </c>
      <c r="IL174" t="n">
        <v>136.12178</v>
      </c>
      <c r="IM174" t="n">
        <v>137.39018</v>
      </c>
      <c r="KH174" t="n">
        <v>137.417</v>
      </c>
      <c r="KS174" t="n">
        <v>9.06</v>
      </c>
      <c r="LD174" t="n">
        <v>1.36</v>
      </c>
    </row>
    <row r="175">
      <c r="A175" t="inlineStr">
        <is>
          <t>2026-06-02</t>
        </is>
      </c>
      <c r="B175" t="inlineStr">
        <is>
          <t>General Chem 26</t>
        </is>
      </c>
      <c r="C175" t="inlineStr">
        <is>
          <t>205426060201</t>
        </is>
      </c>
      <c r="D175" t="inlineStr">
        <is>
          <t>PHOS</t>
        </is>
      </c>
      <c r="F175" t="n">
        <v>10</v>
      </c>
      <c r="G175" t="n">
        <v>3.3</v>
      </c>
      <c r="H175" t="n">
        <v>36.3</v>
      </c>
      <c r="I175" t="n">
        <v>-29.7</v>
      </c>
      <c r="J175" t="n">
        <v>3.305884</v>
      </c>
      <c r="K175" t="n">
        <v>3.2477727</v>
      </c>
      <c r="L175" t="n">
        <v>3.2985353</v>
      </c>
      <c r="M175" t="n">
        <v>3.19746</v>
      </c>
      <c r="BH175" t="n">
        <v>3.262</v>
      </c>
      <c r="BS175" t="n">
        <v>-1.14</v>
      </c>
      <c r="CD175" t="n">
        <v>1.34</v>
      </c>
      <c r="CF175" t="n">
        <v>10</v>
      </c>
      <c r="CG175" t="n">
        <v>7.2</v>
      </c>
      <c r="CH175" t="n">
        <v>79.2</v>
      </c>
      <c r="CI175" t="n">
        <v>-64.8</v>
      </c>
      <c r="CJ175" t="n">
        <v>7.3972626</v>
      </c>
      <c r="CK175" t="n">
        <v>7.2839456</v>
      </c>
      <c r="CL175" t="n">
        <v>7.2280245</v>
      </c>
      <c r="CM175" t="n">
        <v>7.256101</v>
      </c>
      <c r="EH175" t="n">
        <v>7.291</v>
      </c>
      <c r="ES175" t="n">
        <v>1.27</v>
      </c>
      <c r="FD175" t="n">
        <v>0.88</v>
      </c>
      <c r="FF175" t="n">
        <v>10</v>
      </c>
      <c r="FG175" t="n">
        <v>1.9</v>
      </c>
      <c r="FH175" t="n">
        <v>20.9</v>
      </c>
      <c r="FI175" t="n">
        <v>-17.1</v>
      </c>
      <c r="FJ175" t="n">
        <v>1.966282</v>
      </c>
      <c r="FK175" t="n">
        <v>1.9822142</v>
      </c>
      <c r="FL175" t="n">
        <v>2.0196805</v>
      </c>
      <c r="FM175" t="n">
        <v>2.0135033</v>
      </c>
      <c r="HH175" t="n">
        <v>1.995</v>
      </c>
      <c r="HS175" t="n">
        <v>5.02</v>
      </c>
      <c r="ID175" t="n">
        <v>1.1</v>
      </c>
      <c r="IF175" t="n">
        <v>10</v>
      </c>
      <c r="IG175" t="n">
        <v>7.2</v>
      </c>
      <c r="IH175" t="n">
        <v>79.2</v>
      </c>
      <c r="II175" t="n">
        <v>-64.8</v>
      </c>
      <c r="IJ175" t="n">
        <v>7.2810783</v>
      </c>
      <c r="IK175" t="n">
        <v>7.3357086</v>
      </c>
      <c r="IL175" t="n">
        <v>7.2015038</v>
      </c>
      <c r="IM175" t="n">
        <v>7.420611</v>
      </c>
      <c r="KH175" t="n">
        <v>7.31</v>
      </c>
      <c r="KS175" t="n">
        <v>1.52</v>
      </c>
      <c r="LD175" t="n">
        <v>1.09</v>
      </c>
    </row>
    <row r="176">
      <c r="A176" t="inlineStr">
        <is>
          <t>2026-06-02</t>
        </is>
      </c>
      <c r="B176" t="inlineStr">
        <is>
          <t>General Chem 26</t>
        </is>
      </c>
      <c r="C176" t="inlineStr">
        <is>
          <t>205426060201</t>
        </is>
      </c>
      <c r="D176" t="inlineStr">
        <is>
          <t>TBIL</t>
        </is>
      </c>
      <c r="F176" t="n">
        <v>20</v>
      </c>
      <c r="G176" t="n">
        <v>1.1</v>
      </c>
      <c r="H176" t="n">
        <v>23.1</v>
      </c>
      <c r="I176" t="n">
        <v>-20.9</v>
      </c>
      <c r="J176" t="n">
        <v>1.4076539</v>
      </c>
      <c r="K176" t="n">
        <v>1.3535293</v>
      </c>
      <c r="L176" t="n">
        <v>1.4290768</v>
      </c>
      <c r="M176" t="n">
        <v>1.4199692</v>
      </c>
      <c r="BH176" t="n">
        <v>1.403</v>
      </c>
      <c r="BS176" t="n">
        <v>27.51</v>
      </c>
      <c r="CD176" t="n">
        <v>2.09</v>
      </c>
      <c r="CF176" t="n">
        <v>20</v>
      </c>
      <c r="CG176" t="n">
        <v>5.1</v>
      </c>
      <c r="CH176" t="n">
        <v>107.1</v>
      </c>
      <c r="CI176" t="n">
        <v>-96.89999999999999</v>
      </c>
      <c r="CJ176" t="n">
        <v>5.4389634</v>
      </c>
      <c r="CK176" t="n">
        <v>5.517138</v>
      </c>
      <c r="CL176" t="n">
        <v>5.428573</v>
      </c>
      <c r="CM176" t="n">
        <v>5.404466</v>
      </c>
      <c r="EH176" t="n">
        <v>5.447</v>
      </c>
      <c r="ES176" t="n">
        <v>6.81</v>
      </c>
      <c r="FD176" t="n">
        <v>0.78</v>
      </c>
      <c r="FF176" t="n">
        <v>20</v>
      </c>
      <c r="FG176" t="n">
        <v>0.8</v>
      </c>
      <c r="FH176" t="n">
        <v>16.8</v>
      </c>
      <c r="FI176" t="n">
        <v>-15.2</v>
      </c>
      <c r="FJ176" t="n">
        <v>0.79859203</v>
      </c>
      <c r="FK176" t="n">
        <v>0.7688155</v>
      </c>
      <c r="FL176" t="n">
        <v>0.7995934</v>
      </c>
      <c r="FM176" t="n">
        <v>0.78386396</v>
      </c>
      <c r="HH176" t="n">
        <v>0.788</v>
      </c>
      <c r="HS176" t="n">
        <v>-1.54</v>
      </c>
      <c r="ID176" t="n">
        <v>1.6</v>
      </c>
      <c r="IF176" t="n">
        <v>20</v>
      </c>
      <c r="IG176" t="n">
        <v>8.4</v>
      </c>
      <c r="IH176" t="n">
        <v>176.4</v>
      </c>
      <c r="II176" t="n">
        <v>-159.6</v>
      </c>
      <c r="IJ176" t="n">
        <v>8.665079</v>
      </c>
      <c r="IK176" t="n">
        <v>8.584815000000001</v>
      </c>
      <c r="IL176" t="n">
        <v>8.621924</v>
      </c>
      <c r="IM176" t="n">
        <v>8.722023999999999</v>
      </c>
      <c r="KH176" t="n">
        <v>8.648</v>
      </c>
      <c r="KS176" t="n">
        <v>2.96</v>
      </c>
      <c r="LD176" t="n">
        <v>0.59</v>
      </c>
    </row>
    <row r="177">
      <c r="A177" t="inlineStr">
        <is>
          <t>2026-06-02</t>
        </is>
      </c>
      <c r="B177" t="inlineStr">
        <is>
          <t>General Chem 26</t>
        </is>
      </c>
      <c r="C177" t="inlineStr">
        <is>
          <t>105326060201</t>
        </is>
      </c>
      <c r="D177" t="inlineStr">
        <is>
          <t>ALB</t>
        </is>
      </c>
      <c r="F177" t="n">
        <v>8</v>
      </c>
      <c r="G177" t="n">
        <v>4.2</v>
      </c>
      <c r="H177" t="n">
        <v>37.8</v>
      </c>
      <c r="I177" t="n">
        <v>-29.4</v>
      </c>
      <c r="J177" t="n">
        <v>4.071422</v>
      </c>
      <c r="K177" t="n">
        <v>3.964949</v>
      </c>
      <c r="L177" t="n">
        <v>4.203371</v>
      </c>
      <c r="M177" t="n">
        <v>4.079072</v>
      </c>
      <c r="BH177" t="n">
        <v>4.08</v>
      </c>
      <c r="BS177" t="n">
        <v>-2.86</v>
      </c>
      <c r="CD177" t="n">
        <v>2.07</v>
      </c>
      <c r="CF177" t="n">
        <v>8</v>
      </c>
      <c r="CG177" t="n">
        <v>2.7</v>
      </c>
      <c r="CH177" t="n">
        <v>24.3</v>
      </c>
      <c r="CI177" t="n">
        <v>-18.9</v>
      </c>
      <c r="CJ177" t="n">
        <v>2.73304</v>
      </c>
      <c r="CK177" t="n">
        <v>2.7277393</v>
      </c>
      <c r="CL177" t="n">
        <v>2.7774389</v>
      </c>
      <c r="CM177" t="n">
        <v>2.7915955</v>
      </c>
      <c r="EH177" t="n">
        <v>2.757</v>
      </c>
      <c r="ES177" t="n">
        <v>2.13</v>
      </c>
      <c r="FD177" t="n">
        <v>1</v>
      </c>
      <c r="FF177" t="n">
        <v>8</v>
      </c>
      <c r="FG177" t="n">
        <v>2.6</v>
      </c>
      <c r="FH177" t="n">
        <v>23.4</v>
      </c>
      <c r="FI177" t="n">
        <v>-18.2</v>
      </c>
      <c r="FJ177" t="n">
        <v>2.569362</v>
      </c>
      <c r="FK177" t="n">
        <v>2.5594034</v>
      </c>
      <c r="FL177" t="n">
        <v>2.5769513</v>
      </c>
      <c r="FM177" t="n">
        <v>2.6014416</v>
      </c>
      <c r="HH177" t="n">
        <v>2.577</v>
      </c>
      <c r="HS177" t="n">
        <v>-0.89</v>
      </c>
      <c r="ID177" t="n">
        <v>0.6</v>
      </c>
      <c r="IF177" t="n">
        <v>8</v>
      </c>
      <c r="IG177" t="n">
        <v>4.2</v>
      </c>
      <c r="IH177" t="n">
        <v>37.8</v>
      </c>
      <c r="II177" t="n">
        <v>-29.4</v>
      </c>
      <c r="IJ177" t="n">
        <v>4.1482215</v>
      </c>
      <c r="IK177" t="n">
        <v>4.209986</v>
      </c>
      <c r="IL177" t="n">
        <v>4.072265</v>
      </c>
      <c r="IM177" t="n">
        <v>4.0669518</v>
      </c>
      <c r="KH177" t="n">
        <v>4.124</v>
      </c>
      <c r="KS177" t="n">
        <v>-1.8</v>
      </c>
      <c r="LD177" t="n">
        <v>1.43</v>
      </c>
    </row>
    <row r="178">
      <c r="A178" t="inlineStr">
        <is>
          <t>2026-06-02</t>
        </is>
      </c>
      <c r="B178" t="inlineStr">
        <is>
          <t>General Chem 26</t>
        </is>
      </c>
      <c r="C178" t="inlineStr">
        <is>
          <t>105326060201</t>
        </is>
      </c>
      <c r="D178" t="inlineStr">
        <is>
          <t>ALP</t>
        </is>
      </c>
      <c r="F178" t="n">
        <v>20</v>
      </c>
      <c r="G178" t="n">
        <v>136</v>
      </c>
      <c r="H178" t="n">
        <v>2856</v>
      </c>
      <c r="I178" t="n">
        <v>-2584</v>
      </c>
      <c r="J178" t="n">
        <v>145.75255</v>
      </c>
      <c r="K178" t="n">
        <v>142.45123</v>
      </c>
      <c r="L178" t="n">
        <v>143.76186</v>
      </c>
      <c r="M178" t="n">
        <v>142.98654</v>
      </c>
      <c r="BH178" t="n">
        <v>143.738</v>
      </c>
      <c r="BS178" t="n">
        <v>5.69</v>
      </c>
      <c r="CD178" t="n">
        <v>0.87</v>
      </c>
      <c r="CF178" t="n">
        <v>20</v>
      </c>
      <c r="CG178" t="n">
        <v>456</v>
      </c>
      <c r="CH178" t="n">
        <v>9576</v>
      </c>
      <c r="CI178" t="n">
        <v>-8664</v>
      </c>
      <c r="CJ178" t="n">
        <v>455.9734</v>
      </c>
      <c r="CK178" t="n">
        <v>458.3319</v>
      </c>
      <c r="CL178" t="n">
        <v>455.4017</v>
      </c>
      <c r="CM178" t="n">
        <v>448.57224</v>
      </c>
      <c r="EH178" t="n">
        <v>454.57</v>
      </c>
      <c r="ES178" t="n">
        <v>-0.31</v>
      </c>
      <c r="FD178" t="n">
        <v>0.8</v>
      </c>
      <c r="FF178" t="n">
        <v>20</v>
      </c>
      <c r="FG178" t="n">
        <v>75</v>
      </c>
      <c r="FH178" t="n">
        <v>1575</v>
      </c>
      <c r="FI178" t="n">
        <v>-1425</v>
      </c>
      <c r="FJ178" t="n">
        <v>75.70726999999999</v>
      </c>
      <c r="FK178" t="n">
        <v>75.09514</v>
      </c>
      <c r="FL178" t="n">
        <v>75.44313</v>
      </c>
      <c r="FM178" t="n">
        <v>75.76108600000001</v>
      </c>
      <c r="HH178" t="n">
        <v>75.502</v>
      </c>
      <c r="HS178" t="n">
        <v>0.67</v>
      </c>
      <c r="ID178" t="n">
        <v>0.35</v>
      </c>
      <c r="IF178" t="n">
        <v>20</v>
      </c>
      <c r="IG178" t="n">
        <v>251</v>
      </c>
      <c r="IH178" t="n">
        <v>5271</v>
      </c>
      <c r="II178" t="n">
        <v>-4769</v>
      </c>
      <c r="IJ178" t="n">
        <v>226.80472</v>
      </c>
      <c r="IK178" t="n">
        <v>224.57913</v>
      </c>
      <c r="IL178" t="n">
        <v>221.85811</v>
      </c>
      <c r="IM178" t="n">
        <v>224.36035</v>
      </c>
      <c r="KH178" t="n">
        <v>224.401</v>
      </c>
      <c r="KS178" t="n">
        <v>-10.6</v>
      </c>
      <c r="LD178" t="n">
        <v>0.78</v>
      </c>
    </row>
    <row r="179">
      <c r="A179" t="inlineStr">
        <is>
          <t>2026-06-02</t>
        </is>
      </c>
      <c r="B179" t="inlineStr">
        <is>
          <t>General Chem 26</t>
        </is>
      </c>
      <c r="C179" t="inlineStr">
        <is>
          <t>105326060201</t>
        </is>
      </c>
      <c r="D179" t="inlineStr">
        <is>
          <t>ALT</t>
        </is>
      </c>
      <c r="F179" t="n">
        <v>15</v>
      </c>
      <c r="G179" t="n">
        <v>28</v>
      </c>
      <c r="H179" t="n">
        <v>448</v>
      </c>
      <c r="I179" t="n">
        <v>-392</v>
      </c>
      <c r="J179" t="n">
        <v>27.832348</v>
      </c>
      <c r="K179" t="n">
        <v>29.671007</v>
      </c>
      <c r="L179" t="n">
        <v>26.325935</v>
      </c>
      <c r="M179" t="n">
        <v>25.656374</v>
      </c>
      <c r="BH179" t="n">
        <v>27.371</v>
      </c>
      <c r="BS179" t="n">
        <v>-2.24</v>
      </c>
      <c r="CD179" t="n">
        <v>5.64</v>
      </c>
      <c r="CF179" t="n">
        <v>15</v>
      </c>
      <c r="CG179" t="n">
        <v>115</v>
      </c>
      <c r="CH179" t="n">
        <v>1840</v>
      </c>
      <c r="CI179" t="n">
        <v>-1610</v>
      </c>
      <c r="CJ179" t="n">
        <v>123.79823</v>
      </c>
      <c r="CK179" t="n">
        <v>121.735344</v>
      </c>
      <c r="CL179" t="n">
        <v>121.65144</v>
      </c>
      <c r="CM179" t="n">
        <v>122.36371</v>
      </c>
      <c r="EH179" t="n">
        <v>122.387</v>
      </c>
      <c r="ES179" t="n">
        <v>6.42</v>
      </c>
      <c r="FD179" t="n">
        <v>0.7</v>
      </c>
      <c r="FF179" t="n">
        <v>15</v>
      </c>
      <c r="FG179" t="n">
        <v>26</v>
      </c>
      <c r="FH179" t="n">
        <v>416</v>
      </c>
      <c r="FI179" t="n">
        <v>-364</v>
      </c>
      <c r="FJ179" t="n">
        <v>22.950249</v>
      </c>
      <c r="FK179" t="n">
        <v>21.16279</v>
      </c>
      <c r="FL179" t="n">
        <v>21.737253</v>
      </c>
      <c r="FM179" t="n">
        <v>25.541063</v>
      </c>
      <c r="HH179" t="n">
        <v>22.848</v>
      </c>
      <c r="HS179" t="n">
        <v>-12.12</v>
      </c>
      <c r="ID179" t="n">
        <v>7.37</v>
      </c>
      <c r="IF179" t="n">
        <v>15</v>
      </c>
      <c r="IG179" t="n">
        <v>217</v>
      </c>
      <c r="IH179" t="n">
        <v>3472</v>
      </c>
      <c r="II179" t="n">
        <v>-3038</v>
      </c>
      <c r="IJ179" t="n">
        <v>215.6796</v>
      </c>
      <c r="IK179" t="n">
        <v>217.65201</v>
      </c>
      <c r="IL179" t="n">
        <v>209.32623</v>
      </c>
      <c r="IM179" t="n">
        <v>208.79176</v>
      </c>
      <c r="KH179" t="n">
        <v>212.862</v>
      </c>
      <c r="KS179" t="n">
        <v>-1.91</v>
      </c>
      <c r="LD179" t="n">
        <v>1.82</v>
      </c>
    </row>
    <row r="180">
      <c r="A180" t="inlineStr">
        <is>
          <t>2026-06-02</t>
        </is>
      </c>
      <c r="B180" t="inlineStr">
        <is>
          <t>General Chem 26</t>
        </is>
      </c>
      <c r="C180" t="inlineStr">
        <is>
          <t>105326060201</t>
        </is>
      </c>
      <c r="D180" t="inlineStr">
        <is>
          <t>BUN</t>
        </is>
      </c>
      <c r="F180" t="n">
        <v>9</v>
      </c>
      <c r="G180" t="n">
        <v>14.8</v>
      </c>
      <c r="H180" t="n">
        <v>148</v>
      </c>
      <c r="I180" t="n">
        <v>-118.4</v>
      </c>
      <c r="J180" t="n">
        <v>14.811433</v>
      </c>
      <c r="K180" t="n">
        <v>14.580486</v>
      </c>
      <c r="L180" t="n">
        <v>14.10929</v>
      </c>
      <c r="M180" t="n">
        <v>14.527175</v>
      </c>
      <c r="BH180" t="n">
        <v>14.507</v>
      </c>
      <c r="BS180" t="n">
        <v>-1.98</v>
      </c>
      <c r="CD180" t="n">
        <v>1.75</v>
      </c>
      <c r="CF180" t="n">
        <v>9</v>
      </c>
      <c r="CG180" t="n">
        <v>44.7</v>
      </c>
      <c r="CH180" t="n">
        <v>447</v>
      </c>
      <c r="CI180" t="n">
        <v>-357.6</v>
      </c>
      <c r="CJ180" t="n">
        <v>44.64073</v>
      </c>
      <c r="CK180" t="n">
        <v>44.030937</v>
      </c>
      <c r="CL180" t="n">
        <v>44.42997</v>
      </c>
      <c r="CM180" t="n">
        <v>44.22858</v>
      </c>
      <c r="EH180" t="n">
        <v>44.333</v>
      </c>
      <c r="ES180" t="n">
        <v>-0.82</v>
      </c>
      <c r="FD180" t="n">
        <v>0.51</v>
      </c>
      <c r="FF180" t="n">
        <v>9</v>
      </c>
      <c r="FG180" t="n">
        <v>14.7</v>
      </c>
      <c r="FH180" t="n">
        <v>147</v>
      </c>
      <c r="FI180" t="n">
        <v>-117.6</v>
      </c>
      <c r="FJ180" t="n">
        <v>14.776598</v>
      </c>
      <c r="FK180" t="n">
        <v>14.424444</v>
      </c>
      <c r="FL180" t="n">
        <v>14.7878475</v>
      </c>
      <c r="FM180" t="n">
        <v>14.622914</v>
      </c>
      <c r="HH180" t="n">
        <v>14.653</v>
      </c>
      <c r="HS180" t="n">
        <v>-0.32</v>
      </c>
      <c r="ID180" t="n">
        <v>1</v>
      </c>
      <c r="IF180" t="n">
        <v>9</v>
      </c>
      <c r="IG180" t="n">
        <v>65.7</v>
      </c>
      <c r="IH180" t="n">
        <v>657</v>
      </c>
      <c r="II180" t="n">
        <v>-525.6</v>
      </c>
      <c r="IJ180" t="n">
        <v>65.45408999999999</v>
      </c>
      <c r="IK180" t="n">
        <v>66.04568999999999</v>
      </c>
      <c r="IL180" t="n">
        <v>64.70755</v>
      </c>
      <c r="IM180" t="n">
        <v>65.303635</v>
      </c>
      <c r="KH180" t="n">
        <v>65.378</v>
      </c>
      <c r="KS180" t="n">
        <v>-0.49</v>
      </c>
      <c r="LD180" t="n">
        <v>0.73</v>
      </c>
    </row>
    <row r="181">
      <c r="A181" t="inlineStr">
        <is>
          <t>2026-06-02</t>
        </is>
      </c>
      <c r="B181" t="inlineStr">
        <is>
          <t>General Chem 26</t>
        </is>
      </c>
      <c r="C181" t="inlineStr">
        <is>
          <t>105326060201</t>
        </is>
      </c>
      <c r="D181" t="inlineStr">
        <is>
          <t>CREA</t>
        </is>
      </c>
      <c r="F181" t="n">
        <v>10</v>
      </c>
      <c r="G181" t="n">
        <v>1.5</v>
      </c>
      <c r="H181" t="n">
        <v>16.5</v>
      </c>
      <c r="I181" t="n">
        <v>-13.5</v>
      </c>
      <c r="J181" t="n">
        <v>1.2249261</v>
      </c>
      <c r="K181" t="n">
        <v>1.3262401</v>
      </c>
      <c r="L181" t="n">
        <v>1.3116281</v>
      </c>
      <c r="M181" t="n">
        <v>1.3806502</v>
      </c>
      <c r="BH181" t="n">
        <v>1.311</v>
      </c>
      <c r="BS181" t="n">
        <v>-12.61</v>
      </c>
      <c r="CD181" t="n">
        <v>4.26</v>
      </c>
      <c r="CF181" t="n">
        <v>10</v>
      </c>
      <c r="CG181" t="n">
        <v>5.55</v>
      </c>
      <c r="CH181" t="n">
        <v>61.05</v>
      </c>
      <c r="CI181" t="n">
        <v>-49.95</v>
      </c>
      <c r="CJ181" t="n">
        <v>4.795003</v>
      </c>
      <c r="CK181" t="n">
        <v>4.8282056</v>
      </c>
      <c r="CL181" t="n">
        <v>4.8006635</v>
      </c>
      <c r="CM181" t="n">
        <v>4.8843155</v>
      </c>
      <c r="EH181" t="n">
        <v>4.827</v>
      </c>
      <c r="ES181" t="n">
        <v>-13.03</v>
      </c>
      <c r="FD181" t="n">
        <v>0.73</v>
      </c>
      <c r="FF181" t="n">
        <v>10</v>
      </c>
      <c r="FG181" t="n">
        <v>0.97</v>
      </c>
      <c r="FH181" t="n">
        <v>10.67</v>
      </c>
      <c r="FI181" t="n">
        <v>-8.73</v>
      </c>
      <c r="FJ181" t="n">
        <v>0.664617</v>
      </c>
      <c r="FK181" t="n">
        <v>0.7420496</v>
      </c>
      <c r="FL181" t="n">
        <v>0.7125882</v>
      </c>
      <c r="FM181" t="n">
        <v>0.7358477</v>
      </c>
      <c r="HH181" t="n">
        <v>0.714</v>
      </c>
      <c r="HS181" t="n">
        <v>-26.41</v>
      </c>
      <c r="ID181" t="n">
        <v>4.26</v>
      </c>
      <c r="IF181" t="n">
        <v>10</v>
      </c>
      <c r="IG181" t="n">
        <v>5.95</v>
      </c>
      <c r="IH181" t="n">
        <v>65.45</v>
      </c>
      <c r="II181" t="n">
        <v>-53.55</v>
      </c>
      <c r="IJ181" t="n">
        <v>5.492439</v>
      </c>
      <c r="IK181" t="n">
        <v>5.456934</v>
      </c>
      <c r="IL181" t="n">
        <v>5.5463805</v>
      </c>
      <c r="IM181" t="n">
        <v>5.4586735</v>
      </c>
      <c r="KH181" t="n">
        <v>5.489</v>
      </c>
      <c r="KS181" t="n">
        <v>-7.75</v>
      </c>
      <c r="LD181" t="n">
        <v>0.66</v>
      </c>
    </row>
    <row r="182">
      <c r="A182" t="inlineStr">
        <is>
          <t>2026-06-02</t>
        </is>
      </c>
      <c r="B182" t="inlineStr">
        <is>
          <t>General Chem 26</t>
        </is>
      </c>
      <c r="C182" t="inlineStr">
        <is>
          <t>105326060201</t>
        </is>
      </c>
      <c r="D182" t="inlineStr">
        <is>
          <t>GLU</t>
        </is>
      </c>
      <c r="F182" t="n">
        <v>8</v>
      </c>
      <c r="G182" t="n">
        <v>90.16</v>
      </c>
      <c r="H182" t="n">
        <v>811.4399999999999</v>
      </c>
      <c r="I182" t="n">
        <v>-631.12</v>
      </c>
      <c r="J182" t="n">
        <v>92.366196</v>
      </c>
      <c r="K182" t="n">
        <v>91.618515</v>
      </c>
      <c r="L182" t="n">
        <v>90.29879</v>
      </c>
      <c r="M182" t="n">
        <v>91.57892</v>
      </c>
      <c r="BH182" t="n">
        <v>91.46599999999999</v>
      </c>
      <c r="BS182" t="n">
        <v>1.45</v>
      </c>
      <c r="CD182" t="n">
        <v>0.8100000000000001</v>
      </c>
      <c r="CF182" t="n">
        <v>8</v>
      </c>
      <c r="CG182" t="n">
        <v>293.02</v>
      </c>
      <c r="CH182" t="n">
        <v>2637.18</v>
      </c>
      <c r="CI182" t="n">
        <v>-2051.14</v>
      </c>
      <c r="CJ182" t="n">
        <v>306.15027</v>
      </c>
      <c r="CK182" t="n">
        <v>306.2117</v>
      </c>
      <c r="CL182" t="n">
        <v>306.53558</v>
      </c>
      <c r="CM182" t="n">
        <v>304.89847</v>
      </c>
      <c r="EH182" t="n">
        <v>305.949</v>
      </c>
      <c r="ES182" t="n">
        <v>4.41</v>
      </c>
      <c r="FD182" t="n">
        <v>0.2</v>
      </c>
      <c r="FF182" t="n">
        <v>8</v>
      </c>
      <c r="FG182" t="n">
        <v>65.66</v>
      </c>
      <c r="FH182" t="n">
        <v>590.9399999999999</v>
      </c>
      <c r="FI182" t="n">
        <v>-459.62</v>
      </c>
      <c r="FJ182" t="n">
        <v>67.78899</v>
      </c>
      <c r="FK182" t="n">
        <v>67.35745</v>
      </c>
      <c r="FL182" t="n">
        <v>67.08631</v>
      </c>
      <c r="FM182" t="n">
        <v>65.92108</v>
      </c>
      <c r="HH182" t="n">
        <v>67.038</v>
      </c>
      <c r="HS182" t="n">
        <v>2.1</v>
      </c>
      <c r="ID182" t="n">
        <v>1.03</v>
      </c>
      <c r="IF182" t="n">
        <v>8</v>
      </c>
      <c r="IG182" t="n">
        <v>359.66</v>
      </c>
      <c r="IH182" t="n">
        <v>3236.94</v>
      </c>
      <c r="II182" t="n">
        <v>-2517.62</v>
      </c>
      <c r="IJ182" t="n">
        <v>370.27298</v>
      </c>
      <c r="IK182" t="n">
        <v>370.41556</v>
      </c>
      <c r="IL182" t="n">
        <v>359.14636</v>
      </c>
      <c r="IM182" t="n">
        <v>363.19467</v>
      </c>
      <c r="KH182" t="n">
        <v>365.757</v>
      </c>
      <c r="KS182" t="n">
        <v>1.7</v>
      </c>
      <c r="LD182" t="n">
        <v>1.31</v>
      </c>
    </row>
    <row r="183">
      <c r="A183" t="inlineStr">
        <is>
          <t>2026-06-02</t>
        </is>
      </c>
      <c r="B183" t="inlineStr">
        <is>
          <t>General Chem 26</t>
        </is>
      </c>
      <c r="C183" t="inlineStr">
        <is>
          <t>105326060201</t>
        </is>
      </c>
      <c r="D183" t="inlineStr">
        <is>
          <t>TP</t>
        </is>
      </c>
      <c r="F183" t="n">
        <v>8</v>
      </c>
      <c r="G183" t="n">
        <v>6.4</v>
      </c>
      <c r="H183" t="n">
        <v>57.6</v>
      </c>
      <c r="I183" t="n">
        <v>-44.8</v>
      </c>
      <c r="J183" t="n">
        <v>6.6140175</v>
      </c>
      <c r="K183" t="n">
        <v>6.5252404</v>
      </c>
      <c r="L183" t="n">
        <v>6.443481</v>
      </c>
      <c r="M183" t="n">
        <v>6.4644647</v>
      </c>
      <c r="BH183" t="n">
        <v>6.512</v>
      </c>
      <c r="BS183" t="n">
        <v>1.75</v>
      </c>
      <c r="CD183" t="n">
        <v>1.02</v>
      </c>
      <c r="CF183" t="n">
        <v>8</v>
      </c>
      <c r="CG183" t="n">
        <v>4.1</v>
      </c>
      <c r="CH183" t="n">
        <v>36.9</v>
      </c>
      <c r="CI183" t="n">
        <v>-28.7</v>
      </c>
      <c r="CJ183" t="n">
        <v>4.4113307</v>
      </c>
      <c r="CK183" t="n">
        <v>4.3482385</v>
      </c>
      <c r="CL183" t="n">
        <v>4.3544035</v>
      </c>
      <c r="CM183" t="n">
        <v>4.380096</v>
      </c>
      <c r="EH183" t="n">
        <v>4.374</v>
      </c>
      <c r="ES183" t="n">
        <v>6.67</v>
      </c>
      <c r="FD183" t="n">
        <v>0.57</v>
      </c>
      <c r="FF183" t="n">
        <v>8</v>
      </c>
      <c r="FG183" t="n">
        <v>4.2</v>
      </c>
      <c r="FH183" t="n">
        <v>37.8</v>
      </c>
      <c r="FI183" t="n">
        <v>-29.4</v>
      </c>
      <c r="FJ183" t="n">
        <v>4.1277018</v>
      </c>
      <c r="FK183" t="n">
        <v>4.071855</v>
      </c>
      <c r="FL183" t="n">
        <v>4.178267</v>
      </c>
      <c r="FM183" t="n">
        <v>4.0696793</v>
      </c>
      <c r="HH183" t="n">
        <v>4.112</v>
      </c>
      <c r="HS183" t="n">
        <v>-2.1</v>
      </c>
      <c r="ID183" t="n">
        <v>1.09</v>
      </c>
      <c r="IF183" t="n">
        <v>8</v>
      </c>
      <c r="IG183" t="n">
        <v>7.5</v>
      </c>
      <c r="IH183" t="n">
        <v>67.5</v>
      </c>
      <c r="II183" t="n">
        <v>-52.5</v>
      </c>
      <c r="IJ183" t="n">
        <v>7.666983</v>
      </c>
      <c r="IK183" t="n">
        <v>7.681503</v>
      </c>
      <c r="IL183" t="n">
        <v>7.419054</v>
      </c>
      <c r="IM183" t="n">
        <v>7.541996</v>
      </c>
      <c r="KH183" t="n">
        <v>7.577</v>
      </c>
      <c r="KS183" t="n">
        <v>1.03</v>
      </c>
      <c r="LD183" t="n">
        <v>1.4</v>
      </c>
    </row>
    <row r="184">
      <c r="A184" t="inlineStr">
        <is>
          <t>2026-06-02</t>
        </is>
      </c>
      <c r="B184" t="inlineStr">
        <is>
          <t>Core Chem 13</t>
        </is>
      </c>
      <c r="C184" t="inlineStr">
        <is>
          <t>100126060201 &amp; 200126060201</t>
        </is>
      </c>
      <c r="D184" t="inlineStr">
        <is>
          <t>ALB</t>
        </is>
      </c>
      <c r="F184" t="n">
        <v>8</v>
      </c>
      <c r="G184" t="n">
        <v>4.2</v>
      </c>
      <c r="H184" t="n">
        <v>37.8</v>
      </c>
      <c r="I184" t="n">
        <v>-29.4</v>
      </c>
      <c r="J184" t="n">
        <v>4.102315</v>
      </c>
      <c r="K184" t="n">
        <v>4.0409145</v>
      </c>
      <c r="L184" t="n">
        <v>4.1203966</v>
      </c>
      <c r="M184" t="n">
        <v>4.1352806</v>
      </c>
      <c r="N184" t="n">
        <v>4.144483</v>
      </c>
      <c r="O184" t="n">
        <v>4.066047</v>
      </c>
      <c r="P184" t="n">
        <v>4.061442</v>
      </c>
      <c r="BH184" t="n">
        <v>4.096</v>
      </c>
      <c r="BS184" t="n">
        <v>-2.48</v>
      </c>
      <c r="CD184" t="n">
        <v>0.91</v>
      </c>
      <c r="CF184" t="n">
        <v>8</v>
      </c>
      <c r="CG184" t="n">
        <v>2.7</v>
      </c>
      <c r="CH184" t="n">
        <v>24.3</v>
      </c>
      <c r="CI184" t="n">
        <v>-18.9</v>
      </c>
      <c r="CJ184" t="n">
        <v>2.654798</v>
      </c>
      <c r="CK184" t="n">
        <v>2.7085743</v>
      </c>
      <c r="CL184" t="n">
        <v>2.7359898</v>
      </c>
      <c r="CM184" t="n">
        <v>2.7213356</v>
      </c>
      <c r="CN184" t="n">
        <v>2.8135202</v>
      </c>
      <c r="CO184" t="n">
        <v>2.7903705</v>
      </c>
      <c r="EH184" t="n">
        <v>2.737</v>
      </c>
      <c r="ES184" t="n">
        <v>1.39</v>
      </c>
      <c r="FD184" t="n">
        <v>1.92</v>
      </c>
      <c r="FF184" t="n">
        <v>8</v>
      </c>
      <c r="FG184" t="n">
        <v>2.6</v>
      </c>
      <c r="FH184" t="n">
        <v>23.4</v>
      </c>
      <c r="FI184" t="n">
        <v>-18.2</v>
      </c>
      <c r="FJ184" t="n">
        <v>2.559631</v>
      </c>
      <c r="FK184" t="n">
        <v>2.5255473</v>
      </c>
      <c r="FL184" t="n">
        <v>2.5083964</v>
      </c>
      <c r="FM184" t="n">
        <v>2.5125322</v>
      </c>
      <c r="FN184" t="n">
        <v>2.5108583</v>
      </c>
      <c r="FO184" t="n">
        <v>2.5154307</v>
      </c>
      <c r="FP184" t="n">
        <v>2.4756477</v>
      </c>
      <c r="HH184" t="n">
        <v>2.515</v>
      </c>
      <c r="HS184" t="n">
        <v>-3.25</v>
      </c>
      <c r="ID184" t="n">
        <v>0.92</v>
      </c>
      <c r="IF184" t="n">
        <v>8</v>
      </c>
      <c r="IG184" t="n">
        <v>4.2</v>
      </c>
      <c r="IH184" t="n">
        <v>37.8</v>
      </c>
      <c r="II184" t="n">
        <v>-29.4</v>
      </c>
      <c r="IJ184" t="n">
        <v>4.060663</v>
      </c>
      <c r="IK184" t="n">
        <v>4.0773106</v>
      </c>
      <c r="IL184" t="n">
        <v>4.108754</v>
      </c>
      <c r="IM184" t="n">
        <v>3.9654086</v>
      </c>
      <c r="IN184" t="n">
        <v>3.8558557</v>
      </c>
      <c r="IO184" t="n">
        <v>4.0637417</v>
      </c>
      <c r="IP184" t="n">
        <v>4.1136084</v>
      </c>
      <c r="IQ184" t="n">
        <v>4.0403113</v>
      </c>
      <c r="KH184" t="n">
        <v>4.036</v>
      </c>
      <c r="KS184" t="n">
        <v>-3.91</v>
      </c>
      <c r="LD184" t="n">
        <v>1.99</v>
      </c>
    </row>
    <row r="185">
      <c r="A185" t="inlineStr">
        <is>
          <t>2026-06-02</t>
        </is>
      </c>
      <c r="B185" t="inlineStr">
        <is>
          <t>Core Chem 13</t>
        </is>
      </c>
      <c r="C185" t="inlineStr">
        <is>
          <t>100126060201 &amp; 200126060201</t>
        </is>
      </c>
      <c r="D185" t="inlineStr">
        <is>
          <t>ALP</t>
        </is>
      </c>
      <c r="F185" t="n">
        <v>20</v>
      </c>
      <c r="G185" t="n">
        <v>136</v>
      </c>
      <c r="H185" t="n">
        <v>2856</v>
      </c>
      <c r="I185" t="n">
        <v>-2584</v>
      </c>
      <c r="J185" t="n">
        <v>142.56627</v>
      </c>
      <c r="K185" t="n">
        <v>140.09169</v>
      </c>
      <c r="L185" t="n">
        <v>143.14426</v>
      </c>
      <c r="M185" t="n">
        <v>143.71596</v>
      </c>
      <c r="N185" t="n">
        <v>143.14767</v>
      </c>
      <c r="O185" t="n">
        <v>140.76193</v>
      </c>
      <c r="P185" t="n">
        <v>140.81618</v>
      </c>
      <c r="BH185" t="n">
        <v>142.035</v>
      </c>
      <c r="BS185" t="n">
        <v>4.44</v>
      </c>
      <c r="CD185" t="n">
        <v>0.9399999999999999</v>
      </c>
      <c r="CF185" t="n">
        <v>20</v>
      </c>
      <c r="CG185" t="n">
        <v>456</v>
      </c>
      <c r="CH185" t="n">
        <v>9576</v>
      </c>
      <c r="CI185" t="n">
        <v>-8664</v>
      </c>
      <c r="CJ185" t="n">
        <v>455.05396</v>
      </c>
      <c r="CK185" t="n">
        <v>449.1644</v>
      </c>
      <c r="CL185" t="n">
        <v>456.07114</v>
      </c>
      <c r="CM185" t="n">
        <v>457.10577</v>
      </c>
      <c r="CN185" t="n">
        <v>457.73807</v>
      </c>
      <c r="CO185" t="n">
        <v>449.89572</v>
      </c>
      <c r="EH185" t="n">
        <v>454.172</v>
      </c>
      <c r="ES185" t="n">
        <v>-0.4</v>
      </c>
      <c r="FD185" t="n">
        <v>0.75</v>
      </c>
      <c r="FF185" t="n">
        <v>20</v>
      </c>
      <c r="FG185" t="n">
        <v>75</v>
      </c>
      <c r="FH185" t="n">
        <v>1575</v>
      </c>
      <c r="FI185" t="n">
        <v>-1425</v>
      </c>
      <c r="FJ185" t="n">
        <v>73.63892</v>
      </c>
      <c r="FK185" t="n">
        <v>72.52061</v>
      </c>
      <c r="FL185" t="n">
        <v>72.74428</v>
      </c>
      <c r="FM185" t="n">
        <v>73.189514</v>
      </c>
      <c r="FN185" t="n">
        <v>72.83702</v>
      </c>
      <c r="FO185" t="n">
        <v>71.989456</v>
      </c>
      <c r="FP185" t="n">
        <v>73.13088999999999</v>
      </c>
      <c r="HH185" t="n">
        <v>72.864</v>
      </c>
      <c r="HS185" t="n">
        <v>-2.85</v>
      </c>
      <c r="ID185" t="n">
        <v>0.67</v>
      </c>
      <c r="IF185" t="n">
        <v>20</v>
      </c>
      <c r="IG185" t="n">
        <v>251</v>
      </c>
      <c r="IH185" t="n">
        <v>5271</v>
      </c>
      <c r="II185" t="n">
        <v>-4769</v>
      </c>
      <c r="IJ185" t="n">
        <v>228.64143</v>
      </c>
      <c r="IK185" t="n">
        <v>231.71698</v>
      </c>
      <c r="IL185" t="n">
        <v>228.73737</v>
      </c>
      <c r="IM185" t="n">
        <v>224.65453</v>
      </c>
      <c r="IN185" t="n">
        <v>218.6789</v>
      </c>
      <c r="IO185" t="n">
        <v>222.87405</v>
      </c>
      <c r="IP185" t="n">
        <v>221.6756</v>
      </c>
      <c r="IQ185" t="n">
        <v>221.33974</v>
      </c>
      <c r="KH185" t="n">
        <v>224.79</v>
      </c>
      <c r="KS185" t="n">
        <v>-10.44</v>
      </c>
      <c r="LD185" t="n">
        <v>1.87</v>
      </c>
    </row>
    <row r="186">
      <c r="A186" t="inlineStr">
        <is>
          <t>2026-06-02</t>
        </is>
      </c>
      <c r="B186" t="inlineStr">
        <is>
          <t>Core Chem 13</t>
        </is>
      </c>
      <c r="C186" t="inlineStr">
        <is>
          <t>100126060201 &amp; 200126060201</t>
        </is>
      </c>
      <c r="D186" t="inlineStr">
        <is>
          <t>ALT</t>
        </is>
      </c>
      <c r="F186" t="n">
        <v>15</v>
      </c>
      <c r="G186" t="n">
        <v>28</v>
      </c>
      <c r="H186" t="n">
        <v>448</v>
      </c>
      <c r="I186" t="n">
        <v>-392</v>
      </c>
      <c r="J186" t="n">
        <v>27.744404</v>
      </c>
      <c r="K186" t="n">
        <v>27.890133</v>
      </c>
      <c r="L186" t="n">
        <v>27.849756</v>
      </c>
      <c r="M186" t="n">
        <v>29.887232</v>
      </c>
      <c r="N186" t="n">
        <v>21.333195</v>
      </c>
      <c r="O186" t="n">
        <v>26.119774</v>
      </c>
      <c r="P186" t="n">
        <v>25.411528</v>
      </c>
      <c r="BH186" t="n">
        <v>26.605</v>
      </c>
      <c r="BS186" t="n">
        <v>-4.98</v>
      </c>
      <c r="CD186" t="n">
        <v>9.5</v>
      </c>
      <c r="CF186" t="n">
        <v>15</v>
      </c>
      <c r="CG186" t="n">
        <v>115</v>
      </c>
      <c r="CH186" t="n">
        <v>1840</v>
      </c>
      <c r="CI186" t="n">
        <v>-1610</v>
      </c>
      <c r="CJ186" t="n">
        <v>121.15325</v>
      </c>
      <c r="CK186" t="n">
        <v>122.91117</v>
      </c>
      <c r="CL186" t="n">
        <v>119.46068</v>
      </c>
      <c r="CM186" t="n">
        <v>119.61189</v>
      </c>
      <c r="CN186" t="n">
        <v>126.90656</v>
      </c>
      <c r="CO186" t="n">
        <v>121.481125</v>
      </c>
      <c r="EH186" t="n">
        <v>121.921</v>
      </c>
      <c r="ES186" t="n">
        <v>6.02</v>
      </c>
      <c r="FD186" t="n">
        <v>2.06</v>
      </c>
      <c r="FF186" t="n">
        <v>15</v>
      </c>
      <c r="FG186" t="n">
        <v>26</v>
      </c>
      <c r="FH186" t="n">
        <v>416</v>
      </c>
      <c r="FI186" t="n">
        <v>-364</v>
      </c>
      <c r="FJ186" t="n">
        <v>24.121243</v>
      </c>
      <c r="FK186" t="n">
        <v>24.224262</v>
      </c>
      <c r="FL186" t="n">
        <v>25.68897</v>
      </c>
      <c r="FM186" t="n">
        <v>25.244806</v>
      </c>
      <c r="FN186" t="n">
        <v>20.27594</v>
      </c>
      <c r="FO186" t="n">
        <v>19.474892</v>
      </c>
      <c r="FP186" t="n">
        <v>25.603159</v>
      </c>
      <c r="HH186" t="n">
        <v>23.519</v>
      </c>
      <c r="HS186" t="n">
        <v>-9.539999999999999</v>
      </c>
      <c r="ID186" t="n">
        <v>10.13</v>
      </c>
      <c r="IF186" t="n">
        <v>15</v>
      </c>
      <c r="IG186" t="n">
        <v>217</v>
      </c>
      <c r="IH186" t="n">
        <v>3472</v>
      </c>
      <c r="II186" t="n">
        <v>-3038</v>
      </c>
      <c r="IJ186" t="n">
        <v>203.37518</v>
      </c>
      <c r="IK186" t="n">
        <v>206.26894</v>
      </c>
      <c r="IL186" t="n">
        <v>212.54475</v>
      </c>
      <c r="IM186" t="n">
        <v>197.3435</v>
      </c>
      <c r="IN186" t="n">
        <v>194.16083</v>
      </c>
      <c r="IO186" t="n">
        <v>203.46259</v>
      </c>
      <c r="IP186" t="n">
        <v>193.87575</v>
      </c>
      <c r="IQ186" t="n">
        <v>198.44968</v>
      </c>
      <c r="KH186" t="n">
        <v>201.185</v>
      </c>
      <c r="KS186" t="n">
        <v>-7.29</v>
      </c>
      <c r="LD186" t="n">
        <v>2.99</v>
      </c>
    </row>
    <row r="187">
      <c r="A187" t="inlineStr">
        <is>
          <t>2026-06-02</t>
        </is>
      </c>
      <c r="B187" t="inlineStr">
        <is>
          <t>Core Chem 13</t>
        </is>
      </c>
      <c r="C187" t="inlineStr">
        <is>
          <t>100126060201 &amp; 200126060201</t>
        </is>
      </c>
      <c r="D187" t="inlineStr">
        <is>
          <t>BUN</t>
        </is>
      </c>
      <c r="F187" t="n">
        <v>9</v>
      </c>
      <c r="G187" t="n">
        <v>14.8</v>
      </c>
      <c r="H187" t="n">
        <v>148</v>
      </c>
      <c r="I187" t="n">
        <v>-118.4</v>
      </c>
      <c r="J187" t="n">
        <v>14.1144285</v>
      </c>
      <c r="K187" t="n">
        <v>14.398542</v>
      </c>
      <c r="L187" t="n">
        <v>14.591436</v>
      </c>
      <c r="M187" t="n">
        <v>14.938719</v>
      </c>
      <c r="N187" t="n">
        <v>14.429008</v>
      </c>
      <c r="O187" t="n">
        <v>14.479055</v>
      </c>
      <c r="P187" t="n">
        <v>14.298997</v>
      </c>
      <c r="BH187" t="n">
        <v>14.464</v>
      </c>
      <c r="BS187" t="n">
        <v>-2.27</v>
      </c>
      <c r="CD187" t="n">
        <v>1.65</v>
      </c>
      <c r="CF187" t="n">
        <v>9</v>
      </c>
      <c r="CG187" t="n">
        <v>44.7</v>
      </c>
      <c r="CH187" t="n">
        <v>447</v>
      </c>
      <c r="CI187" t="n">
        <v>-357.6</v>
      </c>
      <c r="CJ187" t="n">
        <v>44.861816</v>
      </c>
      <c r="CK187" t="n">
        <v>44.57234</v>
      </c>
      <c r="CL187" t="n">
        <v>45.15834</v>
      </c>
      <c r="CM187" t="n">
        <v>44.666744</v>
      </c>
      <c r="CN187" t="n">
        <v>45.626583</v>
      </c>
      <c r="CO187" t="n">
        <v>45.446156</v>
      </c>
      <c r="EH187" t="n">
        <v>45.055</v>
      </c>
      <c r="ES187" t="n">
        <v>0.79</v>
      </c>
      <c r="FD187" t="n">
        <v>0.87</v>
      </c>
      <c r="FF187" t="n">
        <v>9</v>
      </c>
      <c r="FG187" t="n">
        <v>14.7</v>
      </c>
      <c r="FH187" t="n">
        <v>147</v>
      </c>
      <c r="FI187" t="n">
        <v>-117.6</v>
      </c>
      <c r="FJ187" t="n">
        <v>14.70439</v>
      </c>
      <c r="FK187" t="n">
        <v>14.457879</v>
      </c>
      <c r="FL187" t="n">
        <v>14.724154</v>
      </c>
      <c r="FM187" t="n">
        <v>15.149887</v>
      </c>
      <c r="FN187" t="n">
        <v>14.627155</v>
      </c>
      <c r="FO187" t="n">
        <v>14.736641</v>
      </c>
      <c r="FP187" t="n">
        <v>14.454729</v>
      </c>
      <c r="HH187" t="n">
        <v>14.694</v>
      </c>
      <c r="HS187" t="n">
        <v>-0.04</v>
      </c>
      <c r="ID187" t="n">
        <v>1.47</v>
      </c>
      <c r="IF187" t="n">
        <v>9</v>
      </c>
      <c r="IG187" t="n">
        <v>65.7</v>
      </c>
      <c r="IH187" t="n">
        <v>657</v>
      </c>
      <c r="II187" t="n">
        <v>-525.6</v>
      </c>
      <c r="IJ187" t="n">
        <v>66.02594999999999</v>
      </c>
      <c r="IK187" t="n">
        <v>65.12555</v>
      </c>
      <c r="IL187" t="n">
        <v>66.15791</v>
      </c>
      <c r="IM187" t="n">
        <v>64.10123400000001</v>
      </c>
      <c r="IN187" t="n">
        <v>61.67925</v>
      </c>
      <c r="IO187" t="n">
        <v>64.60872999999999</v>
      </c>
      <c r="IP187" t="n">
        <v>63.919987</v>
      </c>
      <c r="IQ187" t="n">
        <v>65.64812999999999</v>
      </c>
      <c r="KH187" t="n">
        <v>64.658</v>
      </c>
      <c r="KS187" t="n">
        <v>-1.59</v>
      </c>
      <c r="LD187" t="n">
        <v>2.12</v>
      </c>
    </row>
    <row r="188">
      <c r="A188" t="inlineStr">
        <is>
          <t>2026-06-02</t>
        </is>
      </c>
      <c r="B188" t="inlineStr">
        <is>
          <t>Core Chem 13</t>
        </is>
      </c>
      <c r="C188" t="inlineStr">
        <is>
          <t>100126060201 &amp; 200126060201</t>
        </is>
      </c>
      <c r="D188" t="inlineStr">
        <is>
          <t>CREA</t>
        </is>
      </c>
      <c r="F188" t="n">
        <v>10</v>
      </c>
      <c r="G188" t="n">
        <v>1.5</v>
      </c>
      <c r="H188" t="n">
        <v>16.5</v>
      </c>
      <c r="I188" t="n">
        <v>-13.5</v>
      </c>
      <c r="J188" t="n">
        <v>1.2536019</v>
      </c>
      <c r="K188" t="n">
        <v>1.197694</v>
      </c>
      <c r="L188" t="n">
        <v>1.2547269</v>
      </c>
      <c r="M188" t="n">
        <v>1.2296438</v>
      </c>
      <c r="N188" t="n">
        <v>1.2719185</v>
      </c>
      <c r="O188" t="n">
        <v>1.2112486</v>
      </c>
      <c r="P188" t="n">
        <v>1.2314337</v>
      </c>
      <c r="BH188" t="n">
        <v>1.236</v>
      </c>
      <c r="BS188" t="n">
        <v>-17.62</v>
      </c>
      <c r="CD188" t="n">
        <v>1.96</v>
      </c>
      <c r="CF188" t="n">
        <v>10</v>
      </c>
      <c r="CG188" t="n">
        <v>5.55</v>
      </c>
      <c r="CH188" t="n">
        <v>61.05</v>
      </c>
      <c r="CI188" t="n">
        <v>-49.95</v>
      </c>
      <c r="CJ188" t="n">
        <v>4.582777</v>
      </c>
      <c r="CK188" t="n">
        <v>4.5628233</v>
      </c>
      <c r="CL188" t="n">
        <v>4.6661654</v>
      </c>
      <c r="CM188" t="n">
        <v>4.589082</v>
      </c>
      <c r="CN188" t="n">
        <v>4.69233</v>
      </c>
      <c r="CO188" t="n">
        <v>4.7151413</v>
      </c>
      <c r="EH188" t="n">
        <v>4.635</v>
      </c>
      <c r="ES188" t="n">
        <v>-16.49</v>
      </c>
      <c r="FD188" t="n">
        <v>1.27</v>
      </c>
      <c r="FF188" t="n">
        <v>10</v>
      </c>
      <c r="FG188" t="n">
        <v>0.97</v>
      </c>
      <c r="FH188" t="n">
        <v>10.67</v>
      </c>
      <c r="FI188" t="n">
        <v>-8.73</v>
      </c>
      <c r="FJ188" t="n">
        <v>0.72459465</v>
      </c>
      <c r="FK188" t="n">
        <v>0.6750019</v>
      </c>
      <c r="FL188" t="n">
        <v>0.619895</v>
      </c>
      <c r="FM188" t="n">
        <v>0.6177608999999999</v>
      </c>
      <c r="FN188" t="n">
        <v>0.64983934</v>
      </c>
      <c r="FO188" t="n">
        <v>0.6652719</v>
      </c>
      <c r="FP188" t="n">
        <v>0.6929380000000001</v>
      </c>
      <c r="HH188" t="n">
        <v>0.664</v>
      </c>
      <c r="HS188" t="n">
        <v>-31.59</v>
      </c>
      <c r="ID188" t="n">
        <v>5.38</v>
      </c>
      <c r="IF188" t="n">
        <v>10</v>
      </c>
      <c r="IG188" t="n">
        <v>5.95</v>
      </c>
      <c r="IH188" t="n">
        <v>65.45</v>
      </c>
      <c r="II188" t="n">
        <v>-53.55</v>
      </c>
      <c r="IJ188" t="n">
        <v>5.285083</v>
      </c>
      <c r="IK188" t="n">
        <v>5.274594</v>
      </c>
      <c r="IL188" t="n">
        <v>5.4447093</v>
      </c>
      <c r="IM188" t="n">
        <v>5.243461</v>
      </c>
      <c r="IN188" t="n">
        <v>4.7538323</v>
      </c>
      <c r="IO188" t="n">
        <v>5.257133</v>
      </c>
      <c r="IP188" t="n">
        <v>4.8346925</v>
      </c>
      <c r="IQ188" t="n">
        <v>5.194889</v>
      </c>
      <c r="KH188" t="n">
        <v>5.161</v>
      </c>
      <c r="KS188" t="n">
        <v>-13.26</v>
      </c>
      <c r="LD188" t="n">
        <v>4.32</v>
      </c>
    </row>
    <row r="189">
      <c r="A189" t="inlineStr">
        <is>
          <t>2026-06-02</t>
        </is>
      </c>
      <c r="B189" t="inlineStr">
        <is>
          <t>Core Chem 13</t>
        </is>
      </c>
      <c r="C189" t="inlineStr">
        <is>
          <t>100126060201 &amp; 200126060201</t>
        </is>
      </c>
      <c r="D189" t="inlineStr">
        <is>
          <t>GLU</t>
        </is>
      </c>
      <c r="F189" t="n">
        <v>8</v>
      </c>
      <c r="G189" t="n">
        <v>90.16</v>
      </c>
      <c r="H189" t="n">
        <v>811.4399999999999</v>
      </c>
      <c r="I189" t="n">
        <v>-631.12</v>
      </c>
      <c r="J189" t="n">
        <v>91.47051</v>
      </c>
      <c r="K189" t="n">
        <v>91.40437</v>
      </c>
      <c r="L189" t="n">
        <v>91.28194999999999</v>
      </c>
      <c r="M189" t="n">
        <v>93.15586</v>
      </c>
      <c r="N189" t="n">
        <v>94.07374</v>
      </c>
      <c r="O189" t="n">
        <v>89.255875</v>
      </c>
      <c r="P189" t="n">
        <v>90.06197</v>
      </c>
      <c r="BH189" t="n">
        <v>91.529</v>
      </c>
      <c r="BS189" t="n">
        <v>1.52</v>
      </c>
      <c r="CD189" t="n">
        <v>1.68</v>
      </c>
      <c r="CF189" t="n">
        <v>8</v>
      </c>
      <c r="CG189" t="n">
        <v>293.02</v>
      </c>
      <c r="CH189" t="n">
        <v>2637.18</v>
      </c>
      <c r="CI189" t="n">
        <v>-2051.14</v>
      </c>
      <c r="CJ189" t="n">
        <v>296.65625</v>
      </c>
      <c r="CK189" t="n">
        <v>303.77136</v>
      </c>
      <c r="CL189" t="n">
        <v>300.04977</v>
      </c>
      <c r="CM189" t="n">
        <v>303.9387</v>
      </c>
      <c r="CN189" t="n">
        <v>306.98953</v>
      </c>
      <c r="CO189" t="n">
        <v>305.35678</v>
      </c>
      <c r="EH189" t="n">
        <v>302.794</v>
      </c>
      <c r="ES189" t="n">
        <v>3.34</v>
      </c>
      <c r="FD189" t="n">
        <v>1.14</v>
      </c>
      <c r="FF189" t="n">
        <v>8</v>
      </c>
      <c r="FG189" t="n">
        <v>65.66</v>
      </c>
      <c r="FH189" t="n">
        <v>590.9399999999999</v>
      </c>
      <c r="FI189" t="n">
        <v>-459.62</v>
      </c>
      <c r="FJ189" t="n">
        <v>67.47796</v>
      </c>
      <c r="FK189" t="n">
        <v>66.0843</v>
      </c>
      <c r="FL189" t="n">
        <v>65.7346</v>
      </c>
      <c r="FM189" t="n">
        <v>66.15398999999999</v>
      </c>
      <c r="FN189" t="n">
        <v>65.260155</v>
      </c>
      <c r="FO189" t="n">
        <v>66.13576500000001</v>
      </c>
      <c r="FP189" t="n">
        <v>64.23962</v>
      </c>
      <c r="HH189" t="n">
        <v>65.869</v>
      </c>
      <c r="HS189" t="n">
        <v>0.32</v>
      </c>
      <c r="ID189" t="n">
        <v>1.39</v>
      </c>
      <c r="IF189" t="n">
        <v>8</v>
      </c>
      <c r="IG189" t="n">
        <v>359.66</v>
      </c>
      <c r="IH189" t="n">
        <v>3236.94</v>
      </c>
      <c r="II189" t="n">
        <v>-2517.62</v>
      </c>
      <c r="IJ189" t="n">
        <v>367.6172</v>
      </c>
      <c r="IK189" t="n">
        <v>363.955</v>
      </c>
      <c r="IL189" t="n">
        <v>373.42993</v>
      </c>
      <c r="IM189" t="n">
        <v>359.10873</v>
      </c>
      <c r="IN189" t="n">
        <v>339.86432</v>
      </c>
      <c r="IO189" t="n">
        <v>360.82043</v>
      </c>
      <c r="IP189" t="n">
        <v>355.1226</v>
      </c>
      <c r="IQ189" t="n">
        <v>354.99887</v>
      </c>
      <c r="KH189" t="n">
        <v>359.365</v>
      </c>
      <c r="KS189" t="n">
        <v>-0.08</v>
      </c>
      <c r="LD189" t="n">
        <v>2.62</v>
      </c>
    </row>
    <row r="190">
      <c r="A190" t="inlineStr">
        <is>
          <t>2026-06-02</t>
        </is>
      </c>
      <c r="B190" t="inlineStr">
        <is>
          <t>Core Chem 13</t>
        </is>
      </c>
      <c r="C190" t="inlineStr">
        <is>
          <t>100126060201 &amp; 200126060201</t>
        </is>
      </c>
      <c r="D190" t="inlineStr">
        <is>
          <t>TP</t>
        </is>
      </c>
      <c r="F190" t="n">
        <v>8</v>
      </c>
      <c r="G190" t="n">
        <v>6.4</v>
      </c>
      <c r="H190" t="n">
        <v>57.6</v>
      </c>
      <c r="I190" t="n">
        <v>-44.8</v>
      </c>
      <c r="J190" t="n">
        <v>6.4089775</v>
      </c>
      <c r="K190" t="n">
        <v>6.507648</v>
      </c>
      <c r="L190" t="n">
        <v>6.4888277</v>
      </c>
      <c r="M190" t="n">
        <v>6.5996547</v>
      </c>
      <c r="N190" t="n">
        <v>6.5383873</v>
      </c>
      <c r="O190" t="n">
        <v>6.3452854</v>
      </c>
      <c r="P190" t="n">
        <v>6.395026</v>
      </c>
      <c r="BH190" t="n">
        <v>6.469</v>
      </c>
      <c r="BS190" t="n">
        <v>1.08</v>
      </c>
      <c r="CD190" t="n">
        <v>1.28</v>
      </c>
      <c r="CF190" t="n">
        <v>8</v>
      </c>
      <c r="CG190" t="n">
        <v>4.1</v>
      </c>
      <c r="CH190" t="n">
        <v>36.9</v>
      </c>
      <c r="CI190" t="n">
        <v>-28.7</v>
      </c>
      <c r="CJ190" t="n">
        <v>4.2248144</v>
      </c>
      <c r="CK190" t="n">
        <v>4.3314915</v>
      </c>
      <c r="CL190" t="n">
        <v>4.44889</v>
      </c>
      <c r="CM190" t="n">
        <v>4.3158636</v>
      </c>
      <c r="CN190" t="n">
        <v>4.4237046</v>
      </c>
      <c r="CO190" t="n">
        <v>4.382719</v>
      </c>
      <c r="EH190" t="n">
        <v>4.355</v>
      </c>
      <c r="ES190" t="n">
        <v>6.21</v>
      </c>
      <c r="FD190" t="n">
        <v>1.71</v>
      </c>
      <c r="FF190" t="n">
        <v>8</v>
      </c>
      <c r="FG190" t="n">
        <v>4.2</v>
      </c>
      <c r="FH190" t="n">
        <v>37.8</v>
      </c>
      <c r="FI190" t="n">
        <v>-29.4</v>
      </c>
      <c r="FJ190" t="n">
        <v>4.0017977</v>
      </c>
      <c r="FK190" t="n">
        <v>4.0307875</v>
      </c>
      <c r="FL190" t="n">
        <v>3.983293</v>
      </c>
      <c r="FM190" t="n">
        <v>4.0150294</v>
      </c>
      <c r="FN190" t="n">
        <v>4.0186453</v>
      </c>
      <c r="FO190" t="n">
        <v>3.982759</v>
      </c>
      <c r="FP190" t="n">
        <v>3.9404795</v>
      </c>
      <c r="HH190" t="n">
        <v>3.996</v>
      </c>
      <c r="HS190" t="n">
        <v>-4.85</v>
      </c>
      <c r="ID190" t="n">
        <v>0.7</v>
      </c>
      <c r="IF190" t="n">
        <v>8</v>
      </c>
      <c r="IG190" t="n">
        <v>7.5</v>
      </c>
      <c r="IH190" t="n">
        <v>67.5</v>
      </c>
      <c r="II190" t="n">
        <v>-52.5</v>
      </c>
      <c r="IJ190" t="n">
        <v>7.457435</v>
      </c>
      <c r="IK190" t="n">
        <v>7.44479</v>
      </c>
      <c r="IL190" t="n">
        <v>7.5510273</v>
      </c>
      <c r="IM190" t="n">
        <v>7.243117</v>
      </c>
      <c r="IN190" t="n">
        <v>6.9454913</v>
      </c>
      <c r="IO190" t="n">
        <v>7.370189</v>
      </c>
      <c r="IP190" t="n">
        <v>7.3313394</v>
      </c>
      <c r="IQ190" t="n">
        <v>7.264712</v>
      </c>
      <c r="KH190" t="n">
        <v>7.326</v>
      </c>
      <c r="KS190" t="n">
        <v>-2.32</v>
      </c>
      <c r="LD190" t="n">
        <v>2.36</v>
      </c>
    </row>
    <row r="191">
      <c r="A191" t="inlineStr">
        <is>
          <t>2026-06-01</t>
        </is>
      </c>
      <c r="B191" t="inlineStr">
        <is>
          <t>Diagnosis Plus 27</t>
        </is>
      </c>
      <c r="C191" t="inlineStr">
        <is>
          <t>205226060101</t>
        </is>
      </c>
      <c r="D191" t="inlineStr">
        <is>
          <t>AMY</t>
        </is>
      </c>
      <c r="F191" t="n">
        <v>10</v>
      </c>
      <c r="G191" t="n">
        <v>78</v>
      </c>
      <c r="H191" t="n">
        <v>858</v>
      </c>
      <c r="I191" t="n">
        <v>-702</v>
      </c>
      <c r="J191" t="n">
        <v>77.40532746478604</v>
      </c>
      <c r="K191" t="n">
        <v>76.27789235827801</v>
      </c>
      <c r="L191" t="n">
        <v>76.49625696208057</v>
      </c>
      <c r="M191" t="n">
        <v>77.49272000000001</v>
      </c>
      <c r="BH191" t="n">
        <v>76.91800000000001</v>
      </c>
      <c r="BS191" t="n">
        <v>-1.39</v>
      </c>
      <c r="CD191" t="n">
        <v>0.7</v>
      </c>
      <c r="CF191" t="n">
        <v>10</v>
      </c>
      <c r="CG191" t="n">
        <v>404</v>
      </c>
      <c r="CH191" t="n">
        <v>4444</v>
      </c>
      <c r="CI191" t="n">
        <v>-3636</v>
      </c>
      <c r="CJ191" t="n">
        <v>408.1376454504068</v>
      </c>
      <c r="CK191" t="n">
        <v>401.3577542290101</v>
      </c>
      <c r="CL191" t="n">
        <v>402.8331113629845</v>
      </c>
      <c r="CM191" t="n">
        <v>410.32828</v>
      </c>
      <c r="EH191" t="n">
        <v>405.664</v>
      </c>
      <c r="ES191" t="n">
        <v>0.41</v>
      </c>
      <c r="FD191" t="n">
        <v>0.91</v>
      </c>
      <c r="FF191" t="n">
        <v>10</v>
      </c>
      <c r="FG191" t="n">
        <v>63</v>
      </c>
      <c r="FH191" t="n">
        <v>693</v>
      </c>
      <c r="FI191" t="n">
        <v>-567</v>
      </c>
      <c r="FJ191" t="n">
        <v>64.97816241615568</v>
      </c>
      <c r="FK191" t="n">
        <v>65.23386012862746</v>
      </c>
      <c r="FL191" t="n">
        <v>64.45369614035198</v>
      </c>
      <c r="FM191" t="n">
        <v>65.07448599999999</v>
      </c>
      <c r="HH191" t="n">
        <v>64.935</v>
      </c>
      <c r="HS191" t="n">
        <v>3.07</v>
      </c>
      <c r="ID191" t="n">
        <v>0.45</v>
      </c>
      <c r="IF191" t="n">
        <v>10</v>
      </c>
      <c r="IG191" t="n">
        <v>297</v>
      </c>
      <c r="IH191" t="n">
        <v>3267</v>
      </c>
      <c r="II191" t="n">
        <v>-2673</v>
      </c>
      <c r="IJ191" t="n">
        <v>299.2017220498037</v>
      </c>
      <c r="IK191" t="n">
        <v>297.8250168746324</v>
      </c>
      <c r="IL191" t="n">
        <v>299.0755594534957</v>
      </c>
      <c r="IM191" t="n">
        <v>308.17242</v>
      </c>
      <c r="KH191" t="n">
        <v>301.069</v>
      </c>
      <c r="KS191" t="n">
        <v>1.37</v>
      </c>
      <c r="LD191" t="n">
        <v>1.37</v>
      </c>
    </row>
    <row r="192">
      <c r="A192" t="inlineStr">
        <is>
          <t>2026-06-01</t>
        </is>
      </c>
      <c r="B192" t="inlineStr">
        <is>
          <t>Diagnosis Plus 27</t>
        </is>
      </c>
      <c r="C192" t="inlineStr">
        <is>
          <t>205226060101</t>
        </is>
      </c>
      <c r="D192" t="inlineStr">
        <is>
          <t>CHOL</t>
        </is>
      </c>
      <c r="F192" t="n">
        <v>10</v>
      </c>
      <c r="G192" t="n">
        <v>228</v>
      </c>
      <c r="H192" t="n">
        <v>2508</v>
      </c>
      <c r="I192" t="n">
        <v>-2052</v>
      </c>
      <c r="J192" t="n">
        <v>235.5010311606345</v>
      </c>
      <c r="K192" t="n">
        <v>236.4626792771258</v>
      </c>
      <c r="L192" t="n">
        <v>232.658406543734</v>
      </c>
      <c r="M192" t="n">
        <v>232.49738</v>
      </c>
      <c r="BH192" t="n">
        <v>234.28</v>
      </c>
      <c r="BS192" t="n">
        <v>2.75</v>
      </c>
      <c r="CD192" t="n">
        <v>0.74</v>
      </c>
      <c r="CF192" t="n">
        <v>10</v>
      </c>
      <c r="CG192" t="n">
        <v>99</v>
      </c>
      <c r="CH192" t="n">
        <v>1089</v>
      </c>
      <c r="CI192" t="n">
        <v>-891</v>
      </c>
      <c r="CJ192" t="n">
        <v>99.99613961876275</v>
      </c>
      <c r="CK192" t="n">
        <v>100.6908514513775</v>
      </c>
      <c r="CL192" t="n">
        <v>99.94223225654525</v>
      </c>
      <c r="CM192" t="n">
        <v>100.34311</v>
      </c>
      <c r="EH192" t="n">
        <v>100.243</v>
      </c>
      <c r="ES192" t="n">
        <v>1.26</v>
      </c>
      <c r="FD192" t="n">
        <v>0.3</v>
      </c>
      <c r="FF192" t="n">
        <v>10</v>
      </c>
      <c r="FG192" t="n">
        <v>115</v>
      </c>
      <c r="FH192" t="n">
        <v>1265</v>
      </c>
      <c r="FI192" t="n">
        <v>-1035</v>
      </c>
      <c r="FJ192" t="n">
        <v>114.6427049899767</v>
      </c>
      <c r="FK192" t="n">
        <v>115.4986090288529</v>
      </c>
      <c r="FL192" t="n">
        <v>114.4658816558995</v>
      </c>
      <c r="FM192" t="n">
        <v>115.65537</v>
      </c>
      <c r="HH192" t="n">
        <v>115.066</v>
      </c>
      <c r="HS192" t="n">
        <v>0.06</v>
      </c>
      <c r="ID192" t="n">
        <v>0.45</v>
      </c>
      <c r="IF192" t="n">
        <v>10</v>
      </c>
      <c r="IG192" t="n">
        <v>269</v>
      </c>
      <c r="IH192" t="n">
        <v>2959</v>
      </c>
      <c r="II192" t="n">
        <v>-2421</v>
      </c>
      <c r="IJ192" t="n">
        <v>264.2178424821646</v>
      </c>
      <c r="IK192" t="n">
        <v>268.9100697136456</v>
      </c>
      <c r="IL192" t="n">
        <v>268.0982450878907</v>
      </c>
      <c r="IM192" t="n">
        <v>276.76083</v>
      </c>
      <c r="KH192" t="n">
        <v>269.497</v>
      </c>
      <c r="KS192" t="n">
        <v>0.18</v>
      </c>
      <c r="LD192" t="n">
        <v>1.69</v>
      </c>
    </row>
    <row r="193">
      <c r="A193" t="inlineStr">
        <is>
          <t>2026-06-01</t>
        </is>
      </c>
      <c r="B193" t="inlineStr">
        <is>
          <t>Diagnosis Plus 27</t>
        </is>
      </c>
      <c r="C193" t="inlineStr">
        <is>
          <t>205226060101</t>
        </is>
      </c>
      <c r="D193" t="inlineStr">
        <is>
          <t>Ca</t>
        </is>
      </c>
      <c r="G193" t="n">
        <v>9.1</v>
      </c>
      <c r="J193" t="n">
        <v>9.703469823329939</v>
      </c>
      <c r="K193" t="n">
        <v>9.572212789054833</v>
      </c>
      <c r="L193" t="n">
        <v>9.31990571634719</v>
      </c>
      <c r="M193" t="n">
        <v>9.398989</v>
      </c>
      <c r="BH193" t="n">
        <v>9.499000000000001</v>
      </c>
      <c r="BS193" t="n">
        <v>4.38</v>
      </c>
      <c r="CD193" t="n">
        <v>1.57</v>
      </c>
      <c r="CG193" t="n">
        <v>12.4</v>
      </c>
      <c r="CJ193" t="n">
        <v>12.49989544515868</v>
      </c>
      <c r="CK193" t="n">
        <v>12.45063942520322</v>
      </c>
      <c r="CL193" t="n">
        <v>12.67174839042952</v>
      </c>
      <c r="CM193" t="n">
        <v>13.810916</v>
      </c>
      <c r="EH193" t="n">
        <v>12.858</v>
      </c>
      <c r="ES193" t="n">
        <v>3.7</v>
      </c>
      <c r="FD193" t="n">
        <v>4.32</v>
      </c>
      <c r="FG193" t="n">
        <v>5.9</v>
      </c>
      <c r="FJ193" t="n">
        <v>6.192201897530695</v>
      </c>
      <c r="FK193" t="n">
        <v>6.002384123769116</v>
      </c>
      <c r="FL193" t="n">
        <v>5.896269682794849</v>
      </c>
      <c r="FM193" t="n">
        <v>6.1277175</v>
      </c>
      <c r="HH193" t="n">
        <v>6.055</v>
      </c>
      <c r="HS193" t="n">
        <v>2.62</v>
      </c>
      <c r="ID193" t="n">
        <v>1.88</v>
      </c>
      <c r="IG193" t="n">
        <v>12.7</v>
      </c>
      <c r="IJ193" t="n">
        <v>12.59461195856898</v>
      </c>
      <c r="IK193" t="n">
        <v>12.74906885510753</v>
      </c>
      <c r="IL193" t="n">
        <v>12.05261357562954</v>
      </c>
      <c r="IM193" t="n">
        <v>12.416178</v>
      </c>
      <c r="KH193" t="n">
        <v>12.453</v>
      </c>
      <c r="KS193" t="n">
        <v>-1.94</v>
      </c>
      <c r="LD193" t="n">
        <v>2.08</v>
      </c>
    </row>
    <row r="194">
      <c r="A194" t="inlineStr">
        <is>
          <t>2026-06-01</t>
        </is>
      </c>
      <c r="B194" t="inlineStr">
        <is>
          <t>Diagnosis Plus 27</t>
        </is>
      </c>
      <c r="C194" t="inlineStr">
        <is>
          <t>205226060101</t>
        </is>
      </c>
      <c r="D194" t="inlineStr">
        <is>
          <t>K</t>
        </is>
      </c>
      <c r="G194" t="n">
        <v>3.9</v>
      </c>
      <c r="J194" t="n">
        <v>3.939879772010348</v>
      </c>
      <c r="K194" t="n">
        <v>3.63756454227411</v>
      </c>
      <c r="L194" t="n">
        <v>3.727155206590377</v>
      </c>
      <c r="M194" t="n">
        <v>3.5496488</v>
      </c>
      <c r="BH194" t="n">
        <v>3.714</v>
      </c>
      <c r="BS194" t="n">
        <v>-4.78</v>
      </c>
      <c r="CD194" t="n">
        <v>3.9</v>
      </c>
      <c r="CG194" t="n">
        <v>6</v>
      </c>
      <c r="CJ194" t="n">
        <v>6.21001280711481</v>
      </c>
      <c r="CK194" t="n">
        <v>6.112559955977576</v>
      </c>
      <c r="CL194" t="n">
        <v>6.290473708213225</v>
      </c>
      <c r="CM194" t="n">
        <v>6.1545057</v>
      </c>
      <c r="EH194" t="n">
        <v>6.192</v>
      </c>
      <c r="ES194" t="n">
        <v>3.2</v>
      </c>
      <c r="FD194" t="n">
        <v>1.08</v>
      </c>
      <c r="FG194" t="n">
        <v>2.2</v>
      </c>
      <c r="FJ194" t="n">
        <v>2.347414026447725</v>
      </c>
      <c r="FK194" t="n">
        <v>2.28856604999068</v>
      </c>
      <c r="FL194" t="n">
        <v>2.316768748049645</v>
      </c>
      <c r="FM194" t="n">
        <v>2.4265316</v>
      </c>
      <c r="HH194" t="n">
        <v>2.345</v>
      </c>
      <c r="HS194" t="n">
        <v>6.58</v>
      </c>
      <c r="ID194" t="n">
        <v>2.2</v>
      </c>
      <c r="IG194" t="n">
        <v>8.4</v>
      </c>
      <c r="IJ194" t="n">
        <v>8.052558428652555</v>
      </c>
      <c r="IK194" t="n">
        <v>8.022652562321982</v>
      </c>
      <c r="IL194" t="n">
        <v>8.307479016030362</v>
      </c>
      <c r="IM194" t="n">
        <v>8.463063999999999</v>
      </c>
      <c r="KH194" t="n">
        <v>8.211</v>
      </c>
      <c r="KS194" t="n">
        <v>-2.24</v>
      </c>
      <c r="LD194" t="n">
        <v>2.22</v>
      </c>
    </row>
    <row r="195">
      <c r="A195" t="inlineStr">
        <is>
          <t>2026-06-01</t>
        </is>
      </c>
      <c r="B195" t="inlineStr">
        <is>
          <t>Diagnosis Plus 27</t>
        </is>
      </c>
      <c r="C195" t="inlineStr">
        <is>
          <t>205226060101</t>
        </is>
      </c>
      <c r="D195" t="inlineStr">
        <is>
          <t>Na</t>
        </is>
      </c>
      <c r="G195" t="n">
        <v>141</v>
      </c>
      <c r="J195" t="n">
        <v>147.8410276497449</v>
      </c>
      <c r="K195" t="n">
        <v>143.8994458789658</v>
      </c>
      <c r="L195" t="n">
        <v>142.4062977550311</v>
      </c>
      <c r="M195" t="n">
        <v>143.59665</v>
      </c>
      <c r="BH195" t="n">
        <v>144.436</v>
      </c>
      <c r="BS195" t="n">
        <v>2.44</v>
      </c>
      <c r="CD195" t="n">
        <v>1.41</v>
      </c>
      <c r="CG195" t="n">
        <v>129</v>
      </c>
      <c r="CJ195" t="n">
        <v>133.0945166421211</v>
      </c>
      <c r="CK195" t="n">
        <v>132.9364726967995</v>
      </c>
      <c r="CL195" t="n">
        <v>135.4669928638324</v>
      </c>
      <c r="CM195" t="n">
        <v>135.04974</v>
      </c>
      <c r="EH195" t="n">
        <v>134.137</v>
      </c>
      <c r="ES195" t="n">
        <v>3.98</v>
      </c>
      <c r="FD195" t="n">
        <v>0.84</v>
      </c>
      <c r="FG195" t="n">
        <v>118</v>
      </c>
      <c r="FJ195" t="n">
        <v>122.4109464893551</v>
      </c>
      <c r="FK195" t="n">
        <v>124.2104980673274</v>
      </c>
      <c r="FL195" t="n">
        <v>122.3604881021946</v>
      </c>
      <c r="FM195" t="n">
        <v>127.40178</v>
      </c>
      <c r="HH195" t="n">
        <v>124.096</v>
      </c>
      <c r="HS195" t="n">
        <v>5.17</v>
      </c>
      <c r="ID195" t="n">
        <v>1.65</v>
      </c>
      <c r="IG195" t="n">
        <v>166</v>
      </c>
      <c r="IJ195" t="n">
        <v>163.5798866968463</v>
      </c>
      <c r="IK195" t="n">
        <v>160.3162706486557</v>
      </c>
      <c r="IL195" t="n">
        <v>160.5664637383844</v>
      </c>
      <c r="IM195" t="n">
        <v>166.20598</v>
      </c>
      <c r="KH195" t="n">
        <v>162.667</v>
      </c>
      <c r="KS195" t="n">
        <v>-2.01</v>
      </c>
      <c r="LD195" t="n">
        <v>1.48</v>
      </c>
    </row>
    <row r="196">
      <c r="A196" t="inlineStr">
        <is>
          <t>2026-06-01</t>
        </is>
      </c>
      <c r="B196" t="inlineStr">
        <is>
          <t>Diagnosis Plus 27</t>
        </is>
      </c>
      <c r="C196" t="inlineStr">
        <is>
          <t>205226060101</t>
        </is>
      </c>
      <c r="D196" t="inlineStr">
        <is>
          <t>PHOS</t>
        </is>
      </c>
      <c r="F196" t="n">
        <v>10</v>
      </c>
      <c r="G196" t="n">
        <v>3.3</v>
      </c>
      <c r="H196" t="n">
        <v>36.3</v>
      </c>
      <c r="I196" t="n">
        <v>-29.7</v>
      </c>
      <c r="J196" t="n">
        <v>3.276475076067774</v>
      </c>
      <c r="K196" t="n">
        <v>3.294105843628337</v>
      </c>
      <c r="L196" t="n">
        <v>3.233818611561273</v>
      </c>
      <c r="M196" t="n">
        <v>3.2309706</v>
      </c>
      <c r="BH196" t="n">
        <v>3.259</v>
      </c>
      <c r="BS196" t="n">
        <v>-1.25</v>
      </c>
      <c r="CD196" t="n">
        <v>0.83</v>
      </c>
      <c r="CF196" t="n">
        <v>10</v>
      </c>
      <c r="CG196" t="n">
        <v>7.2</v>
      </c>
      <c r="CH196" t="n">
        <v>79.2</v>
      </c>
      <c r="CI196" t="n">
        <v>-64.8</v>
      </c>
      <c r="CJ196" t="n">
        <v>7.107002535128737</v>
      </c>
      <c r="CK196" t="n">
        <v>7.260589650673558</v>
      </c>
      <c r="CL196" t="n">
        <v>7.107375845855231</v>
      </c>
      <c r="CM196" t="n">
        <v>7.287239</v>
      </c>
      <c r="EH196" t="n">
        <v>7.191</v>
      </c>
      <c r="ES196" t="n">
        <v>-0.13</v>
      </c>
      <c r="FD196" t="n">
        <v>1.17</v>
      </c>
      <c r="FF196" t="n">
        <v>10</v>
      </c>
      <c r="FG196" t="n">
        <v>1.9</v>
      </c>
      <c r="FH196" t="n">
        <v>20.9</v>
      </c>
      <c r="FI196" t="n">
        <v>-17.1</v>
      </c>
      <c r="FJ196" t="n">
        <v>1.945206107407635</v>
      </c>
      <c r="FK196" t="n">
        <v>1.972746968226697</v>
      </c>
      <c r="FL196" t="n">
        <v>1.943432046817009</v>
      </c>
      <c r="FM196" t="n">
        <v>2.0226643</v>
      </c>
      <c r="HH196" t="n">
        <v>1.971</v>
      </c>
      <c r="HS196" t="n">
        <v>3.74</v>
      </c>
      <c r="ID196" t="n">
        <v>1.62</v>
      </c>
      <c r="IF196" t="n">
        <v>10</v>
      </c>
      <c r="IG196" t="n">
        <v>7.2</v>
      </c>
      <c r="IH196" t="n">
        <v>79.2</v>
      </c>
      <c r="II196" t="n">
        <v>-64.8</v>
      </c>
      <c r="IJ196" t="n">
        <v>7.259489483861544</v>
      </c>
      <c r="IK196" t="n">
        <v>7.336380962996998</v>
      </c>
      <c r="IL196" t="n">
        <v>7.343027780889927</v>
      </c>
      <c r="IM196" t="n">
        <v>7.487663</v>
      </c>
      <c r="KH196" t="n">
        <v>7.357</v>
      </c>
      <c r="KS196" t="n">
        <v>2.18</v>
      </c>
      <c r="LD196" t="n">
        <v>1.12</v>
      </c>
    </row>
    <row r="197">
      <c r="A197" t="inlineStr">
        <is>
          <t>2026-06-01</t>
        </is>
      </c>
      <c r="B197" t="inlineStr">
        <is>
          <t>Diagnosis Plus 27</t>
        </is>
      </c>
      <c r="C197" t="inlineStr">
        <is>
          <t>205226060101</t>
        </is>
      </c>
      <c r="D197" t="inlineStr">
        <is>
          <t>TBIL</t>
        </is>
      </c>
      <c r="F197" t="n">
        <v>20</v>
      </c>
      <c r="G197" t="n">
        <v>1.1</v>
      </c>
      <c r="H197" t="n">
        <v>23.1</v>
      </c>
      <c r="I197" t="n">
        <v>-20.9</v>
      </c>
      <c r="J197" t="n">
        <v>1.33871516577185</v>
      </c>
      <c r="K197" t="n">
        <v>1.372375528214915</v>
      </c>
      <c r="L197" t="n">
        <v>1.352747766334632</v>
      </c>
      <c r="M197" t="n">
        <v>1.3466009</v>
      </c>
      <c r="BH197" t="n">
        <v>1.353</v>
      </c>
      <c r="BS197" t="n">
        <v>22.96</v>
      </c>
      <c r="CD197" t="n">
        <v>0.92</v>
      </c>
      <c r="CF197" t="n">
        <v>20</v>
      </c>
      <c r="CG197" t="n">
        <v>5.1</v>
      </c>
      <c r="CH197" t="n">
        <v>107.1</v>
      </c>
      <c r="CI197" t="n">
        <v>-96.89999999999999</v>
      </c>
      <c r="CJ197" t="n">
        <v>5.264541577294573</v>
      </c>
      <c r="CK197" t="n">
        <v>5.316913658202078</v>
      </c>
      <c r="CL197" t="n">
        <v>5.36609499966714</v>
      </c>
      <c r="CM197" t="n">
        <v>5.3748755</v>
      </c>
      <c r="EH197" t="n">
        <v>5.331</v>
      </c>
      <c r="ES197" t="n">
        <v>4.52</v>
      </c>
      <c r="FD197" t="n">
        <v>0.83</v>
      </c>
      <c r="FF197" t="n">
        <v>20</v>
      </c>
      <c r="FG197" t="n">
        <v>0.8</v>
      </c>
      <c r="FH197" t="n">
        <v>16.8</v>
      </c>
      <c r="FI197" t="n">
        <v>-15.2</v>
      </c>
      <c r="FJ197" t="n">
        <v>0.7395552578752103</v>
      </c>
      <c r="FK197" t="n">
        <v>0.7319088653132519</v>
      </c>
      <c r="FL197" t="n">
        <v>0.7080211504409917</v>
      </c>
      <c r="FM197" t="n">
        <v>0.705637</v>
      </c>
      <c r="HH197" t="n">
        <v>0.721</v>
      </c>
      <c r="HS197" t="n">
        <v>-9.84</v>
      </c>
      <c r="ID197" t="n">
        <v>2.04</v>
      </c>
      <c r="IF197" t="n">
        <v>20</v>
      </c>
      <c r="IG197" t="n">
        <v>8.4</v>
      </c>
      <c r="IH197" t="n">
        <v>176.4</v>
      </c>
      <c r="II197" t="n">
        <v>-159.6</v>
      </c>
      <c r="IJ197" t="n">
        <v>8.457240502489455</v>
      </c>
      <c r="IK197" t="n">
        <v>8.523257821890525</v>
      </c>
      <c r="IL197" t="n">
        <v>8.573081684205633</v>
      </c>
      <c r="IM197" t="n">
        <v>8.651776999999999</v>
      </c>
      <c r="KH197" t="n">
        <v>8.551</v>
      </c>
      <c r="KS197" t="n">
        <v>1.8</v>
      </c>
      <c r="LD197" t="n">
        <v>0.83</v>
      </c>
    </row>
    <row r="198">
      <c r="A198" t="inlineStr">
        <is>
          <t>2026-06-01</t>
        </is>
      </c>
      <c r="B198" t="inlineStr">
        <is>
          <t>Optimum Wellness 37</t>
        </is>
      </c>
      <c r="C198" t="inlineStr">
        <is>
          <t>109326060101 &amp; 209326060101</t>
        </is>
      </c>
      <c r="D198" t="inlineStr">
        <is>
          <t>BA</t>
        </is>
      </c>
      <c r="J198" t="n">
        <v>5.482830876758946</v>
      </c>
      <c r="K198" t="n">
        <v>5.248501</v>
      </c>
      <c r="L198" t="n">
        <v>5.108792108146506</v>
      </c>
      <c r="M198" t="n">
        <v>5.147859580414593</v>
      </c>
      <c r="N198" t="n">
        <v>5.187572881903233</v>
      </c>
      <c r="BH198" t="n">
        <v>5.235</v>
      </c>
      <c r="CD198" t="n">
        <v>2.53</v>
      </c>
      <c r="CJ198" t="n">
        <v>5.7602572</v>
      </c>
      <c r="CK198" t="n">
        <v>5.198092</v>
      </c>
      <c r="CL198" t="n">
        <v>5.4445089668738</v>
      </c>
      <c r="CM198" t="n">
        <v>5.393694979877139</v>
      </c>
      <c r="CN198" t="n">
        <v>5.12179095620345</v>
      </c>
      <c r="EH198" t="n">
        <v>5.384</v>
      </c>
      <c r="FD198" t="n">
        <v>4.14</v>
      </c>
      <c r="FJ198" t="n">
        <v>14.27140251035413</v>
      </c>
      <c r="FK198" t="n">
        <v>13.653758</v>
      </c>
      <c r="FL198" t="n">
        <v>13.96324720746383</v>
      </c>
      <c r="FM198" t="n">
        <v>13.89232101532331</v>
      </c>
      <c r="FN198" t="n">
        <v>13.47688532385508</v>
      </c>
      <c r="HH198" t="n">
        <v>13.852</v>
      </c>
      <c r="ID198" t="n">
        <v>1.96</v>
      </c>
      <c r="IJ198" t="n">
        <v>12.67102943826964</v>
      </c>
      <c r="IK198" t="n">
        <v>12.7119465</v>
      </c>
      <c r="IL198" t="n">
        <v>13.24874737736994</v>
      </c>
      <c r="IM198" t="n">
        <v>13.12446450137858</v>
      </c>
      <c r="IN198" t="n">
        <v>12.63639891171989</v>
      </c>
      <c r="KH198" t="n">
        <v>12.879</v>
      </c>
      <c r="LD198" t="n">
        <v>1.99</v>
      </c>
    </row>
    <row r="199">
      <c r="A199" t="inlineStr">
        <is>
          <t>2026-06-01</t>
        </is>
      </c>
      <c r="B199" t="inlineStr">
        <is>
          <t>Optimum Wellness 37</t>
        </is>
      </c>
      <c r="C199" t="inlineStr">
        <is>
          <t>109326060101 &amp; 209326060101</t>
        </is>
      </c>
      <c r="D199" t="inlineStr">
        <is>
          <t>Cl</t>
        </is>
      </c>
      <c r="F199" t="n">
        <v>5</v>
      </c>
      <c r="G199" t="n">
        <v>90</v>
      </c>
      <c r="H199" t="n">
        <v>540</v>
      </c>
      <c r="I199" t="n">
        <v>-360</v>
      </c>
      <c r="J199" t="n">
        <v>91.16392615870669</v>
      </c>
      <c r="K199" t="n">
        <v>95.95180000000001</v>
      </c>
      <c r="L199" t="n">
        <v>93.58000550730115</v>
      </c>
      <c r="M199" t="n">
        <v>93.30868163308268</v>
      </c>
      <c r="N199" t="n">
        <v>92.50146218160762</v>
      </c>
      <c r="BH199" t="n">
        <v>93.301</v>
      </c>
      <c r="BS199" t="n">
        <v>3.67</v>
      </c>
      <c r="CD199" t="n">
        <v>1.68</v>
      </c>
      <c r="CF199" t="n">
        <v>5</v>
      </c>
      <c r="CG199" t="n">
        <v>91</v>
      </c>
      <c r="CH199" t="n">
        <v>546</v>
      </c>
      <c r="CI199" t="n">
        <v>-364</v>
      </c>
      <c r="CJ199" t="n">
        <v>87.4948</v>
      </c>
      <c r="CK199" t="n">
        <v>89.21617999999999</v>
      </c>
      <c r="CL199" t="n">
        <v>86.06191893833238</v>
      </c>
      <c r="CM199" t="n">
        <v>87.09629721478812</v>
      </c>
      <c r="CN199" t="n">
        <v>85.64554450342851</v>
      </c>
      <c r="EH199" t="n">
        <v>87.10299999999999</v>
      </c>
      <c r="ES199" t="n">
        <v>-4.28</v>
      </c>
      <c r="FD199" t="n">
        <v>1.44</v>
      </c>
      <c r="FF199" t="n">
        <v>5</v>
      </c>
      <c r="FG199" t="n">
        <v>77</v>
      </c>
      <c r="FH199" t="n">
        <v>462</v>
      </c>
      <c r="FI199" t="n">
        <v>-308</v>
      </c>
      <c r="FJ199" t="n">
        <v>78.36197821265688</v>
      </c>
      <c r="FK199" t="n">
        <v>78.70631400000001</v>
      </c>
      <c r="FL199" t="n">
        <v>77.97182477395178</v>
      </c>
      <c r="FM199" t="n">
        <v>77.90959481255463</v>
      </c>
      <c r="FN199" t="n">
        <v>77.22567166024025</v>
      </c>
      <c r="HH199" t="n">
        <v>78.035</v>
      </c>
      <c r="HS199" t="n">
        <v>1.34</v>
      </c>
      <c r="ID199" t="n">
        <v>0.64</v>
      </c>
      <c r="IF199" t="n">
        <v>5</v>
      </c>
      <c r="IG199" t="n">
        <v>118</v>
      </c>
      <c r="IH199" t="n">
        <v>708</v>
      </c>
      <c r="II199" t="n">
        <v>-472</v>
      </c>
      <c r="IJ199" t="n">
        <v>114.6737423063892</v>
      </c>
      <c r="IK199" t="n">
        <v>120.608986</v>
      </c>
      <c r="IL199" t="n">
        <v>118.9196801673529</v>
      </c>
      <c r="IM199" t="n">
        <v>121.8935005925883</v>
      </c>
      <c r="IN199" t="n">
        <v>116.8022263176938</v>
      </c>
      <c r="KH199" t="n">
        <v>118.58</v>
      </c>
      <c r="KS199" t="n">
        <v>0.49</v>
      </c>
      <c r="LD199" t="n">
        <v>2.19</v>
      </c>
    </row>
    <row r="200">
      <c r="A200" t="inlineStr">
        <is>
          <t>2026-06-01</t>
        </is>
      </c>
      <c r="B200" t="inlineStr">
        <is>
          <t>Optimum Wellness 37</t>
        </is>
      </c>
      <c r="C200" t="inlineStr">
        <is>
          <t>109326060101 &amp; 209326060101</t>
        </is>
      </c>
      <c r="D200" t="inlineStr">
        <is>
          <t>K</t>
        </is>
      </c>
      <c r="G200" t="n">
        <v>3.9</v>
      </c>
      <c r="J200" t="n">
        <v>3.910806513005039</v>
      </c>
      <c r="K200" t="n">
        <v>3.7486913</v>
      </c>
      <c r="L200" t="n">
        <v>3.753300241569134</v>
      </c>
      <c r="M200" t="n">
        <v>3.492948360063601</v>
      </c>
      <c r="N200" t="n">
        <v>3.551163335793468</v>
      </c>
      <c r="BH200" t="n">
        <v>3.691</v>
      </c>
      <c r="BS200" t="n">
        <v>-5.35</v>
      </c>
      <c r="CD200" t="n">
        <v>4.1</v>
      </c>
      <c r="CG200" t="n">
        <v>6</v>
      </c>
      <c r="CJ200" t="n">
        <v>6.356598</v>
      </c>
      <c r="CK200" t="n">
        <v>6.4808164</v>
      </c>
      <c r="CL200" t="n">
        <v>6.169169206678245</v>
      </c>
      <c r="CM200" t="n">
        <v>6.318074524137378</v>
      </c>
      <c r="CN200" t="n">
        <v>6.486518381017136</v>
      </c>
      <c r="EH200" t="n">
        <v>6.362</v>
      </c>
      <c r="ES200" t="n">
        <v>6.04</v>
      </c>
      <c r="FD200" t="n">
        <v>1.84</v>
      </c>
      <c r="FG200" t="n">
        <v>2.2</v>
      </c>
      <c r="FJ200" t="n">
        <v>2.193338074566814</v>
      </c>
      <c r="FK200" t="n">
        <v>2.2921076</v>
      </c>
      <c r="FL200" t="n">
        <v>2.346086875878231</v>
      </c>
      <c r="FM200" t="n">
        <v>2.217149222343116</v>
      </c>
      <c r="FN200" t="n">
        <v>2.542069513646585</v>
      </c>
      <c r="HH200" t="n">
        <v>2.318</v>
      </c>
      <c r="HS200" t="n">
        <v>5.37</v>
      </c>
      <c r="ID200" t="n">
        <v>5.37</v>
      </c>
      <c r="IG200" t="n">
        <v>8.4</v>
      </c>
      <c r="IJ200" t="n">
        <v>8.070812240728293</v>
      </c>
      <c r="IK200" t="n">
        <v>8.336672999999999</v>
      </c>
      <c r="IL200" t="n">
        <v>8.523244688162249</v>
      </c>
      <c r="IM200" t="n">
        <v>8.655195899905866</v>
      </c>
      <c r="IN200" t="n">
        <v>8.393295488281048</v>
      </c>
      <c r="KH200" t="n">
        <v>8.396000000000001</v>
      </c>
      <c r="KS200" t="n">
        <v>-0.05</v>
      </c>
      <c r="LD200" t="n">
        <v>2.34</v>
      </c>
    </row>
    <row r="201">
      <c r="A201" t="inlineStr">
        <is>
          <t>2026-06-01</t>
        </is>
      </c>
      <c r="B201" t="inlineStr">
        <is>
          <t>Optimum Wellness 37</t>
        </is>
      </c>
      <c r="C201" t="inlineStr">
        <is>
          <t>109326060101 &amp; 209326060101</t>
        </is>
      </c>
      <c r="D201" t="inlineStr">
        <is>
          <t>Na</t>
        </is>
      </c>
      <c r="G201" t="n">
        <v>141</v>
      </c>
      <c r="J201" t="n">
        <v>149.5557898066617</v>
      </c>
      <c r="K201" t="n">
        <v>147.24504</v>
      </c>
      <c r="L201" t="n">
        <v>146.8328919187216</v>
      </c>
      <c r="M201" t="n">
        <v>141.6140464728112</v>
      </c>
      <c r="N201" t="n">
        <v>147.1666936889112</v>
      </c>
      <c r="BH201" t="n">
        <v>146.483</v>
      </c>
      <c r="BS201" t="n">
        <v>3.89</v>
      </c>
      <c r="CD201" t="n">
        <v>1.79</v>
      </c>
      <c r="CG201" t="n">
        <v>129</v>
      </c>
      <c r="CJ201" t="n">
        <v>133.75755</v>
      </c>
      <c r="CK201" t="n">
        <v>137.74089</v>
      </c>
      <c r="CL201" t="n">
        <v>135.8401165465006</v>
      </c>
      <c r="CM201" t="n">
        <v>137.5837936789667</v>
      </c>
      <c r="CN201" t="n">
        <v>137.6544189848303</v>
      </c>
      <c r="EH201" t="n">
        <v>136.515</v>
      </c>
      <c r="ES201" t="n">
        <v>5.83</v>
      </c>
      <c r="FD201" t="n">
        <v>1.13</v>
      </c>
      <c r="FG201" t="n">
        <v>118</v>
      </c>
      <c r="FJ201" t="n">
        <v>124.8693038165708</v>
      </c>
      <c r="FK201" t="n">
        <v>122.52442</v>
      </c>
      <c r="FL201" t="n">
        <v>123.3303658283386</v>
      </c>
      <c r="FM201" t="n">
        <v>122.0984285766062</v>
      </c>
      <c r="FN201" t="n">
        <v>123.8850754391584</v>
      </c>
      <c r="HH201" t="n">
        <v>123.342</v>
      </c>
      <c r="HS201" t="n">
        <v>4.53</v>
      </c>
      <c r="ID201" t="n">
        <v>0.8</v>
      </c>
      <c r="IG201" t="n">
        <v>166</v>
      </c>
      <c r="IJ201" t="n">
        <v>164.9847735916013</v>
      </c>
      <c r="IK201" t="n">
        <v>162.40536</v>
      </c>
      <c r="IL201" t="n">
        <v>167.627168592606</v>
      </c>
      <c r="IM201" t="n">
        <v>168.4681662602776</v>
      </c>
      <c r="IN201" t="n">
        <v>164.3830358948929</v>
      </c>
      <c r="KH201" t="n">
        <v>165.574</v>
      </c>
      <c r="KS201" t="n">
        <v>-0.26</v>
      </c>
      <c r="LD201" t="n">
        <v>1.33</v>
      </c>
    </row>
    <row r="202">
      <c r="A202" t="inlineStr">
        <is>
          <t>2026-06-01</t>
        </is>
      </c>
      <c r="B202" t="inlineStr">
        <is>
          <t>Optimum Wellness 37</t>
        </is>
      </c>
      <c r="C202" t="inlineStr">
        <is>
          <t>109326060101 &amp; 209326060101</t>
        </is>
      </c>
      <c r="D202" t="inlineStr">
        <is>
          <t>P-LIPA</t>
        </is>
      </c>
      <c r="F202" t="n">
        <v>30</v>
      </c>
      <c r="J202" t="n">
        <v>71.56584550634068</v>
      </c>
      <c r="K202" t="n">
        <v>68.83113</v>
      </c>
      <c r="L202" t="n">
        <v>72.56996419974952</v>
      </c>
      <c r="M202" t="n">
        <v>70.45834474155063</v>
      </c>
      <c r="N202" t="n">
        <v>70.41146654729866</v>
      </c>
      <c r="BH202" t="n">
        <v>70.767</v>
      </c>
      <c r="CD202" t="n">
        <v>1.77</v>
      </c>
      <c r="CF202" t="n">
        <v>30</v>
      </c>
      <c r="CJ202" t="n">
        <v>83.36227</v>
      </c>
      <c r="CK202" t="n">
        <v>86.03891</v>
      </c>
      <c r="CL202" t="n">
        <v>86.15847553724835</v>
      </c>
      <c r="CM202" t="n">
        <v>88.57868604972147</v>
      </c>
      <c r="CN202" t="n">
        <v>87.62580155737659</v>
      </c>
      <c r="EH202" t="n">
        <v>86.35299999999999</v>
      </c>
      <c r="FD202" t="n">
        <v>2.05</v>
      </c>
      <c r="FF202" t="n">
        <v>30</v>
      </c>
      <c r="FJ202" t="n">
        <v>45.83444580194327</v>
      </c>
      <c r="FK202" t="n">
        <v>40.13131</v>
      </c>
      <c r="FL202" t="n">
        <v>41.60022988307362</v>
      </c>
      <c r="FM202" t="n">
        <v>41.57183640247033</v>
      </c>
      <c r="FN202" t="n">
        <v>40.76657524102649</v>
      </c>
      <c r="HH202" t="n">
        <v>41.981</v>
      </c>
      <c r="ID202" t="n">
        <v>4.77</v>
      </c>
      <c r="IF202" t="n">
        <v>30</v>
      </c>
      <c r="IJ202" t="n">
        <v>114.4182654683307</v>
      </c>
      <c r="IK202" t="n">
        <v>107.80789</v>
      </c>
      <c r="IL202" t="n">
        <v>112.1400816422392</v>
      </c>
      <c r="IM202" t="n">
        <v>115.7840890897683</v>
      </c>
      <c r="IN202" t="n">
        <v>109.6548590054899</v>
      </c>
      <c r="KH202" t="n">
        <v>111.961</v>
      </c>
      <c r="LD202" t="n">
        <v>2.63</v>
      </c>
    </row>
    <row r="203">
      <c r="A203" t="inlineStr">
        <is>
          <t>2026-06-01</t>
        </is>
      </c>
      <c r="B203" t="inlineStr">
        <is>
          <t>Optimum Wellness 37</t>
        </is>
      </c>
      <c r="C203" t="inlineStr">
        <is>
          <t>109326060101 &amp; 209326060101</t>
        </is>
      </c>
      <c r="D203" t="inlineStr">
        <is>
          <t>TCO2</t>
        </is>
      </c>
      <c r="F203" t="n">
        <v>20</v>
      </c>
      <c r="G203" t="n">
        <v>32.5</v>
      </c>
      <c r="H203" t="n">
        <v>682.5</v>
      </c>
      <c r="I203" t="n">
        <v>-617.5</v>
      </c>
      <c r="J203" t="n">
        <v>33.15270255445115</v>
      </c>
      <c r="K203" t="n">
        <v>34.325874</v>
      </c>
      <c r="L203" t="n">
        <v>34.39375997674762</v>
      </c>
      <c r="M203" t="n">
        <v>35.44920949050001</v>
      </c>
      <c r="N203" t="n">
        <v>33.96486414899526</v>
      </c>
      <c r="BH203" t="n">
        <v>34.257</v>
      </c>
      <c r="BS203" t="n">
        <v>5.41</v>
      </c>
      <c r="CD203" t="n">
        <v>2.16</v>
      </c>
      <c r="CF203" t="n">
        <v>20</v>
      </c>
      <c r="CG203" t="n">
        <v>21.2</v>
      </c>
      <c r="CH203" t="n">
        <v>445.2</v>
      </c>
      <c r="CI203" t="n">
        <v>-402.8</v>
      </c>
      <c r="CJ203" t="n">
        <v>20.80438</v>
      </c>
      <c r="CK203" t="n">
        <v>24.768297</v>
      </c>
      <c r="CL203" t="n">
        <v>21.44636118293124</v>
      </c>
      <c r="CM203" t="n">
        <v>22.15202055973494</v>
      </c>
      <c r="CN203" t="n">
        <v>24.40586734793589</v>
      </c>
      <c r="EH203" t="n">
        <v>22.715</v>
      </c>
      <c r="ES203" t="n">
        <v>7.15</v>
      </c>
      <c r="FD203" t="n">
        <v>7</v>
      </c>
      <c r="FF203" t="n">
        <v>20</v>
      </c>
      <c r="FG203" t="n">
        <v>17.3</v>
      </c>
      <c r="FH203" t="n">
        <v>363.3</v>
      </c>
      <c r="FI203" t="n">
        <v>-328.7</v>
      </c>
      <c r="FJ203" t="n">
        <v>19.17105179619793</v>
      </c>
      <c r="FK203" t="n">
        <v>18.971125</v>
      </c>
      <c r="FL203" t="n">
        <v>21.4874950204241</v>
      </c>
      <c r="FM203" t="n">
        <v>19.21204430639151</v>
      </c>
      <c r="FN203" t="n">
        <v>20.5366583749289</v>
      </c>
      <c r="HH203" t="n">
        <v>19.876</v>
      </c>
      <c r="HS203" t="n">
        <v>14.89</v>
      </c>
      <c r="ID203" t="n">
        <v>4.92</v>
      </c>
      <c r="IF203" t="n">
        <v>20</v>
      </c>
      <c r="IG203" t="n">
        <v>26.7</v>
      </c>
      <c r="IH203" t="n">
        <v>560.6999999999999</v>
      </c>
      <c r="II203" t="n">
        <v>-507.3</v>
      </c>
      <c r="IJ203" t="n">
        <v>29.38211629909147</v>
      </c>
      <c r="IK203" t="n">
        <v>29.364271</v>
      </c>
      <c r="IL203" t="n">
        <v>30.71592024316223</v>
      </c>
      <c r="IM203" t="n">
        <v>30.61132376178222</v>
      </c>
      <c r="IN203" t="n">
        <v>29.48973701069386</v>
      </c>
      <c r="KH203" t="n">
        <v>29.913</v>
      </c>
      <c r="KS203" t="n">
        <v>12.03</v>
      </c>
      <c r="LD203" t="n">
        <v>2.06</v>
      </c>
    </row>
    <row r="204">
      <c r="A204" t="inlineStr">
        <is>
          <t>2026-06-01</t>
        </is>
      </c>
      <c r="B204" t="inlineStr">
        <is>
          <t>Optimum Wellness 37</t>
        </is>
      </c>
      <c r="C204" t="inlineStr">
        <is>
          <t>109326060101 &amp; 209326060101</t>
        </is>
      </c>
      <c r="D204" t="inlineStr">
        <is>
          <t>TRIG</t>
        </is>
      </c>
      <c r="F204" t="n">
        <v>15</v>
      </c>
      <c r="J204" t="n">
        <v>183.508475564916</v>
      </c>
      <c r="K204" t="n">
        <v>186.84215</v>
      </c>
      <c r="L204" t="n">
        <v>181.6319401471401</v>
      </c>
      <c r="M204" t="n">
        <v>179.6219421092783</v>
      </c>
      <c r="N204" t="n">
        <v>181.1779737288437</v>
      </c>
      <c r="BH204" t="n">
        <v>182.556</v>
      </c>
      <c r="CD204" t="n">
        <v>1.36</v>
      </c>
      <c r="CF204" t="n">
        <v>15</v>
      </c>
      <c r="CJ204" t="n">
        <v>101.00542</v>
      </c>
      <c r="CK204" t="n">
        <v>100.2861</v>
      </c>
      <c r="CL204" t="n">
        <v>97.56025774382753</v>
      </c>
      <c r="CM204" t="n">
        <v>96.5726943042732</v>
      </c>
      <c r="CN204" t="n">
        <v>97.24028481045977</v>
      </c>
      <c r="EH204" t="n">
        <v>98.533</v>
      </c>
      <c r="FD204" t="n">
        <v>1.8</v>
      </c>
      <c r="FF204" t="n">
        <v>15</v>
      </c>
      <c r="FJ204" t="n">
        <v>108.9679076971588</v>
      </c>
      <c r="FK204" t="n">
        <v>112.256256</v>
      </c>
      <c r="FL204" t="n">
        <v>112.5297110319503</v>
      </c>
      <c r="FM204" t="n">
        <v>110.3637026538914</v>
      </c>
      <c r="FN204" t="n">
        <v>111.2343892412002</v>
      </c>
      <c r="HH204" t="n">
        <v>111.07</v>
      </c>
      <c r="ID204" t="n">
        <v>1.17</v>
      </c>
      <c r="IF204" t="n">
        <v>15</v>
      </c>
      <c r="IJ204" t="n">
        <v>208.3365142287011</v>
      </c>
      <c r="IK204" t="n">
        <v>213.45161</v>
      </c>
      <c r="IL204" t="n">
        <v>227.9506482101948</v>
      </c>
      <c r="IM204" t="n">
        <v>226.0798360487566</v>
      </c>
      <c r="IN204" t="n">
        <v>214.1857700809828</v>
      </c>
      <c r="KH204" t="n">
        <v>218.001</v>
      </c>
      <c r="LD204" t="n">
        <v>3.51</v>
      </c>
    </row>
    <row r="205">
      <c r="A205" t="inlineStr">
        <is>
          <t>2026-06-01</t>
        </is>
      </c>
      <c r="B205" t="inlineStr">
        <is>
          <t>Diagnosis Plus 27</t>
        </is>
      </c>
      <c r="C205" t="inlineStr">
        <is>
          <t>105126060101</t>
        </is>
      </c>
      <c r="D205" t="inlineStr">
        <is>
          <t>ALB</t>
        </is>
      </c>
      <c r="F205" t="n">
        <v>8</v>
      </c>
      <c r="G205" t="n">
        <v>4.2</v>
      </c>
      <c r="H205" t="n">
        <v>37.8</v>
      </c>
      <c r="I205" t="n">
        <v>-29.4</v>
      </c>
      <c r="J205" t="n">
        <v>3.690153549311883</v>
      </c>
      <c r="K205" t="n">
        <v>3.701170834065983</v>
      </c>
      <c r="L205" t="n">
        <v>3.755358360476438</v>
      </c>
      <c r="M205" t="n">
        <v>3.7023013</v>
      </c>
      <c r="BH205" t="n">
        <v>3.712</v>
      </c>
      <c r="BS205" t="n">
        <v>-11.61</v>
      </c>
      <c r="CD205" t="n">
        <v>0.68</v>
      </c>
      <c r="CF205" t="n">
        <v>8</v>
      </c>
      <c r="CG205" t="n">
        <v>2.7</v>
      </c>
      <c r="CH205" t="n">
        <v>24.3</v>
      </c>
      <c r="CI205" t="n">
        <v>-18.9</v>
      </c>
      <c r="CJ205" t="n">
        <v>0.2356524444855754</v>
      </c>
      <c r="CK205" t="n">
        <v>2.343726797512114</v>
      </c>
      <c r="CL205" t="n">
        <v>2.375088712993736</v>
      </c>
      <c r="CM205" t="n">
        <v>2.3297305</v>
      </c>
      <c r="EH205" t="n">
        <v>1.821</v>
      </c>
      <c r="ES205" t="n">
        <v>-32.55</v>
      </c>
      <c r="FD205" t="n">
        <v>50.27</v>
      </c>
      <c r="FF205" t="n">
        <v>8</v>
      </c>
      <c r="FG205" t="n">
        <v>2.6</v>
      </c>
      <c r="FH205" t="n">
        <v>23.4</v>
      </c>
      <c r="FI205" t="n">
        <v>-18.2</v>
      </c>
      <c r="FJ205" t="n">
        <v>2.261425406336504</v>
      </c>
      <c r="FK205" t="n">
        <v>2.2632945470088</v>
      </c>
      <c r="FL205" t="n">
        <v>2.243900479846341</v>
      </c>
      <c r="FM205" t="n">
        <v>2.3122277</v>
      </c>
      <c r="HH205" t="n">
        <v>2.27</v>
      </c>
      <c r="HS205" t="n">
        <v>-12.68</v>
      </c>
      <c r="ID205" t="n">
        <v>1.12</v>
      </c>
      <c r="IF205" t="n">
        <v>8</v>
      </c>
      <c r="IG205" t="n">
        <v>4.2</v>
      </c>
      <c r="IH205" t="n">
        <v>37.8</v>
      </c>
      <c r="II205" t="n">
        <v>-29.4</v>
      </c>
      <c r="IJ205" t="n">
        <v>3.725137269211202</v>
      </c>
      <c r="IK205" t="n">
        <v>3.679111358565281</v>
      </c>
      <c r="IL205" t="n">
        <v>3.92999967599481</v>
      </c>
      <c r="IM205" t="n">
        <v>3.781687</v>
      </c>
      <c r="KH205" t="n">
        <v>3.779</v>
      </c>
      <c r="KS205" t="n">
        <v>-10.02</v>
      </c>
      <c r="LD205" t="n">
        <v>2.5</v>
      </c>
    </row>
    <row r="206">
      <c r="A206" t="inlineStr">
        <is>
          <t>2026-06-01</t>
        </is>
      </c>
      <c r="B206" t="inlineStr">
        <is>
          <t>Diagnosis Plus 27</t>
        </is>
      </c>
      <c r="C206" t="inlineStr">
        <is>
          <t>105126060101</t>
        </is>
      </c>
      <c r="D206" t="inlineStr">
        <is>
          <t>ALP</t>
        </is>
      </c>
      <c r="F206" t="n">
        <v>20</v>
      </c>
      <c r="G206" t="n">
        <v>136</v>
      </c>
      <c r="H206" t="n">
        <v>2856</v>
      </c>
      <c r="I206" t="n">
        <v>-2584</v>
      </c>
      <c r="J206" t="n">
        <v>144.7863002880928</v>
      </c>
      <c r="K206" t="n">
        <v>144.4439355826456</v>
      </c>
      <c r="L206" t="n">
        <v>142.3558802224915</v>
      </c>
      <c r="M206" t="n">
        <v>144.00359</v>
      </c>
      <c r="BH206" t="n">
        <v>143.897</v>
      </c>
      <c r="BS206" t="n">
        <v>5.81</v>
      </c>
      <c r="CD206" t="n">
        <v>0.65</v>
      </c>
      <c r="CF206" t="n">
        <v>20</v>
      </c>
      <c r="CG206" t="n">
        <v>456</v>
      </c>
      <c r="CH206" t="n">
        <v>9576</v>
      </c>
      <c r="CI206" t="n">
        <v>-8664</v>
      </c>
      <c r="CJ206" t="n">
        <v>184.3323075705684</v>
      </c>
      <c r="CK206" t="n">
        <v>459.344572221859</v>
      </c>
      <c r="CL206" t="n">
        <v>455.1828646596858</v>
      </c>
      <c r="CM206" t="n">
        <v>456.32404</v>
      </c>
      <c r="EH206" t="n">
        <v>388.796</v>
      </c>
      <c r="ES206" t="n">
        <v>-14.74</v>
      </c>
      <c r="FD206" t="n">
        <v>30.36</v>
      </c>
      <c r="FF206" t="n">
        <v>20</v>
      </c>
      <c r="FG206" t="n">
        <v>75</v>
      </c>
      <c r="FH206" t="n">
        <v>1575</v>
      </c>
      <c r="FI206" t="n">
        <v>-1425</v>
      </c>
      <c r="FJ206" t="n">
        <v>72.0473910821454</v>
      </c>
      <c r="FK206" t="n">
        <v>71.94122853563339</v>
      </c>
      <c r="FL206" t="n">
        <v>72.29634713965021</v>
      </c>
      <c r="FM206" t="n">
        <v>72.32232</v>
      </c>
      <c r="HH206" t="n">
        <v>72.152</v>
      </c>
      <c r="HS206" t="n">
        <v>-3.8</v>
      </c>
      <c r="ID206" t="n">
        <v>0.22</v>
      </c>
      <c r="IF206" t="n">
        <v>20</v>
      </c>
      <c r="IG206" t="n">
        <v>251</v>
      </c>
      <c r="IH206" t="n">
        <v>5271</v>
      </c>
      <c r="II206" t="n">
        <v>-4769</v>
      </c>
      <c r="IJ206" t="n">
        <v>235.8400435661385</v>
      </c>
      <c r="IK206" t="n">
        <v>233.0664352251877</v>
      </c>
      <c r="IL206" t="n">
        <v>236.8286058428717</v>
      </c>
      <c r="IM206" t="n">
        <v>240.41669</v>
      </c>
      <c r="KH206" t="n">
        <v>236.538</v>
      </c>
      <c r="KS206" t="n">
        <v>-5.76</v>
      </c>
      <c r="LD206" t="n">
        <v>1.11</v>
      </c>
    </row>
    <row r="207">
      <c r="A207" t="inlineStr">
        <is>
          <t>2026-06-01</t>
        </is>
      </c>
      <c r="B207" t="inlineStr">
        <is>
          <t>Diagnosis Plus 27</t>
        </is>
      </c>
      <c r="C207" t="inlineStr">
        <is>
          <t>105126060101</t>
        </is>
      </c>
      <c r="D207" t="inlineStr">
        <is>
          <t>ALT</t>
        </is>
      </c>
      <c r="F207" t="n">
        <v>15</v>
      </c>
      <c r="G207" t="n">
        <v>28</v>
      </c>
      <c r="H207" t="n">
        <v>448</v>
      </c>
      <c r="I207" t="n">
        <v>-392</v>
      </c>
      <c r="J207" t="n">
        <v>24.9454962224894</v>
      </c>
      <c r="K207" t="n">
        <v>26.84836925063809</v>
      </c>
      <c r="L207" t="n">
        <v>25.89762844883143</v>
      </c>
      <c r="M207" t="n">
        <v>27.59214</v>
      </c>
      <c r="BH207" t="n">
        <v>26.321</v>
      </c>
      <c r="BS207" t="n">
        <v>-6</v>
      </c>
      <c r="CD207" t="n">
        <v>3.78</v>
      </c>
      <c r="CF207" t="n">
        <v>15</v>
      </c>
      <c r="CG207" t="n">
        <v>115</v>
      </c>
      <c r="CH207" t="n">
        <v>1840</v>
      </c>
      <c r="CI207" t="n">
        <v>-1610</v>
      </c>
      <c r="CJ207" t="n">
        <v>20.06511993220792</v>
      </c>
      <c r="CK207" t="n">
        <v>116.9788111602359</v>
      </c>
      <c r="CL207" t="n">
        <v>115.0833574435868</v>
      </c>
      <c r="CM207" t="n">
        <v>116.39578</v>
      </c>
      <c r="EH207" t="n">
        <v>92.131</v>
      </c>
      <c r="ES207" t="n">
        <v>-19.89</v>
      </c>
      <c r="FD207" t="n">
        <v>45.17</v>
      </c>
      <c r="FF207" t="n">
        <v>15</v>
      </c>
      <c r="FG207" t="n">
        <v>26</v>
      </c>
      <c r="FH207" t="n">
        <v>416</v>
      </c>
      <c r="FI207" t="n">
        <v>-364</v>
      </c>
      <c r="FJ207" t="n">
        <v>20.08031550424183</v>
      </c>
      <c r="FK207" t="n">
        <v>19.9724284476187</v>
      </c>
      <c r="FL207" t="n">
        <v>21.42436177997828</v>
      </c>
      <c r="FM207" t="n">
        <v>16.033112</v>
      </c>
      <c r="HH207" t="n">
        <v>19.378</v>
      </c>
      <c r="HS207" t="n">
        <v>-25.47</v>
      </c>
      <c r="ID207" t="n">
        <v>10.39</v>
      </c>
      <c r="IF207" t="n">
        <v>15</v>
      </c>
      <c r="IG207" t="n">
        <v>217</v>
      </c>
      <c r="IH207" t="n">
        <v>3472</v>
      </c>
      <c r="II207" t="n">
        <v>-3038</v>
      </c>
      <c r="IJ207" t="n">
        <v>210.5816296475998</v>
      </c>
      <c r="IK207" t="n">
        <v>208.8201330865557</v>
      </c>
      <c r="IL207" t="n">
        <v>214.3695191464404</v>
      </c>
      <c r="IM207" t="n">
        <v>213.23233</v>
      </c>
      <c r="KH207" t="n">
        <v>211.751</v>
      </c>
      <c r="KS207" t="n">
        <v>-2.42</v>
      </c>
      <c r="LD207" t="n">
        <v>1.03</v>
      </c>
    </row>
    <row r="208">
      <c r="A208" t="inlineStr">
        <is>
          <t>2026-06-01</t>
        </is>
      </c>
      <c r="B208" t="inlineStr">
        <is>
          <t>Diagnosis Plus 27</t>
        </is>
      </c>
      <c r="C208" t="inlineStr">
        <is>
          <t>105126060101</t>
        </is>
      </c>
      <c r="D208" t="inlineStr">
        <is>
          <t>BUN</t>
        </is>
      </c>
      <c r="F208" t="n">
        <v>9</v>
      </c>
      <c r="G208" t="n">
        <v>14.8</v>
      </c>
      <c r="H208" t="n">
        <v>148</v>
      </c>
      <c r="I208" t="n">
        <v>-118.4</v>
      </c>
      <c r="J208" t="n">
        <v>14.86414337960687</v>
      </c>
      <c r="K208" t="n">
        <v>14.74488003949433</v>
      </c>
      <c r="L208" t="n">
        <v>14.71241871376959</v>
      </c>
      <c r="M208" t="n">
        <v>14.425247</v>
      </c>
      <c r="BH208" t="n">
        <v>14.687</v>
      </c>
      <c r="BS208" t="n">
        <v>-0.77</v>
      </c>
      <c r="CD208" t="n">
        <v>1.1</v>
      </c>
      <c r="CF208" t="n">
        <v>9</v>
      </c>
      <c r="CG208" t="n">
        <v>44.7</v>
      </c>
      <c r="CH208" t="n">
        <v>447</v>
      </c>
      <c r="CI208" t="n">
        <v>-357.6</v>
      </c>
      <c r="CJ208" t="n">
        <v>13.0771157231363</v>
      </c>
      <c r="CK208" t="n">
        <v>44.12837820959098</v>
      </c>
      <c r="CL208" t="n">
        <v>45.08043656595652</v>
      </c>
      <c r="CM208" t="n">
        <v>43.76936</v>
      </c>
      <c r="EH208" t="n">
        <v>36.514</v>
      </c>
      <c r="ES208" t="n">
        <v>-18.31</v>
      </c>
      <c r="FD208" t="n">
        <v>37.08</v>
      </c>
      <c r="FF208" t="n">
        <v>9</v>
      </c>
      <c r="FG208" t="n">
        <v>14.7</v>
      </c>
      <c r="FH208" t="n">
        <v>147</v>
      </c>
      <c r="FI208" t="n">
        <v>-117.6</v>
      </c>
      <c r="FJ208" t="n">
        <v>14.74046397732081</v>
      </c>
      <c r="FK208" t="n">
        <v>14.68873443094489</v>
      </c>
      <c r="FL208" t="n">
        <v>14.76080593183292</v>
      </c>
      <c r="FM208" t="n">
        <v>14.331672</v>
      </c>
      <c r="HH208" t="n">
        <v>14.63</v>
      </c>
      <c r="HS208" t="n">
        <v>-0.47</v>
      </c>
      <c r="ID208" t="n">
        <v>1.19</v>
      </c>
      <c r="IF208" t="n">
        <v>9</v>
      </c>
      <c r="IG208" t="n">
        <v>65.7</v>
      </c>
      <c r="IH208" t="n">
        <v>657</v>
      </c>
      <c r="II208" t="n">
        <v>-525.6</v>
      </c>
      <c r="IJ208" t="n">
        <v>65.4046538767559</v>
      </c>
      <c r="IK208" t="n">
        <v>65.87847213845112</v>
      </c>
      <c r="IL208" t="n">
        <v>66.3233441558322</v>
      </c>
      <c r="IM208" t="n">
        <v>66.23537399999999</v>
      </c>
      <c r="KH208" t="n">
        <v>65.95999999999999</v>
      </c>
      <c r="KS208" t="n">
        <v>0.4</v>
      </c>
      <c r="LD208" t="n">
        <v>0.55</v>
      </c>
    </row>
    <row r="209">
      <c r="A209" t="inlineStr">
        <is>
          <t>2026-06-01</t>
        </is>
      </c>
      <c r="B209" t="inlineStr">
        <is>
          <t>Diagnosis Plus 27</t>
        </is>
      </c>
      <c r="C209" t="inlineStr">
        <is>
          <t>105126060101</t>
        </is>
      </c>
      <c r="D209" t="inlineStr">
        <is>
          <t>CREA</t>
        </is>
      </c>
      <c r="F209" t="n">
        <v>10</v>
      </c>
      <c r="G209" t="n">
        <v>1.5</v>
      </c>
      <c r="H209" t="n">
        <v>16.5</v>
      </c>
      <c r="I209" t="n">
        <v>-13.5</v>
      </c>
      <c r="J209" t="n">
        <v>1.236325290109313</v>
      </c>
      <c r="K209" t="n">
        <v>1.273227300250952</v>
      </c>
      <c r="L209" t="n">
        <v>1.294021085380986</v>
      </c>
      <c r="M209" t="n">
        <v>1.2271948</v>
      </c>
      <c r="BH209" t="n">
        <v>1.258</v>
      </c>
      <c r="BS209" t="n">
        <v>-16.15</v>
      </c>
      <c r="CD209" t="n">
        <v>2.16</v>
      </c>
      <c r="CF209" t="n">
        <v>10</v>
      </c>
      <c r="CG209" t="n">
        <v>5.55</v>
      </c>
      <c r="CH209" t="n">
        <v>61.05</v>
      </c>
      <c r="CI209" t="n">
        <v>-49.95</v>
      </c>
      <c r="CJ209" t="n">
        <v>1.550555122024994</v>
      </c>
      <c r="CK209" t="n">
        <v>4.606132568310084</v>
      </c>
      <c r="CL209" t="n">
        <v>4.825215847795762</v>
      </c>
      <c r="CM209" t="n">
        <v>4.59908</v>
      </c>
      <c r="EH209" t="n">
        <v>3.895</v>
      </c>
      <c r="ES209" t="n">
        <v>-29.82</v>
      </c>
      <c r="FD209" t="n">
        <v>34.83</v>
      </c>
      <c r="FF209" t="n">
        <v>10</v>
      </c>
      <c r="FG209" t="n">
        <v>0.97</v>
      </c>
      <c r="FH209" t="n">
        <v>10.67</v>
      </c>
      <c r="FI209" t="n">
        <v>-8.73</v>
      </c>
      <c r="FJ209" t="n">
        <v>0.6513289414579707</v>
      </c>
      <c r="FK209" t="n">
        <v>0.6625750803889748</v>
      </c>
      <c r="FL209" t="n">
        <v>0.6708698871824161</v>
      </c>
      <c r="FM209" t="n">
        <v>0.63128376</v>
      </c>
      <c r="HH209" t="n">
        <v>0.654</v>
      </c>
      <c r="HS209" t="n">
        <v>-32.58</v>
      </c>
      <c r="ID209" t="n">
        <v>2.27</v>
      </c>
      <c r="IF209" t="n">
        <v>10</v>
      </c>
      <c r="IG209" t="n">
        <v>5.95</v>
      </c>
      <c r="IH209" t="n">
        <v>65.45</v>
      </c>
      <c r="II209" t="n">
        <v>-53.55</v>
      </c>
      <c r="IJ209" t="n">
        <v>5.467917642718541</v>
      </c>
      <c r="IK209" t="n">
        <v>5.395396255321194</v>
      </c>
      <c r="IL209" t="n">
        <v>5.588075943181958</v>
      </c>
      <c r="IM209" t="n">
        <v>5.4212</v>
      </c>
      <c r="KH209" t="n">
        <v>5.468</v>
      </c>
      <c r="KS209" t="n">
        <v>-8.1</v>
      </c>
      <c r="LD209" t="n">
        <v>1.35</v>
      </c>
    </row>
    <row r="210">
      <c r="A210" t="inlineStr">
        <is>
          <t>2026-06-01</t>
        </is>
      </c>
      <c r="B210" t="inlineStr">
        <is>
          <t>Diagnosis Plus 27</t>
        </is>
      </c>
      <c r="C210" t="inlineStr">
        <is>
          <t>105126060101</t>
        </is>
      </c>
      <c r="D210" t="inlineStr">
        <is>
          <t>GLU</t>
        </is>
      </c>
      <c r="F210" t="n">
        <v>8</v>
      </c>
      <c r="G210" t="n">
        <v>90.16</v>
      </c>
      <c r="H210" t="n">
        <v>811.4399999999999</v>
      </c>
      <c r="I210" t="n">
        <v>-631.12</v>
      </c>
      <c r="J210" t="n">
        <v>93.24872402388647</v>
      </c>
      <c r="K210" t="n">
        <v>93.64081984324892</v>
      </c>
      <c r="L210" t="n">
        <v>92.67036835507045</v>
      </c>
      <c r="M210" t="n">
        <v>92.78563</v>
      </c>
      <c r="BH210" t="n">
        <v>93.086</v>
      </c>
      <c r="BS210" t="n">
        <v>3.25</v>
      </c>
      <c r="CD210" t="n">
        <v>0.42</v>
      </c>
      <c r="CF210" t="n">
        <v>8</v>
      </c>
      <c r="CG210" t="n">
        <v>293.02</v>
      </c>
      <c r="CH210" t="n">
        <v>2637.18</v>
      </c>
      <c r="CI210" t="n">
        <v>-2051.14</v>
      </c>
      <c r="CJ210" t="n">
        <v>96.41899602230033</v>
      </c>
      <c r="CK210" t="n">
        <v>302.7537246086716</v>
      </c>
      <c r="CL210" t="n">
        <v>306.187121801299</v>
      </c>
      <c r="CM210" t="n">
        <v>302.92657</v>
      </c>
      <c r="EH210" t="n">
        <v>252.072</v>
      </c>
      <c r="ES210" t="n">
        <v>-13.97</v>
      </c>
      <c r="FD210" t="n">
        <v>35.66</v>
      </c>
      <c r="FF210" t="n">
        <v>8</v>
      </c>
      <c r="FG210" t="n">
        <v>65.66</v>
      </c>
      <c r="FH210" t="n">
        <v>590.9399999999999</v>
      </c>
      <c r="FI210" t="n">
        <v>-459.62</v>
      </c>
      <c r="FJ210" t="n">
        <v>68.12151792427998</v>
      </c>
      <c r="FK210" t="n">
        <v>67.44780190019226</v>
      </c>
      <c r="FL210" t="n">
        <v>67.54429950513124</v>
      </c>
      <c r="FM210" t="n">
        <v>66.77544</v>
      </c>
      <c r="HH210" t="n">
        <v>67.47199999999999</v>
      </c>
      <c r="HS210" t="n">
        <v>2.76</v>
      </c>
      <c r="ID210" t="n">
        <v>0.71</v>
      </c>
      <c r="IF210" t="n">
        <v>8</v>
      </c>
      <c r="IG210" t="n">
        <v>359.66</v>
      </c>
      <c r="IH210" t="n">
        <v>3236.94</v>
      </c>
      <c r="II210" t="n">
        <v>-2517.62</v>
      </c>
      <c r="IJ210" t="n">
        <v>368.5116362426291</v>
      </c>
      <c r="IK210" t="n">
        <v>371.578881067379</v>
      </c>
      <c r="IL210" t="n">
        <v>383.4575113339258</v>
      </c>
      <c r="IM210" t="n">
        <v>374.68643</v>
      </c>
      <c r="KH210" t="n">
        <v>374.559</v>
      </c>
      <c r="KS210" t="n">
        <v>4.14</v>
      </c>
      <c r="LD210" t="n">
        <v>1.49</v>
      </c>
    </row>
    <row r="211">
      <c r="A211" t="inlineStr">
        <is>
          <t>2026-06-01</t>
        </is>
      </c>
      <c r="B211" t="inlineStr">
        <is>
          <t>Diagnosis Plus 27</t>
        </is>
      </c>
      <c r="C211" t="inlineStr">
        <is>
          <t>105126060101</t>
        </is>
      </c>
      <c r="D211" t="inlineStr">
        <is>
          <t>TP</t>
        </is>
      </c>
      <c r="F211" t="n">
        <v>8</v>
      </c>
      <c r="G211" t="n">
        <v>6.4</v>
      </c>
      <c r="H211" t="n">
        <v>57.6</v>
      </c>
      <c r="I211" t="n">
        <v>-44.8</v>
      </c>
      <c r="J211" t="n">
        <v>6.452483103024377</v>
      </c>
      <c r="K211" t="n">
        <v>6.555722103577677</v>
      </c>
      <c r="L211" t="n">
        <v>6.487330306479937</v>
      </c>
      <c r="M211" t="n">
        <v>6.462784</v>
      </c>
      <c r="BH211" t="n">
        <v>6.49</v>
      </c>
      <c r="BS211" t="n">
        <v>1.4</v>
      </c>
      <c r="CD211" t="n">
        <v>0.62</v>
      </c>
      <c r="CF211" t="n">
        <v>8</v>
      </c>
      <c r="CG211" t="n">
        <v>4.1</v>
      </c>
      <c r="CH211" t="n">
        <v>36.9</v>
      </c>
      <c r="CI211" t="n">
        <v>-28.7</v>
      </c>
      <c r="CJ211" t="n">
        <v>0.9010559512901111</v>
      </c>
      <c r="CK211" t="n">
        <v>4.234898837364455</v>
      </c>
      <c r="CL211" t="n">
        <v>4.270654320757302</v>
      </c>
      <c r="CM211" t="n">
        <v>4.2448344</v>
      </c>
      <c r="EH211" t="n">
        <v>3.413</v>
      </c>
      <c r="ES211" t="n">
        <v>-16.76</v>
      </c>
      <c r="FD211" t="n">
        <v>42.49</v>
      </c>
      <c r="FF211" t="n">
        <v>8</v>
      </c>
      <c r="FG211" t="n">
        <v>4.2</v>
      </c>
      <c r="FH211" t="n">
        <v>37.8</v>
      </c>
      <c r="FI211" t="n">
        <v>-29.4</v>
      </c>
      <c r="FJ211" t="n">
        <v>4.061966520610294</v>
      </c>
      <c r="FK211" t="n">
        <v>4.071142559437176</v>
      </c>
      <c r="FL211" t="n">
        <v>4.07895797493333</v>
      </c>
      <c r="FM211" t="n">
        <v>3.952264</v>
      </c>
      <c r="HH211" t="n">
        <v>4.041</v>
      </c>
      <c r="HS211" t="n">
        <v>-3.78</v>
      </c>
      <c r="ID211" t="n">
        <v>1.28</v>
      </c>
      <c r="IF211" t="n">
        <v>8</v>
      </c>
      <c r="IG211" t="n">
        <v>7.5</v>
      </c>
      <c r="IH211" t="n">
        <v>67.5</v>
      </c>
      <c r="II211" t="n">
        <v>-52.5</v>
      </c>
      <c r="IJ211" t="n">
        <v>7.357757623157388</v>
      </c>
      <c r="IK211" t="n">
        <v>7.376968284474726</v>
      </c>
      <c r="IL211" t="n">
        <v>7.545384786276518</v>
      </c>
      <c r="IM211" t="n">
        <v>7.444965</v>
      </c>
      <c r="KH211" t="n">
        <v>7.431</v>
      </c>
      <c r="KS211" t="n">
        <v>-0.92</v>
      </c>
      <c r="LD211" t="n">
        <v>0.99</v>
      </c>
    </row>
    <row r="212">
      <c r="A212" t="inlineStr">
        <is>
          <t>2026-05-29</t>
        </is>
      </c>
      <c r="B212" t="inlineStr">
        <is>
          <t>Canine NT-proBNP</t>
        </is>
      </c>
      <c r="C212" t="inlineStr">
        <is>
          <t>111126052901 &amp; 211126052901</t>
        </is>
      </c>
      <c r="D212" t="inlineStr">
        <is>
          <t>cNT-pBNP</t>
        </is>
      </c>
      <c r="J212" t="n">
        <v>1478.85166390123</v>
      </c>
      <c r="K212" t="n">
        <v>1875.509993008628</v>
      </c>
      <c r="L212" t="n">
        <v>1586.535423611834</v>
      </c>
      <c r="M212" t="n">
        <v>1717.797921001092</v>
      </c>
      <c r="N212" t="n">
        <v>1575.83464425949</v>
      </c>
      <c r="O212" t="n">
        <v>1557.471941906094</v>
      </c>
      <c r="P212" t="n">
        <v>2043.206395846148</v>
      </c>
      <c r="Q212" t="n">
        <v>1558.856958206231</v>
      </c>
      <c r="R212" t="n">
        <v>2164.697186301405</v>
      </c>
      <c r="BH212" t="n">
        <v>1659.895</v>
      </c>
      <c r="CD212" t="n">
        <v>14</v>
      </c>
      <c r="CJ212" t="n">
        <v>6231.832099026646</v>
      </c>
      <c r="CK212" t="n">
        <v>8204.3020200678</v>
      </c>
      <c r="CL212" t="n">
        <v>6411.512252483051</v>
      </c>
      <c r="CM212" t="n">
        <v>5888.253053109857</v>
      </c>
      <c r="CN212" t="n">
        <v>6880.317220228875</v>
      </c>
      <c r="CO212" t="n">
        <v>6709.426679693808</v>
      </c>
      <c r="CP212" t="n">
        <v>6180.253082996174</v>
      </c>
      <c r="CQ212" t="n">
        <v>7176.256889719671</v>
      </c>
      <c r="CR212" t="n">
        <v>6466.490753662947</v>
      </c>
      <c r="CS212" t="n">
        <v>7250.451415569134</v>
      </c>
      <c r="EH212" t="n">
        <v>6739.91</v>
      </c>
      <c r="FD212" t="n">
        <v>9.5</v>
      </c>
      <c r="FJ212" t="n">
        <v>5654.698105034353</v>
      </c>
      <c r="FK212" t="n">
        <v>4978.421195542447</v>
      </c>
      <c r="HH212" t="n">
        <v>5316.56</v>
      </c>
      <c r="ID212" t="n">
        <v>6.36</v>
      </c>
    </row>
    <row r="213">
      <c r="A213" t="inlineStr">
        <is>
          <t>2026-05-28</t>
        </is>
      </c>
      <c r="B213" t="inlineStr">
        <is>
          <t>Canine Cortisol</t>
        </is>
      </c>
      <c r="C213" t="inlineStr">
        <is>
          <t>110426052802 &amp; 210426052802</t>
        </is>
      </c>
      <c r="D213" t="inlineStr">
        <is>
          <t>cCORT</t>
        </is>
      </c>
      <c r="J213" t="n">
        <v>4.71810444794941</v>
      </c>
      <c r="K213" t="n">
        <v>5.508015347010389</v>
      </c>
      <c r="L213" t="n">
        <v>5.421738988376557</v>
      </c>
      <c r="M213" t="n">
        <v>3.942003915890815</v>
      </c>
      <c r="N213" t="n">
        <v>4.83197249999614</v>
      </c>
      <c r="O213" t="n">
        <v>3.841094488295436</v>
      </c>
      <c r="P213" t="n">
        <v>4.542965299714747</v>
      </c>
      <c r="Q213" t="n">
        <v>4.259492239659186</v>
      </c>
      <c r="R213" t="n">
        <v>3.7696125513492</v>
      </c>
      <c r="BH213" t="n">
        <v>4.635</v>
      </c>
      <c r="CD213" t="n">
        <v>11.23</v>
      </c>
      <c r="CJ213" t="n">
        <v>10.17092039555534</v>
      </c>
      <c r="CK213" t="n">
        <v>9.776558897599024</v>
      </c>
      <c r="CL213" t="n">
        <v>11.84080681919866</v>
      </c>
      <c r="CM213" t="n">
        <v>11.70009935642589</v>
      </c>
      <c r="CN213" t="n">
        <v>9.567041359420923</v>
      </c>
      <c r="CO213" t="n">
        <v>10.3754789510068</v>
      </c>
      <c r="CP213" t="n">
        <v>10.94652322168501</v>
      </c>
      <c r="CQ213" t="n">
        <v>12.40558158458689</v>
      </c>
      <c r="CR213" t="n">
        <v>11.57331553405977</v>
      </c>
      <c r="CS213" t="n">
        <v>11.85539461397648</v>
      </c>
      <c r="CT213" t="n">
        <v>11.85422428492828</v>
      </c>
      <c r="CU213" t="n">
        <v>11.66827938671387</v>
      </c>
      <c r="CV213" t="n">
        <v>11.49171889732985</v>
      </c>
      <c r="CW213" t="n">
        <v>12.99466850733338</v>
      </c>
      <c r="CX213" t="n">
        <v>11.39524945227433</v>
      </c>
      <c r="CY213" t="n">
        <v>10.87038692639886</v>
      </c>
      <c r="EH213" t="n">
        <v>11.28</v>
      </c>
      <c r="FD213" t="n">
        <v>8.039999999999999</v>
      </c>
    </row>
    <row r="214">
      <c r="A214" t="inlineStr">
        <is>
          <t>2026-05-28</t>
        </is>
      </c>
      <c r="B214" t="inlineStr">
        <is>
          <t>Canine Progesterone</t>
        </is>
      </c>
      <c r="C214" t="inlineStr">
        <is>
          <t>110326052801 &amp; 210326052801</t>
        </is>
      </c>
      <c r="D214" t="inlineStr">
        <is>
          <t>cPROG</t>
        </is>
      </c>
      <c r="J214" t="n">
        <v>1.069032238896694</v>
      </c>
      <c r="K214" t="n">
        <v>1.276289491140468</v>
      </c>
      <c r="L214" t="n">
        <v>1.364720709059644</v>
      </c>
      <c r="M214" t="n">
        <v>1.526154229338711</v>
      </c>
      <c r="N214" t="n">
        <v>0.8814312349402239</v>
      </c>
      <c r="O214" t="n">
        <v>1.27469944863886</v>
      </c>
      <c r="P214" t="n">
        <v>1.142037841614966</v>
      </c>
      <c r="Q214" t="n">
        <v>0.7860165883356796</v>
      </c>
      <c r="R214" t="n">
        <v>1.237920704801761</v>
      </c>
      <c r="BH214" t="n">
        <v>1.259</v>
      </c>
      <c r="CD214" t="n">
        <v>21.02</v>
      </c>
      <c r="CJ214" t="n">
        <v>4.150057722931229</v>
      </c>
      <c r="CK214" t="n">
        <v>3.384265732212391</v>
      </c>
      <c r="CL214" t="n">
        <v>2.248951086282028</v>
      </c>
      <c r="CM214" t="n">
        <v>3.246947206142802</v>
      </c>
      <c r="CN214" t="n">
        <v>2.426302755366111</v>
      </c>
      <c r="CO214" t="n">
        <v>3.739090570928977</v>
      </c>
      <c r="CP214" t="n">
        <v>3.555167616721633</v>
      </c>
      <c r="CQ214" t="n">
        <v>1.837591774711116</v>
      </c>
      <c r="CR214" t="n">
        <v>2.993022424800763</v>
      </c>
      <c r="CS214" t="n">
        <v>5.26738262207875</v>
      </c>
      <c r="CT214" t="n">
        <v>4.619815188318151</v>
      </c>
      <c r="CU214" t="n">
        <v>3.45606316605818</v>
      </c>
      <c r="EH214" t="n">
        <v>3.41</v>
      </c>
      <c r="FD214" t="n">
        <v>27.54</v>
      </c>
      <c r="FJ214" t="n">
        <v>17.2102139845567</v>
      </c>
      <c r="FK214" t="n">
        <v>14.48506516895541</v>
      </c>
      <c r="FL214" t="n">
        <v>15.96551130111815</v>
      </c>
      <c r="FM214" t="n">
        <v>17.45519406303838</v>
      </c>
      <c r="FN214" t="n">
        <v>13.47640956432972</v>
      </c>
      <c r="FO214" t="n">
        <v>13.44200341729428</v>
      </c>
      <c r="FP214" t="n">
        <v>12.1393601896145</v>
      </c>
      <c r="FQ214" t="n">
        <v>13.44222173034369</v>
      </c>
      <c r="FR214" t="n">
        <v>15.95658453969392</v>
      </c>
      <c r="FS214" t="n">
        <v>15.34857004592544</v>
      </c>
      <c r="FT214" t="n">
        <v>14.39465045212926</v>
      </c>
      <c r="HH214" t="n">
        <v>14.636</v>
      </c>
      <c r="ID214" t="n">
        <v>11.58</v>
      </c>
    </row>
    <row r="215">
      <c r="A215" t="inlineStr">
        <is>
          <t>2026-05-27</t>
        </is>
      </c>
      <c r="B215" t="inlineStr">
        <is>
          <t>Canine NT-proBNP</t>
        </is>
      </c>
      <c r="C215" t="inlineStr">
        <is>
          <t>211126052704</t>
        </is>
      </c>
      <c r="D215" t="inlineStr">
        <is>
          <t>cNT-pBNP</t>
        </is>
      </c>
      <c r="J215" t="n">
        <v>6186.704427805965</v>
      </c>
      <c r="K215" t="n">
        <v>6904.208638153269</v>
      </c>
      <c r="L215" t="n">
        <v>6731.914570898829</v>
      </c>
      <c r="M215" t="n">
        <v>5495.513876496826</v>
      </c>
      <c r="N215" t="n">
        <v>6766.617794891016</v>
      </c>
      <c r="O215" t="n">
        <v>6736.49020368383</v>
      </c>
      <c r="P215" t="n">
        <v>5949.919873760176</v>
      </c>
      <c r="Q215" t="n">
        <v>6487.809411654458</v>
      </c>
      <c r="R215" t="n">
        <v>7314.028087854408</v>
      </c>
      <c r="BH215" t="n">
        <v>6288.493</v>
      </c>
      <c r="CD215" t="n">
        <v>9.5</v>
      </c>
      <c r="CJ215" t="n">
        <v>14941.48846335395</v>
      </c>
      <c r="CK215" t="n">
        <v>14259.43189416165</v>
      </c>
      <c r="CL215" t="n">
        <v>15387.01089851151</v>
      </c>
      <c r="CM215" t="n">
        <v>13435.05901963105</v>
      </c>
      <c r="CN215" t="n">
        <v>14410.12893581295</v>
      </c>
      <c r="CO215" t="n">
        <v>14610.4336940996</v>
      </c>
      <c r="CP215" t="n">
        <v>15420.88335160467</v>
      </c>
      <c r="CQ215" t="n">
        <v>15669.02327220078</v>
      </c>
      <c r="CR215" t="n">
        <v>15477.97114017142</v>
      </c>
      <c r="CS215" t="n">
        <v>14613.65206724353</v>
      </c>
      <c r="CT215" t="n">
        <v>13965.92953866349</v>
      </c>
      <c r="CU215" t="n">
        <v>14351.07149221065</v>
      </c>
      <c r="EH215" t="n">
        <v>14711.84</v>
      </c>
      <c r="FD215" t="n">
        <v>4.45</v>
      </c>
    </row>
    <row r="216">
      <c r="A216" t="inlineStr">
        <is>
          <t>2026-05-27</t>
        </is>
      </c>
      <c r="B216" t="inlineStr">
        <is>
          <t>Canine TSH</t>
        </is>
      </c>
      <c r="C216" t="inlineStr">
        <is>
          <t>210226052703</t>
        </is>
      </c>
      <c r="D216" t="inlineStr">
        <is>
          <t>cTSH</t>
        </is>
      </c>
      <c r="J216" t="n">
        <v>0.6005650627795541</v>
      </c>
      <c r="K216" t="n">
        <v>0.9240985759574341</v>
      </c>
      <c r="L216" t="n">
        <v>0.8547532755719616</v>
      </c>
      <c r="M216" t="n">
        <v>0.3564591534955368</v>
      </c>
      <c r="BH216" t="n">
        <v>0.6840000000000001</v>
      </c>
      <c r="CD216" t="n">
        <v>32.78</v>
      </c>
      <c r="CJ216" t="n">
        <v>1.992615609432155</v>
      </c>
      <c r="CK216" t="n">
        <v>2.60221826291505</v>
      </c>
      <c r="CL216" t="n">
        <v>2.804324856196873</v>
      </c>
      <c r="CM216" t="n">
        <v>2.594267891038355</v>
      </c>
      <c r="EH216" t="n">
        <v>2.498</v>
      </c>
      <c r="FD216" t="n">
        <v>12.16</v>
      </c>
      <c r="FJ216" t="n">
        <v>1.971019964530345</v>
      </c>
      <c r="FK216" t="n">
        <v>1.262730032167498</v>
      </c>
      <c r="FL216" t="n">
        <v>1.097662061850382</v>
      </c>
      <c r="FM216" t="n">
        <v>2.850778350506388</v>
      </c>
      <c r="HH216" t="n">
        <v>1.796</v>
      </c>
      <c r="ID216" t="n">
        <v>38.54</v>
      </c>
    </row>
    <row r="217">
      <c r="A217" t="inlineStr">
        <is>
          <t>2026-05-27</t>
        </is>
      </c>
      <c r="B217" t="inlineStr">
        <is>
          <t>Canine TSH</t>
        </is>
      </c>
      <c r="C217" t="inlineStr">
        <is>
          <t>110226052701</t>
        </is>
      </c>
      <c r="D217" t="inlineStr">
        <is>
          <t>cTSH</t>
        </is>
      </c>
      <c r="J217" t="n">
        <v>-0.3462086079047306</v>
      </c>
      <c r="K217" t="n">
        <v>0.1069364687330214</v>
      </c>
      <c r="L217" t="n">
        <v>-0.3484408100820522</v>
      </c>
      <c r="M217" t="n">
        <v>0.5425229073069919</v>
      </c>
      <c r="N217" t="n">
        <v>-0.08870145417851893</v>
      </c>
      <c r="BH217" t="n">
        <v>-0.027</v>
      </c>
      <c r="CD217" t="n">
        <v>1240.04</v>
      </c>
      <c r="CJ217" t="n">
        <v>3.352975202335374</v>
      </c>
      <c r="CK217" t="n">
        <v>3.496934869393312</v>
      </c>
      <c r="CL217" t="n">
        <v>2.611529579948026</v>
      </c>
      <c r="CM217" t="n">
        <v>3.256184166345028</v>
      </c>
      <c r="CN217" t="n">
        <v>3.018712890178292</v>
      </c>
      <c r="EH217" t="n">
        <v>3.147</v>
      </c>
      <c r="FD217" t="n">
        <v>9.84</v>
      </c>
      <c r="FJ217" t="n">
        <v>1.109698067034079</v>
      </c>
      <c r="FK217" t="n">
        <v>1.000641320971932</v>
      </c>
      <c r="FL217" t="n">
        <v>2.118002856639158</v>
      </c>
      <c r="FM217" t="n">
        <v>3.651208444691744</v>
      </c>
      <c r="FN217" t="n">
        <v>0.8752865023688929</v>
      </c>
      <c r="HH217" t="n">
        <v>1.751</v>
      </c>
      <c r="ID217" t="n">
        <v>59.83</v>
      </c>
    </row>
    <row r="218">
      <c r="A218" t="inlineStr">
        <is>
          <t>2026-05-27</t>
        </is>
      </c>
      <c r="B218" t="inlineStr">
        <is>
          <t>Optimum Wellness 37</t>
        </is>
      </c>
      <c r="C218" t="inlineStr">
        <is>
          <t>109326052702</t>
        </is>
      </c>
      <c r="D218" t="inlineStr">
        <is>
          <t>BA</t>
        </is>
      </c>
      <c r="J218" t="n">
        <v>5.913498568416287</v>
      </c>
      <c r="K218" t="n">
        <v>5.951357656259519</v>
      </c>
      <c r="L218" t="n">
        <v>5.574887524490073</v>
      </c>
      <c r="M218" t="n">
        <v>5.609503053765383</v>
      </c>
      <c r="BH218" t="n">
        <v>5.762</v>
      </c>
      <c r="CD218" t="n">
        <v>2.97</v>
      </c>
      <c r="CJ218" t="n">
        <v>5.225564601177311</v>
      </c>
      <c r="CK218" t="n">
        <v>5.239634613946551</v>
      </c>
      <c r="CL218" t="n">
        <v>6.168615049666162</v>
      </c>
      <c r="CM218" t="n">
        <v>5.645896418164529</v>
      </c>
      <c r="EH218" t="n">
        <v>5.57</v>
      </c>
      <c r="FD218" t="n">
        <v>6.91</v>
      </c>
      <c r="FJ218" t="n">
        <v>15.25649600848135</v>
      </c>
      <c r="FK218" t="n">
        <v>17.20414311795989</v>
      </c>
      <c r="FL218" t="n">
        <v>16.4978542969829</v>
      </c>
      <c r="FM218" t="n">
        <v>15.1931655422947</v>
      </c>
      <c r="HH218" t="n">
        <v>16.038</v>
      </c>
      <c r="ID218" t="n">
        <v>5.31</v>
      </c>
      <c r="IJ218" t="n">
        <v>14.84252599330975</v>
      </c>
      <c r="IK218" t="n">
        <v>14.60991058157997</v>
      </c>
      <c r="IL218" t="n">
        <v>15.18875908964042</v>
      </c>
      <c r="IM218" t="n">
        <v>13.37862400811514</v>
      </c>
      <c r="KH218" t="n">
        <v>14.505</v>
      </c>
      <c r="LD218" t="n">
        <v>4.7</v>
      </c>
    </row>
    <row r="219">
      <c r="A219" t="inlineStr">
        <is>
          <t>2026-05-27</t>
        </is>
      </c>
      <c r="B219" t="inlineStr">
        <is>
          <t>Optimum Wellness 37</t>
        </is>
      </c>
      <c r="C219" t="inlineStr">
        <is>
          <t>109326052702</t>
        </is>
      </c>
      <c r="D219" t="inlineStr">
        <is>
          <t>Cl</t>
        </is>
      </c>
      <c r="F219" t="n">
        <v>5</v>
      </c>
      <c r="G219" t="n">
        <v>90</v>
      </c>
      <c r="H219" t="n">
        <v>540</v>
      </c>
      <c r="I219" t="n">
        <v>-360</v>
      </c>
      <c r="J219" t="n">
        <v>100.3354502512858</v>
      </c>
      <c r="K219" t="n">
        <v>100.5957219478908</v>
      </c>
      <c r="L219" t="n">
        <v>99.12253094550985</v>
      </c>
      <c r="M219" t="n">
        <v>102.6607379969484</v>
      </c>
      <c r="BH219" t="n">
        <v>100.679</v>
      </c>
      <c r="BS219" t="n">
        <v>11.87</v>
      </c>
      <c r="CD219" t="n">
        <v>1.26</v>
      </c>
      <c r="CF219" t="n">
        <v>5</v>
      </c>
      <c r="CG219" t="n">
        <v>91</v>
      </c>
      <c r="CH219" t="n">
        <v>546</v>
      </c>
      <c r="CI219" t="n">
        <v>-364</v>
      </c>
      <c r="CJ219" t="n">
        <v>93.23965779419231</v>
      </c>
      <c r="CK219" t="n">
        <v>93.43107495138932</v>
      </c>
      <c r="CL219" t="n">
        <v>89.75279652151113</v>
      </c>
      <c r="CM219" t="n">
        <v>92.36739321770423</v>
      </c>
      <c r="EH219" t="n">
        <v>92.19799999999999</v>
      </c>
      <c r="ES219" t="n">
        <v>1.32</v>
      </c>
      <c r="FD219" t="n">
        <v>1.59</v>
      </c>
      <c r="FF219" t="n">
        <v>5</v>
      </c>
      <c r="FG219" t="n">
        <v>77</v>
      </c>
      <c r="FH219" t="n">
        <v>462</v>
      </c>
      <c r="FI219" t="n">
        <v>-308</v>
      </c>
      <c r="FJ219" t="n">
        <v>82.34685878740174</v>
      </c>
      <c r="FK219" t="n">
        <v>80.30529146407599</v>
      </c>
      <c r="FL219" t="n">
        <v>79.40700027524642</v>
      </c>
      <c r="FM219" t="n">
        <v>82.51382213595761</v>
      </c>
      <c r="HH219" t="n">
        <v>81.143</v>
      </c>
      <c r="HS219" t="n">
        <v>5.38</v>
      </c>
      <c r="ID219" t="n">
        <v>1.64</v>
      </c>
      <c r="IF219" t="n">
        <v>5</v>
      </c>
      <c r="IG219" t="n">
        <v>118</v>
      </c>
      <c r="IH219" t="n">
        <v>708</v>
      </c>
      <c r="II219" t="n">
        <v>-472</v>
      </c>
      <c r="IJ219" t="n">
        <v>122.4232158742777</v>
      </c>
      <c r="IK219" t="n">
        <v>125.8663568741497</v>
      </c>
      <c r="IL219" t="n">
        <v>123.5093740829083</v>
      </c>
      <c r="IM219" t="n">
        <v>128.6578277452467</v>
      </c>
      <c r="KH219" t="n">
        <v>125.114</v>
      </c>
      <c r="KS219" t="n">
        <v>6.03</v>
      </c>
      <c r="LD219" t="n">
        <v>1.91</v>
      </c>
    </row>
    <row r="220">
      <c r="A220" t="inlineStr">
        <is>
          <t>2026-05-27</t>
        </is>
      </c>
      <c r="B220" t="inlineStr">
        <is>
          <t>Optimum Wellness 37</t>
        </is>
      </c>
      <c r="C220" t="inlineStr">
        <is>
          <t>109326052702</t>
        </is>
      </c>
      <c r="D220" t="inlineStr">
        <is>
          <t>K</t>
        </is>
      </c>
      <c r="G220" t="n">
        <v>3.9</v>
      </c>
      <c r="J220" t="n">
        <v>4.148705588048298</v>
      </c>
      <c r="K220" t="n">
        <v>4.528224796868598</v>
      </c>
      <c r="L220" t="n">
        <v>4.47320684320033</v>
      </c>
      <c r="M220" t="n">
        <v>4.623548083758</v>
      </c>
      <c r="BH220" t="n">
        <v>4.443</v>
      </c>
      <c r="BS220" t="n">
        <v>13.93</v>
      </c>
      <c r="CD220" t="n">
        <v>4.02</v>
      </c>
      <c r="CG220" t="n">
        <v>6</v>
      </c>
      <c r="CJ220" t="n">
        <v>7.06800167629492</v>
      </c>
      <c r="CK220" t="n">
        <v>7.294155237526648</v>
      </c>
      <c r="CL220" t="n">
        <v>7.090808373245879</v>
      </c>
      <c r="CM220" t="n">
        <v>7.262580404251694</v>
      </c>
      <c r="EH220" t="n">
        <v>7.179</v>
      </c>
      <c r="ES220" t="n">
        <v>19.65</v>
      </c>
      <c r="FD220" t="n">
        <v>1.4</v>
      </c>
      <c r="FG220" t="n">
        <v>2.2</v>
      </c>
      <c r="FJ220" t="n">
        <v>2.674807559897665</v>
      </c>
      <c r="FK220" t="n">
        <v>2.834230296070392</v>
      </c>
      <c r="FL220" t="n">
        <v>2.626496346975334</v>
      </c>
      <c r="FM220" t="n">
        <v>2.995069607483656</v>
      </c>
      <c r="HH220" t="n">
        <v>2.783</v>
      </c>
      <c r="HS220" t="n">
        <v>26.48</v>
      </c>
      <c r="ID220" t="n">
        <v>5.2</v>
      </c>
      <c r="IG220" t="n">
        <v>8.4</v>
      </c>
      <c r="IJ220" t="n">
        <v>9.776426793544235</v>
      </c>
      <c r="IK220" t="n">
        <v>10.08652816286151</v>
      </c>
      <c r="IL220" t="n">
        <v>9.90731818766433</v>
      </c>
      <c r="IM220" t="n">
        <v>9.791472020701949</v>
      </c>
      <c r="KH220" t="n">
        <v>9.890000000000001</v>
      </c>
      <c r="KS220" t="n">
        <v>17.74</v>
      </c>
      <c r="LD220" t="n">
        <v>1.25</v>
      </c>
    </row>
    <row r="221">
      <c r="A221" t="inlineStr">
        <is>
          <t>2026-05-27</t>
        </is>
      </c>
      <c r="B221" t="inlineStr">
        <is>
          <t>Optimum Wellness 37</t>
        </is>
      </c>
      <c r="C221" t="inlineStr">
        <is>
          <t>109326052702</t>
        </is>
      </c>
      <c r="D221" t="inlineStr">
        <is>
          <t>Na</t>
        </is>
      </c>
      <c r="G221" t="n">
        <v>141</v>
      </c>
      <c r="J221" t="n">
        <v>42.56611133121168</v>
      </c>
      <c r="K221" t="n">
        <v>132.1448837442341</v>
      </c>
      <c r="L221" t="n">
        <v>129.8919422443937</v>
      </c>
      <c r="M221" t="n">
        <v>132.1968027617167</v>
      </c>
      <c r="BH221" t="n">
        <v>109.2</v>
      </c>
      <c r="BS221" t="n">
        <v>-22.55</v>
      </c>
      <c r="CD221" t="n">
        <v>35.24</v>
      </c>
      <c r="CG221" t="n">
        <v>129</v>
      </c>
      <c r="CJ221" t="n">
        <v>119.5654298087589</v>
      </c>
      <c r="CK221" t="n">
        <v>119.2199294739059</v>
      </c>
      <c r="CL221" t="n">
        <v>119.8782681138072</v>
      </c>
      <c r="CM221" t="n">
        <v>119.5027067671668</v>
      </c>
      <c r="EH221" t="n">
        <v>119.542</v>
      </c>
      <c r="ES221" t="n">
        <v>-7.33</v>
      </c>
      <c r="FD221" t="n">
        <v>0.2</v>
      </c>
      <c r="FG221" t="n">
        <v>118</v>
      </c>
      <c r="FJ221" t="n">
        <v>108.8975121439007</v>
      </c>
      <c r="FK221" t="n">
        <v>105.5865953564487</v>
      </c>
      <c r="FL221" t="n">
        <v>110.4371483051484</v>
      </c>
      <c r="FM221" t="n">
        <v>109.6964556308064</v>
      </c>
      <c r="HH221" t="n">
        <v>108.654</v>
      </c>
      <c r="HS221" t="n">
        <v>-7.92</v>
      </c>
      <c r="ID221" t="n">
        <v>1.71</v>
      </c>
      <c r="IG221" t="n">
        <v>166</v>
      </c>
      <c r="IJ221" t="n">
        <v>142.3167711113093</v>
      </c>
      <c r="IK221" t="n">
        <v>145.7968649690482</v>
      </c>
      <c r="IL221" t="n">
        <v>145.1257871845324</v>
      </c>
      <c r="IM221" t="n">
        <v>142.0020863204631</v>
      </c>
      <c r="KH221" t="n">
        <v>143.81</v>
      </c>
      <c r="KS221" t="n">
        <v>-13.37</v>
      </c>
      <c r="LD221" t="n">
        <v>1.16</v>
      </c>
    </row>
    <row r="222">
      <c r="A222" t="inlineStr">
        <is>
          <t>2026-05-27</t>
        </is>
      </c>
      <c r="B222" t="inlineStr">
        <is>
          <t>Optimum Wellness 37</t>
        </is>
      </c>
      <c r="C222" t="inlineStr">
        <is>
          <t>109326052702</t>
        </is>
      </c>
      <c r="D222" t="inlineStr">
        <is>
          <t>P-LIPA</t>
        </is>
      </c>
      <c r="F222" t="n">
        <v>30</v>
      </c>
      <c r="J222" t="n">
        <v>73.11603726768574</v>
      </c>
      <c r="K222" t="n">
        <v>72.33508916264647</v>
      </c>
      <c r="L222" t="n">
        <v>73.74452594193636</v>
      </c>
      <c r="M222" t="n">
        <v>69.1025695974258</v>
      </c>
      <c r="BH222" t="n">
        <v>72.075</v>
      </c>
      <c r="CD222" t="n">
        <v>2.48</v>
      </c>
      <c r="CF222" t="n">
        <v>30</v>
      </c>
      <c r="CJ222" t="n">
        <v>91.0947144720501</v>
      </c>
      <c r="CK222" t="n">
        <v>91.8369856057141</v>
      </c>
      <c r="CL222" t="n">
        <v>87.99815137911547</v>
      </c>
      <c r="CM222" t="n">
        <v>84.5684763403835</v>
      </c>
      <c r="EH222" t="n">
        <v>88.875</v>
      </c>
      <c r="FD222" t="n">
        <v>3.23</v>
      </c>
      <c r="FF222" t="n">
        <v>30</v>
      </c>
      <c r="FJ222" t="n">
        <v>43.55316411818173</v>
      </c>
      <c r="FK222" t="n">
        <v>42.59868005687972</v>
      </c>
      <c r="FL222" t="n">
        <v>44.66432507624663</v>
      </c>
      <c r="FM222" t="n">
        <v>41.05223707967469</v>
      </c>
      <c r="HH222" t="n">
        <v>42.967</v>
      </c>
      <c r="ID222" t="n">
        <v>3.08</v>
      </c>
      <c r="IF222" t="n">
        <v>30</v>
      </c>
      <c r="IJ222" t="n">
        <v>114.7703884563203</v>
      </c>
      <c r="IK222" t="n">
        <v>114.80821797955</v>
      </c>
      <c r="IL222" t="n">
        <v>113.3453631538757</v>
      </c>
      <c r="IM222" t="n">
        <v>107.3493150494741</v>
      </c>
      <c r="KH222" t="n">
        <v>112.568</v>
      </c>
      <c r="LD222" t="n">
        <v>2.73</v>
      </c>
    </row>
    <row r="223">
      <c r="A223" t="inlineStr">
        <is>
          <t>2026-05-27</t>
        </is>
      </c>
      <c r="B223" t="inlineStr">
        <is>
          <t>Optimum Wellness 37</t>
        </is>
      </c>
      <c r="C223" t="inlineStr">
        <is>
          <t>109326052702</t>
        </is>
      </c>
      <c r="D223" t="inlineStr">
        <is>
          <t>TCO2</t>
        </is>
      </c>
      <c r="F223" t="n">
        <v>20</v>
      </c>
      <c r="G223" t="n">
        <v>32.5</v>
      </c>
      <c r="H223" t="n">
        <v>682.5</v>
      </c>
      <c r="I223" t="n">
        <v>-617.5</v>
      </c>
      <c r="J223" t="n">
        <v>33.29220026421492</v>
      </c>
      <c r="K223" t="n">
        <v>33.57945792957219</v>
      </c>
      <c r="L223" t="n">
        <v>34.70226220741867</v>
      </c>
      <c r="M223" t="n">
        <v>31.80727091501718</v>
      </c>
      <c r="BH223" t="n">
        <v>33.345</v>
      </c>
      <c r="BS223" t="n">
        <v>2.6</v>
      </c>
      <c r="CD223" t="n">
        <v>3.1</v>
      </c>
      <c r="CF223" t="n">
        <v>20</v>
      </c>
      <c r="CG223" t="n">
        <v>21.2</v>
      </c>
      <c r="CH223" t="n">
        <v>445.2</v>
      </c>
      <c r="CI223" t="n">
        <v>-402.8</v>
      </c>
      <c r="CJ223" t="n">
        <v>21.03793937431422</v>
      </c>
      <c r="CK223" t="n">
        <v>23.03826951266277</v>
      </c>
      <c r="CL223" t="n">
        <v>22.3010948476383</v>
      </c>
      <c r="CM223" t="n">
        <v>23.19148097361554</v>
      </c>
      <c r="EH223" t="n">
        <v>22.392</v>
      </c>
      <c r="ES223" t="n">
        <v>5.62</v>
      </c>
      <c r="FD223" t="n">
        <v>3.8</v>
      </c>
      <c r="FF223" t="n">
        <v>20</v>
      </c>
      <c r="FG223" t="n">
        <v>17.3</v>
      </c>
      <c r="FH223" t="n">
        <v>363.3</v>
      </c>
      <c r="FI223" t="n">
        <v>-328.7</v>
      </c>
      <c r="FJ223" t="n">
        <v>20.14436766456484</v>
      </c>
      <c r="FK223" t="n">
        <v>20.93449399962879</v>
      </c>
      <c r="FL223" t="n">
        <v>22.61783486432788</v>
      </c>
      <c r="FM223" t="n">
        <v>21.05319032074185</v>
      </c>
      <c r="HH223" t="n">
        <v>21.187</v>
      </c>
      <c r="HS223" t="n">
        <v>22.47</v>
      </c>
      <c r="ID223" t="n">
        <v>4.23</v>
      </c>
      <c r="IF223" t="n">
        <v>20</v>
      </c>
      <c r="IG223" t="n">
        <v>26.7</v>
      </c>
      <c r="IH223" t="n">
        <v>560.6999999999999</v>
      </c>
      <c r="II223" t="n">
        <v>-507.3</v>
      </c>
      <c r="IJ223" t="n">
        <v>27.38445299447256</v>
      </c>
      <c r="IK223" t="n">
        <v>30.09054946648308</v>
      </c>
      <c r="IL223" t="n">
        <v>29.63879141382723</v>
      </c>
      <c r="IM223" t="n">
        <v>27.73870015809064</v>
      </c>
      <c r="KH223" t="n">
        <v>28.713</v>
      </c>
      <c r="KS223" t="n">
        <v>7.54</v>
      </c>
      <c r="LD223" t="n">
        <v>4.07</v>
      </c>
    </row>
    <row r="224">
      <c r="A224" t="inlineStr">
        <is>
          <t>2026-05-27</t>
        </is>
      </c>
      <c r="B224" t="inlineStr">
        <is>
          <t>Optimum Wellness 37</t>
        </is>
      </c>
      <c r="C224" t="inlineStr">
        <is>
          <t>109326052702</t>
        </is>
      </c>
      <c r="D224" t="inlineStr">
        <is>
          <t>TRIG</t>
        </is>
      </c>
      <c r="F224" t="n">
        <v>15</v>
      </c>
      <c r="J224" t="n">
        <v>184.8593631559345</v>
      </c>
      <c r="K224" t="n">
        <v>187.3380037997534</v>
      </c>
      <c r="L224" t="n">
        <v>183.832517987837</v>
      </c>
      <c r="M224" t="n">
        <v>192.9288928001648</v>
      </c>
      <c r="BH224" t="n">
        <v>187.24</v>
      </c>
      <c r="CD224" t="n">
        <v>1.88</v>
      </c>
      <c r="CF224" t="n">
        <v>15</v>
      </c>
      <c r="CJ224" t="n">
        <v>97.13657221139195</v>
      </c>
      <c r="CK224" t="n">
        <v>98.82043648451133</v>
      </c>
      <c r="CL224" t="n">
        <v>97.90812624807415</v>
      </c>
      <c r="CM224" t="n">
        <v>101.5779582102789</v>
      </c>
      <c r="EH224" t="n">
        <v>98.861</v>
      </c>
      <c r="FD224" t="n">
        <v>1.7</v>
      </c>
      <c r="FF224" t="n">
        <v>15</v>
      </c>
      <c r="FJ224" t="n">
        <v>111.8881614484406</v>
      </c>
      <c r="FK224" t="n">
        <v>111.6531057786815</v>
      </c>
      <c r="FL224" t="n">
        <v>112.787320845573</v>
      </c>
      <c r="FM224" t="n">
        <v>115.6271389793932</v>
      </c>
      <c r="HH224" t="n">
        <v>112.989</v>
      </c>
      <c r="ID224" t="n">
        <v>1.4</v>
      </c>
      <c r="IF224" t="n">
        <v>15</v>
      </c>
      <c r="IJ224" t="n">
        <v>214.9757345649163</v>
      </c>
      <c r="IK224" t="n">
        <v>214.5150250315819</v>
      </c>
      <c r="IL224" t="n">
        <v>225.8637444971702</v>
      </c>
      <c r="IM224" t="n">
        <v>221.5775535379157</v>
      </c>
      <c r="KH224" t="n">
        <v>219.233</v>
      </c>
      <c r="LD224" t="n">
        <v>2.16</v>
      </c>
    </row>
    <row r="225">
      <c r="A225" t="inlineStr">
        <is>
          <t>2026-05-27</t>
        </is>
      </c>
      <c r="B225" t="inlineStr">
        <is>
          <t>Core Chem 13</t>
        </is>
      </c>
      <c r="C225" t="inlineStr">
        <is>
          <t>100126052701</t>
        </is>
      </c>
      <c r="D225" t="inlineStr">
        <is>
          <t>ALB</t>
        </is>
      </c>
      <c r="F225" t="n">
        <v>8</v>
      </c>
      <c r="G225" t="n">
        <v>4.2</v>
      </c>
      <c r="H225" t="n">
        <v>37.8</v>
      </c>
      <c r="I225" t="n">
        <v>-29.4</v>
      </c>
      <c r="J225" t="n">
        <v>4.242874467160409</v>
      </c>
      <c r="K225" t="n">
        <v>4.306979343184071</v>
      </c>
      <c r="L225" t="n">
        <v>4.331146086761461</v>
      </c>
      <c r="M225" t="n">
        <v>4.271763914047038</v>
      </c>
      <c r="BH225" t="n">
        <v>4.288</v>
      </c>
      <c r="BS225" t="n">
        <v>2.1</v>
      </c>
      <c r="CD225" t="n">
        <v>0.78</v>
      </c>
      <c r="CF225" t="n">
        <v>8</v>
      </c>
      <c r="CG225" t="n">
        <v>2.7</v>
      </c>
      <c r="CH225" t="n">
        <v>24.3</v>
      </c>
      <c r="CI225" t="n">
        <v>-18.9</v>
      </c>
      <c r="CJ225" t="n">
        <v>2.982266395593201</v>
      </c>
      <c r="CK225" t="n">
        <v>2.995621947930425</v>
      </c>
      <c r="CL225" t="n">
        <v>2.991983454944151</v>
      </c>
      <c r="CM225" t="n">
        <v>3.02142908051234</v>
      </c>
      <c r="EH225" t="n">
        <v>2.998</v>
      </c>
      <c r="ES225" t="n">
        <v>11.03</v>
      </c>
      <c r="FD225" t="n">
        <v>0.48</v>
      </c>
      <c r="FF225" t="n">
        <v>8</v>
      </c>
      <c r="FG225" t="n">
        <v>2.6</v>
      </c>
      <c r="FH225" t="n">
        <v>23.4</v>
      </c>
      <c r="FI225" t="n">
        <v>-18.2</v>
      </c>
      <c r="FJ225" t="n">
        <v>2.83510520847754</v>
      </c>
      <c r="FK225" t="n">
        <v>2.743775654208059</v>
      </c>
      <c r="FL225" t="n">
        <v>2.823750897307415</v>
      </c>
      <c r="FM225" t="n">
        <v>2.735449622920043</v>
      </c>
      <c r="HH225" t="n">
        <v>2.785</v>
      </c>
      <c r="HS225" t="n">
        <v>7.1</v>
      </c>
      <c r="ID225" t="n">
        <v>1.62</v>
      </c>
      <c r="IF225" t="n">
        <v>8</v>
      </c>
      <c r="IG225" t="n">
        <v>4.2</v>
      </c>
      <c r="IH225" t="n">
        <v>37.8</v>
      </c>
      <c r="II225" t="n">
        <v>-29.4</v>
      </c>
      <c r="IJ225" t="n">
        <v>4.246518552473169</v>
      </c>
      <c r="IK225" t="n">
        <v>4.303828502352728</v>
      </c>
      <c r="IL225" t="n">
        <v>4.29113296569935</v>
      </c>
      <c r="IM225" t="n">
        <v>4.269343639548024</v>
      </c>
      <c r="KH225" t="n">
        <v>4.278</v>
      </c>
      <c r="KS225" t="n">
        <v>1.85</v>
      </c>
      <c r="LD225" t="n">
        <v>0.51</v>
      </c>
    </row>
    <row r="226">
      <c r="A226" t="inlineStr">
        <is>
          <t>2026-05-27</t>
        </is>
      </c>
      <c r="B226" t="inlineStr">
        <is>
          <t>Core Chem 13</t>
        </is>
      </c>
      <c r="C226" t="inlineStr">
        <is>
          <t>100126052701</t>
        </is>
      </c>
      <c r="D226" t="inlineStr">
        <is>
          <t>ALP</t>
        </is>
      </c>
      <c r="F226" t="n">
        <v>20</v>
      </c>
      <c r="G226" t="n">
        <v>136</v>
      </c>
      <c r="H226" t="n">
        <v>2856</v>
      </c>
      <c r="I226" t="n">
        <v>-2584</v>
      </c>
      <c r="J226" t="n">
        <v>146.2024588260294</v>
      </c>
      <c r="K226" t="n">
        <v>146.1520505846739</v>
      </c>
      <c r="L226" t="n">
        <v>146.7207481668204</v>
      </c>
      <c r="M226" t="n">
        <v>146.6203771080316</v>
      </c>
      <c r="BH226" t="n">
        <v>146.424</v>
      </c>
      <c r="BS226" t="n">
        <v>7.66</v>
      </c>
      <c r="CD226" t="n">
        <v>0.17</v>
      </c>
      <c r="CF226" t="n">
        <v>20</v>
      </c>
      <c r="CG226" t="n">
        <v>456</v>
      </c>
      <c r="CH226" t="n">
        <v>9576</v>
      </c>
      <c r="CI226" t="n">
        <v>-8664</v>
      </c>
      <c r="CJ226" t="n">
        <v>470.1557412054106</v>
      </c>
      <c r="CK226" t="n">
        <v>467.2110693002838</v>
      </c>
      <c r="CL226" t="n">
        <v>455.1129092519011</v>
      </c>
      <c r="CM226" t="n">
        <v>471.2703234051075</v>
      </c>
      <c r="EH226" t="n">
        <v>465.938</v>
      </c>
      <c r="ES226" t="n">
        <v>2.18</v>
      </c>
      <c r="FD226" t="n">
        <v>1.38</v>
      </c>
      <c r="FF226" t="n">
        <v>20</v>
      </c>
      <c r="FG226" t="n">
        <v>75</v>
      </c>
      <c r="FH226" t="n">
        <v>1575</v>
      </c>
      <c r="FI226" t="n">
        <v>-1425</v>
      </c>
      <c r="FJ226" t="n">
        <v>77.75720740899557</v>
      </c>
      <c r="FK226" t="n">
        <v>76.48242837910655</v>
      </c>
      <c r="FL226" t="n">
        <v>77.40657494980792</v>
      </c>
      <c r="FM226" t="n">
        <v>77.19794167477328</v>
      </c>
      <c r="HH226" t="n">
        <v>77.211</v>
      </c>
      <c r="HS226" t="n">
        <v>2.95</v>
      </c>
      <c r="ID226" t="n">
        <v>0.6</v>
      </c>
      <c r="IF226" t="n">
        <v>20</v>
      </c>
      <c r="IG226" t="n">
        <v>251</v>
      </c>
      <c r="IH226" t="n">
        <v>5271</v>
      </c>
      <c r="II226" t="n">
        <v>-4769</v>
      </c>
      <c r="IJ226" t="n">
        <v>230.6075056093164</v>
      </c>
      <c r="IK226" t="n">
        <v>230.4769975261104</v>
      </c>
      <c r="IL226" t="n">
        <v>230.0220539800237</v>
      </c>
      <c r="IM226" t="n">
        <v>235.6176439381785</v>
      </c>
      <c r="KH226" t="n">
        <v>231.681</v>
      </c>
      <c r="KS226" t="n">
        <v>-7.7</v>
      </c>
      <c r="LD226" t="n">
        <v>0.99</v>
      </c>
    </row>
    <row r="227">
      <c r="A227" t="inlineStr">
        <is>
          <t>2026-05-27</t>
        </is>
      </c>
      <c r="B227" t="inlineStr">
        <is>
          <t>Core Chem 13</t>
        </is>
      </c>
      <c r="C227" t="inlineStr">
        <is>
          <t>100126052701</t>
        </is>
      </c>
      <c r="D227" t="inlineStr">
        <is>
          <t>ALT</t>
        </is>
      </c>
      <c r="F227" t="n">
        <v>15</v>
      </c>
      <c r="G227" t="n">
        <v>28</v>
      </c>
      <c r="H227" t="n">
        <v>448</v>
      </c>
      <c r="I227" t="n">
        <v>-392</v>
      </c>
      <c r="J227" t="n">
        <v>20.73509592571238</v>
      </c>
      <c r="K227" t="n">
        <v>33.81740831960826</v>
      </c>
      <c r="L227" t="n">
        <v>25.2129721228933</v>
      </c>
      <c r="M227" t="n">
        <v>30.84756993612867</v>
      </c>
      <c r="BH227" t="n">
        <v>27.653</v>
      </c>
      <c r="BS227" t="n">
        <v>-1.24</v>
      </c>
      <c r="CD227" t="n">
        <v>18.26</v>
      </c>
      <c r="CF227" t="n">
        <v>15</v>
      </c>
      <c r="CG227" t="n">
        <v>115</v>
      </c>
      <c r="CH227" t="n">
        <v>1840</v>
      </c>
      <c r="CI227" t="n">
        <v>-1610</v>
      </c>
      <c r="CJ227" t="n">
        <v>134.6352121765691</v>
      </c>
      <c r="CK227" t="n">
        <v>131.8438375967683</v>
      </c>
      <c r="CL227" t="n">
        <v>129.6670792861504</v>
      </c>
      <c r="CM227" t="n">
        <v>129.6281298393407</v>
      </c>
      <c r="EH227" t="n">
        <v>131.444</v>
      </c>
      <c r="ES227" t="n">
        <v>14.3</v>
      </c>
      <c r="FD227" t="n">
        <v>1.56</v>
      </c>
      <c r="FF227" t="n">
        <v>15</v>
      </c>
      <c r="FG227" t="n">
        <v>26</v>
      </c>
      <c r="FH227" t="n">
        <v>416</v>
      </c>
      <c r="FI227" t="n">
        <v>-364</v>
      </c>
      <c r="FJ227" t="n">
        <v>19.42535800063963</v>
      </c>
      <c r="FK227" t="n">
        <v>23.71245931498933</v>
      </c>
      <c r="FL227" t="n">
        <v>22.00190455589578</v>
      </c>
      <c r="FM227" t="n">
        <v>20.34411740569294</v>
      </c>
      <c r="HH227" t="n">
        <v>21.371</v>
      </c>
      <c r="HS227" t="n">
        <v>-17.8</v>
      </c>
      <c r="ID227" t="n">
        <v>7.66</v>
      </c>
      <c r="IF227" t="n">
        <v>15</v>
      </c>
      <c r="IG227" t="n">
        <v>217</v>
      </c>
      <c r="IH227" t="n">
        <v>3472</v>
      </c>
      <c r="II227" t="n">
        <v>-3038</v>
      </c>
      <c r="IJ227" t="n">
        <v>218.5295502086103</v>
      </c>
      <c r="IK227" t="n">
        <v>220.4118198903512</v>
      </c>
      <c r="IL227" t="n">
        <v>221.393118861795</v>
      </c>
      <c r="IM227" t="n">
        <v>224.8975662771024</v>
      </c>
      <c r="KH227" t="n">
        <v>221.308</v>
      </c>
      <c r="KS227" t="n">
        <v>1.99</v>
      </c>
      <c r="LD227" t="n">
        <v>1.05</v>
      </c>
    </row>
    <row r="228">
      <c r="A228" t="inlineStr">
        <is>
          <t>2026-05-27</t>
        </is>
      </c>
      <c r="B228" t="inlineStr">
        <is>
          <t>Core Chem 13</t>
        </is>
      </c>
      <c r="C228" t="inlineStr">
        <is>
          <t>100126052701</t>
        </is>
      </c>
      <c r="D228" t="inlineStr">
        <is>
          <t>BUN</t>
        </is>
      </c>
      <c r="F228" t="n">
        <v>9</v>
      </c>
      <c r="G228" t="n">
        <v>14.8</v>
      </c>
      <c r="H228" t="n">
        <v>148</v>
      </c>
      <c r="I228" t="n">
        <v>-118.4</v>
      </c>
      <c r="J228" t="n">
        <v>14.19754713704792</v>
      </c>
      <c r="K228" t="n">
        <v>14.60390832134453</v>
      </c>
      <c r="L228" t="n">
        <v>14.44412596521963</v>
      </c>
      <c r="M228" t="n">
        <v>14.72219556636376</v>
      </c>
      <c r="BH228" t="n">
        <v>14.492</v>
      </c>
      <c r="BS228" t="n">
        <v>-2.08</v>
      </c>
      <c r="CD228" t="n">
        <v>1.36</v>
      </c>
      <c r="CF228" t="n">
        <v>9</v>
      </c>
      <c r="CG228" t="n">
        <v>44.7</v>
      </c>
      <c r="CH228" t="n">
        <v>447</v>
      </c>
      <c r="CI228" t="n">
        <v>-357.6</v>
      </c>
      <c r="CJ228" t="n">
        <v>44.09182964789463</v>
      </c>
      <c r="CK228" t="n">
        <v>45.20319176744335</v>
      </c>
      <c r="CL228" t="n">
        <v>43.60035962522711</v>
      </c>
      <c r="CM228" t="n">
        <v>44.96000011727836</v>
      </c>
      <c r="EH228" t="n">
        <v>44.464</v>
      </c>
      <c r="ES228" t="n">
        <v>-0.53</v>
      </c>
      <c r="FD228" t="n">
        <v>1.46</v>
      </c>
      <c r="FF228" t="n">
        <v>9</v>
      </c>
      <c r="FG228" t="n">
        <v>14.7</v>
      </c>
      <c r="FH228" t="n">
        <v>147</v>
      </c>
      <c r="FI228" t="n">
        <v>-117.6</v>
      </c>
      <c r="FJ228" t="n">
        <v>14.19066078295124</v>
      </c>
      <c r="FK228" t="n">
        <v>14.40549443079827</v>
      </c>
      <c r="FL228" t="n">
        <v>14.48589997099084</v>
      </c>
      <c r="FM228" t="n">
        <v>14.72705668296068</v>
      </c>
      <c r="HH228" t="n">
        <v>14.452</v>
      </c>
      <c r="HS228" t="n">
        <v>-1.69</v>
      </c>
      <c r="ID228" t="n">
        <v>1.33</v>
      </c>
      <c r="IF228" t="n">
        <v>9</v>
      </c>
      <c r="IG228" t="n">
        <v>65.7</v>
      </c>
      <c r="IH228" t="n">
        <v>657</v>
      </c>
      <c r="II228" t="n">
        <v>-525.6</v>
      </c>
      <c r="IJ228" t="n">
        <v>62.99281168718544</v>
      </c>
      <c r="IK228" t="n">
        <v>65.6576448154723</v>
      </c>
      <c r="IL228" t="n">
        <v>65.27480336412319</v>
      </c>
      <c r="IM228" t="n">
        <v>64.19851528512339</v>
      </c>
      <c r="KH228" t="n">
        <v>64.53100000000001</v>
      </c>
      <c r="KS228" t="n">
        <v>-1.78</v>
      </c>
      <c r="LD228" t="n">
        <v>1.61</v>
      </c>
    </row>
    <row r="229">
      <c r="A229" t="inlineStr">
        <is>
          <t>2026-05-27</t>
        </is>
      </c>
      <c r="B229" t="inlineStr">
        <is>
          <t>Core Chem 13</t>
        </is>
      </c>
      <c r="C229" t="inlineStr">
        <is>
          <t>100126052701</t>
        </is>
      </c>
      <c r="D229" t="inlineStr">
        <is>
          <t>CREA</t>
        </is>
      </c>
      <c r="F229" t="n">
        <v>10</v>
      </c>
      <c r="G229" t="n">
        <v>1.5</v>
      </c>
      <c r="H229" t="n">
        <v>16.5</v>
      </c>
      <c r="I229" t="n">
        <v>-13.5</v>
      </c>
      <c r="J229" t="n">
        <v>1.292392154652859</v>
      </c>
      <c r="K229" t="n">
        <v>1.293950467910979</v>
      </c>
      <c r="L229" t="n">
        <v>1.252662993784058</v>
      </c>
      <c r="M229" t="n">
        <v>1.21416347704316</v>
      </c>
      <c r="BH229" t="n">
        <v>1.263</v>
      </c>
      <c r="BS229" t="n">
        <v>-15.78</v>
      </c>
      <c r="CD229" t="n">
        <v>2.6</v>
      </c>
      <c r="CF229" t="n">
        <v>10</v>
      </c>
      <c r="CG229" t="n">
        <v>5.55</v>
      </c>
      <c r="CH229" t="n">
        <v>61.05</v>
      </c>
      <c r="CI229" t="n">
        <v>-49.95</v>
      </c>
      <c r="CJ229" t="n">
        <v>4.772604074850515</v>
      </c>
      <c r="CK229" t="n">
        <v>4.722849245945135</v>
      </c>
      <c r="CL229" t="n">
        <v>4.676041583392371</v>
      </c>
      <c r="CM229" t="n">
        <v>4.682618012774074</v>
      </c>
      <c r="EH229" t="n">
        <v>4.714</v>
      </c>
      <c r="ES229" t="n">
        <v>-15.07</v>
      </c>
      <c r="FD229" t="n">
        <v>0.82</v>
      </c>
      <c r="FF229" t="n">
        <v>10</v>
      </c>
      <c r="FG229" t="n">
        <v>0.97</v>
      </c>
      <c r="FH229" t="n">
        <v>10.67</v>
      </c>
      <c r="FI229" t="n">
        <v>-8.73</v>
      </c>
      <c r="FJ229" t="n">
        <v>0.6724164870321969</v>
      </c>
      <c r="FK229" t="n">
        <v>0.6559751667562265</v>
      </c>
      <c r="FL229" t="n">
        <v>0.6967724107652598</v>
      </c>
      <c r="FM229" t="n">
        <v>0.6812209332903546</v>
      </c>
      <c r="HH229" t="n">
        <v>0.677</v>
      </c>
      <c r="HS229" t="n">
        <v>-30.25</v>
      </c>
      <c r="ID229" t="n">
        <v>2.18</v>
      </c>
      <c r="IF229" t="n">
        <v>10</v>
      </c>
      <c r="IG229" t="n">
        <v>5.95</v>
      </c>
      <c r="IH229" t="n">
        <v>65.45</v>
      </c>
      <c r="II229" t="n">
        <v>-53.55</v>
      </c>
      <c r="IJ229" t="n">
        <v>5.363635085154851</v>
      </c>
      <c r="IK229" t="n">
        <v>5.430706883840078</v>
      </c>
      <c r="IL229" t="n">
        <v>5.422100665786854</v>
      </c>
      <c r="IM229" t="n">
        <v>5.484855855518672</v>
      </c>
      <c r="KH229" t="n">
        <v>5.425</v>
      </c>
      <c r="KS229" t="n">
        <v>-8.82</v>
      </c>
      <c r="LD229" t="n">
        <v>0.79</v>
      </c>
    </row>
    <row r="230">
      <c r="A230" t="inlineStr">
        <is>
          <t>2026-05-27</t>
        </is>
      </c>
      <c r="B230" t="inlineStr">
        <is>
          <t>Core Chem 13</t>
        </is>
      </c>
      <c r="C230" t="inlineStr">
        <is>
          <t>100126052701</t>
        </is>
      </c>
      <c r="D230" t="inlineStr">
        <is>
          <t>GLU</t>
        </is>
      </c>
      <c r="F230" t="n">
        <v>8</v>
      </c>
      <c r="G230" t="n">
        <v>90.16</v>
      </c>
      <c r="H230" t="n">
        <v>811.4399999999999</v>
      </c>
      <c r="I230" t="n">
        <v>-631.12</v>
      </c>
      <c r="J230" t="n">
        <v>94.23924875044334</v>
      </c>
      <c r="K230" t="n">
        <v>94.18663124307668</v>
      </c>
      <c r="L230" t="n">
        <v>94.19300153663904</v>
      </c>
      <c r="M230" t="n">
        <v>93.50120659590131</v>
      </c>
      <c r="BH230" t="n">
        <v>94.03</v>
      </c>
      <c r="BS230" t="n">
        <v>4.29</v>
      </c>
      <c r="CD230" t="n">
        <v>0.33</v>
      </c>
      <c r="CF230" t="n">
        <v>8</v>
      </c>
      <c r="CG230" t="n">
        <v>293.02</v>
      </c>
      <c r="CH230" t="n">
        <v>2637.18</v>
      </c>
      <c r="CI230" t="n">
        <v>-2051.14</v>
      </c>
      <c r="CJ230" t="n">
        <v>317.3661492450744</v>
      </c>
      <c r="CK230" t="n">
        <v>318.49528612508</v>
      </c>
      <c r="CL230" t="n">
        <v>312.0132961013225</v>
      </c>
      <c r="CM230" t="n">
        <v>314.0691206251524</v>
      </c>
      <c r="EH230" t="n">
        <v>315.486</v>
      </c>
      <c r="ES230" t="n">
        <v>7.67</v>
      </c>
      <c r="FD230" t="n">
        <v>0.82</v>
      </c>
      <c r="FF230" t="n">
        <v>8</v>
      </c>
      <c r="FG230" t="n">
        <v>65.66</v>
      </c>
      <c r="FH230" t="n">
        <v>590.9399999999999</v>
      </c>
      <c r="FI230" t="n">
        <v>-459.62</v>
      </c>
      <c r="FJ230" t="n">
        <v>68.47608673137347</v>
      </c>
      <c r="FK230" t="n">
        <v>68.13621718894706</v>
      </c>
      <c r="FL230" t="n">
        <v>67.92441185706062</v>
      </c>
      <c r="FM230" t="n">
        <v>68.86612665741426</v>
      </c>
      <c r="HH230" t="n">
        <v>68.351</v>
      </c>
      <c r="HS230" t="n">
        <v>4.1</v>
      </c>
      <c r="ID230" t="n">
        <v>0.52</v>
      </c>
      <c r="IF230" t="n">
        <v>8</v>
      </c>
      <c r="IG230" t="n">
        <v>359.66</v>
      </c>
      <c r="IH230" t="n">
        <v>3236.94</v>
      </c>
      <c r="II230" t="n">
        <v>-2517.62</v>
      </c>
      <c r="IJ230" t="n">
        <v>371.8951296358649</v>
      </c>
      <c r="IK230" t="n">
        <v>377.4043924693456</v>
      </c>
      <c r="IL230" t="n">
        <v>376.3255261772417</v>
      </c>
      <c r="IM230" t="n">
        <v>379.3533710509648</v>
      </c>
      <c r="KH230" t="n">
        <v>376.245</v>
      </c>
      <c r="KS230" t="n">
        <v>4.61</v>
      </c>
      <c r="LD230" t="n">
        <v>0.73</v>
      </c>
    </row>
    <row r="231">
      <c r="A231" t="inlineStr">
        <is>
          <t>2026-05-27</t>
        </is>
      </c>
      <c r="B231" t="inlineStr">
        <is>
          <t>Core Chem 13</t>
        </is>
      </c>
      <c r="C231" t="inlineStr">
        <is>
          <t>100126052701</t>
        </is>
      </c>
      <c r="D231" t="inlineStr">
        <is>
          <t>TP</t>
        </is>
      </c>
      <c r="F231" t="n">
        <v>8</v>
      </c>
      <c r="G231" t="n">
        <v>6.4</v>
      </c>
      <c r="H231" t="n">
        <v>57.6</v>
      </c>
      <c r="I231" t="n">
        <v>-44.8</v>
      </c>
      <c r="J231" t="n">
        <v>6.644567903408017</v>
      </c>
      <c r="K231" t="n">
        <v>6.62656182353218</v>
      </c>
      <c r="L231" t="n">
        <v>6.551337757048566</v>
      </c>
      <c r="M231" t="n">
        <v>6.627443305598701</v>
      </c>
      <c r="BH231" t="n">
        <v>6.612</v>
      </c>
      <c r="BS231" t="n">
        <v>3.32</v>
      </c>
      <c r="CD231" t="n">
        <v>0.54</v>
      </c>
      <c r="CF231" t="n">
        <v>8</v>
      </c>
      <c r="CG231" t="n">
        <v>4.1</v>
      </c>
      <c r="CH231" t="n">
        <v>36.9</v>
      </c>
      <c r="CI231" t="n">
        <v>-28.7</v>
      </c>
      <c r="CJ231" t="n">
        <v>4.436962604912943</v>
      </c>
      <c r="CK231" t="n">
        <v>4.46539581407739</v>
      </c>
      <c r="CL231" t="n">
        <v>4.350233880004925</v>
      </c>
      <c r="CM231" t="n">
        <v>4.440396276185977</v>
      </c>
      <c r="EH231" t="n">
        <v>4.423</v>
      </c>
      <c r="ES231" t="n">
        <v>7.88</v>
      </c>
      <c r="FD231" t="n">
        <v>0.98</v>
      </c>
      <c r="FF231" t="n">
        <v>8</v>
      </c>
      <c r="FG231" t="n">
        <v>4.2</v>
      </c>
      <c r="FH231" t="n">
        <v>37.8</v>
      </c>
      <c r="FI231" t="n">
        <v>-29.4</v>
      </c>
      <c r="FJ231" t="n">
        <v>4.181538249183487</v>
      </c>
      <c r="FK231" t="n">
        <v>4.072643051009174</v>
      </c>
      <c r="FL231" t="n">
        <v>4.043755758564212</v>
      </c>
      <c r="FM231" t="n">
        <v>4.060060953848313</v>
      </c>
      <c r="HH231" t="n">
        <v>4.089</v>
      </c>
      <c r="HS231" t="n">
        <v>-2.63</v>
      </c>
      <c r="ID231" t="n">
        <v>1.32</v>
      </c>
      <c r="IF231" t="n">
        <v>8</v>
      </c>
      <c r="IG231" t="n">
        <v>7.5</v>
      </c>
      <c r="IH231" t="n">
        <v>67.5</v>
      </c>
      <c r="II231" t="n">
        <v>-52.5</v>
      </c>
      <c r="IJ231" t="n">
        <v>7.527981764477756</v>
      </c>
      <c r="IK231" t="n">
        <v>7.551432492694929</v>
      </c>
      <c r="IL231" t="n">
        <v>7.421749074569162</v>
      </c>
      <c r="IM231" t="n">
        <v>7.64699511768743</v>
      </c>
      <c r="KH231" t="n">
        <v>7.537</v>
      </c>
      <c r="KS231" t="n">
        <v>0.49</v>
      </c>
      <c r="LD231" t="n">
        <v>1.06</v>
      </c>
    </row>
    <row r="232">
      <c r="A232" t="inlineStr">
        <is>
          <t>2026-05-26</t>
        </is>
      </c>
      <c r="B232" t="inlineStr">
        <is>
          <t>Coagulation</t>
        </is>
      </c>
      <c r="C232" t="inlineStr">
        <is>
          <t>130126052601</t>
        </is>
      </c>
      <c r="D232" t="inlineStr">
        <is>
          <t>APTT</t>
        </is>
      </c>
      <c r="J232" t="n">
        <v>109.1165</v>
      </c>
      <c r="K232" t="n">
        <v>110.296175</v>
      </c>
      <c r="L232" t="n">
        <v>108.204836</v>
      </c>
      <c r="M232" t="n">
        <v>109.193759</v>
      </c>
      <c r="N232" t="n">
        <v>108.304724</v>
      </c>
      <c r="O232" t="n">
        <v>110.403191</v>
      </c>
      <c r="P232" t="n">
        <v>108.707796</v>
      </c>
      <c r="Q232" t="n">
        <v>110.403191</v>
      </c>
      <c r="R232" t="n">
        <v>110.807636</v>
      </c>
      <c r="BH232" t="n">
        <v>109.493</v>
      </c>
      <c r="CD232" t="n">
        <v>0.86</v>
      </c>
      <c r="CJ232" t="n">
        <v>118.802</v>
      </c>
      <c r="CK232" t="n">
        <v>116.767919</v>
      </c>
      <c r="CL232" t="n">
        <v>116.265231</v>
      </c>
      <c r="CM232" t="n">
        <v>118.244519</v>
      </c>
      <c r="CN232" t="n">
        <v>119.532884</v>
      </c>
      <c r="CO232" t="n">
        <v>115.246224</v>
      </c>
      <c r="CP232" t="n">
        <v>121.5108</v>
      </c>
      <c r="CQ232" t="n">
        <v>117.919559</v>
      </c>
      <c r="CR232" t="n">
        <v>118.016816</v>
      </c>
      <c r="CS232" t="n">
        <v>119.633375</v>
      </c>
      <c r="EH232" t="n">
        <v>118.194</v>
      </c>
      <c r="FD232" t="n">
        <v>1.46</v>
      </c>
      <c r="FJ232" t="n">
        <v>126.476639</v>
      </c>
      <c r="FK232" t="n">
        <v>126.438896</v>
      </c>
      <c r="FL232" t="n">
        <v>126.779375</v>
      </c>
      <c r="HH232" t="n">
        <v>126.565</v>
      </c>
      <c r="ID232" t="n">
        <v>0.12</v>
      </c>
    </row>
    <row r="233">
      <c r="A233" t="inlineStr">
        <is>
          <t>2026-05-26</t>
        </is>
      </c>
      <c r="B233" t="inlineStr">
        <is>
          <t>Coagulation</t>
        </is>
      </c>
      <c r="C233" t="inlineStr">
        <is>
          <t>130126052601</t>
        </is>
      </c>
      <c r="D233" t="inlineStr">
        <is>
          <t>FIB</t>
        </is>
      </c>
      <c r="J233" t="n">
        <v>5.409540630249641</v>
      </c>
      <c r="K233" t="n">
        <v>5.473493992337019</v>
      </c>
      <c r="L233" t="n">
        <v>5.461444542151897</v>
      </c>
      <c r="M233" t="n">
        <v>5.409540630249641</v>
      </c>
      <c r="N233" t="n">
        <v>5.398487790386704</v>
      </c>
      <c r="O233" t="n">
        <v>5.473493992337019</v>
      </c>
      <c r="P233" t="n">
        <v>5.443732841741287</v>
      </c>
      <c r="Q233" t="n">
        <v>5.455493092630921</v>
      </c>
      <c r="R233" t="n">
        <v>5.461444542151897</v>
      </c>
      <c r="BH233" t="n">
        <v>5.443</v>
      </c>
      <c r="CD233" t="n">
        <v>0.51</v>
      </c>
      <c r="CJ233" t="n">
        <v>5.432157799369705</v>
      </c>
      <c r="CK233" t="n">
        <v>5.437922534803559</v>
      </c>
      <c r="CL233" t="n">
        <v>5.415130010797777</v>
      </c>
      <c r="CM233" t="n">
        <v>5.47959361240582</v>
      </c>
      <c r="CN233" t="n">
        <v>5.473493992337019</v>
      </c>
      <c r="CO233" t="n">
        <v>5.49194684436836</v>
      </c>
      <c r="CP233" t="n">
        <v>5.371561702499565</v>
      </c>
      <c r="CQ233" t="n">
        <v>5.36106152392267</v>
      </c>
      <c r="CR233" t="n">
        <v>5.415130010797777</v>
      </c>
      <c r="EH233" t="n">
        <v>5.431</v>
      </c>
      <c r="FD233" t="n">
        <v>0.8</v>
      </c>
      <c r="FJ233" t="n">
        <v>4.546663793627585</v>
      </c>
      <c r="FK233" t="n">
        <v>4.548387123842636</v>
      </c>
      <c r="FL233" t="n">
        <v>4.657959085030514</v>
      </c>
      <c r="FM233" t="n">
        <v>4.521287280023516</v>
      </c>
      <c r="FN233" t="n">
        <v>4.672113580234759</v>
      </c>
      <c r="FO233" t="n">
        <v>4.786776702865046</v>
      </c>
      <c r="HH233" t="n">
        <v>4.622</v>
      </c>
      <c r="ID233" t="n">
        <v>2.02</v>
      </c>
    </row>
    <row r="234">
      <c r="A234" t="inlineStr">
        <is>
          <t>2026-05-26</t>
        </is>
      </c>
      <c r="B234" t="inlineStr">
        <is>
          <t>Coagulation</t>
        </is>
      </c>
      <c r="C234" t="inlineStr">
        <is>
          <t>130126052601</t>
        </is>
      </c>
      <c r="D234" t="inlineStr">
        <is>
          <t>PT</t>
        </is>
      </c>
      <c r="J234" t="n">
        <v>15.256557828</v>
      </c>
      <c r="K234" t="n">
        <v>15.294645312</v>
      </c>
      <c r="L234" t="n">
        <v>15.370918992</v>
      </c>
      <c r="M234" t="n">
        <v>14.551631172</v>
      </c>
      <c r="N234" t="n">
        <v>14.871202833</v>
      </c>
      <c r="O234" t="n">
        <v>15.415472753</v>
      </c>
      <c r="P234" t="n">
        <v>17.914744425</v>
      </c>
      <c r="Q234" t="n">
        <v>14.946741657</v>
      </c>
      <c r="R234" t="n">
        <v>15.237526425</v>
      </c>
      <c r="BH234" t="n">
        <v>15.429</v>
      </c>
      <c r="CD234" t="n">
        <v>5.95</v>
      </c>
      <c r="CJ234" t="n">
        <v>18.638713808</v>
      </c>
      <c r="CK234" t="n">
        <v>18.339739968</v>
      </c>
      <c r="CL234" t="n">
        <v>19.470015873</v>
      </c>
      <c r="CM234" t="n">
        <v>21.437821008</v>
      </c>
      <c r="CN234" t="n">
        <v>17.367009353</v>
      </c>
      <c r="CO234" t="n">
        <v>21.051402948</v>
      </c>
      <c r="CP234" t="n">
        <v>20.483830788</v>
      </c>
      <c r="CQ234" t="n">
        <v>28.832963268</v>
      </c>
      <c r="CR234" t="n">
        <v>29.570858153</v>
      </c>
      <c r="CS234" t="n">
        <v>17.914744425</v>
      </c>
      <c r="EH234" t="n">
        <v>21.311</v>
      </c>
      <c r="FD234" t="n">
        <v>19.46</v>
      </c>
      <c r="FJ234" t="n">
        <v>17.941620417</v>
      </c>
      <c r="FK234" t="n">
        <v>18.905192657</v>
      </c>
      <c r="FL234" t="n">
        <v>17.553349857</v>
      </c>
      <c r="FM234" t="n">
        <v>17.847618425</v>
      </c>
      <c r="FN234" t="n">
        <v>16.694257337</v>
      </c>
      <c r="FO234" t="n">
        <v>22.664389377</v>
      </c>
      <c r="HH234" t="n">
        <v>18.601</v>
      </c>
      <c r="ID234" t="n">
        <v>10.37</v>
      </c>
    </row>
    <row r="235">
      <c r="A235" t="inlineStr">
        <is>
          <t>2026-05-25</t>
        </is>
      </c>
      <c r="B235" t="inlineStr">
        <is>
          <t>Critical Care 26</t>
        </is>
      </c>
      <c r="C235" t="inlineStr">
        <is>
          <t>105826052501</t>
        </is>
      </c>
      <c r="D235" t="inlineStr">
        <is>
          <t>CK</t>
        </is>
      </c>
      <c r="F235" t="n">
        <v>20</v>
      </c>
      <c r="J235" t="n">
        <v>-10.27072313542919</v>
      </c>
      <c r="K235" t="n">
        <v>141.5552801500151</v>
      </c>
      <c r="L235" t="n">
        <v>138.4773063027141</v>
      </c>
      <c r="M235" t="n">
        <v>135.1164044326836</v>
      </c>
      <c r="N235" t="n">
        <v>212.4682299097093</v>
      </c>
      <c r="O235" t="n">
        <v>137.4212171363779</v>
      </c>
      <c r="BH235" t="n">
        <v>125.795</v>
      </c>
      <c r="CD235" t="n">
        <v>52.99</v>
      </c>
      <c r="CF235" t="n">
        <v>20</v>
      </c>
      <c r="CJ235" t="n">
        <v>524.0754739573254</v>
      </c>
      <c r="CK235" t="n">
        <v>487.0877857786447</v>
      </c>
      <c r="CL235" t="n">
        <v>532.404209025665</v>
      </c>
      <c r="CM235" t="n">
        <v>501.8412600101069</v>
      </c>
      <c r="CN235" t="n">
        <v>509.038684774061</v>
      </c>
      <c r="CO235" t="n">
        <v>534.8491297877954</v>
      </c>
      <c r="EH235" t="n">
        <v>514.883</v>
      </c>
      <c r="FD235" t="n">
        <v>3.33</v>
      </c>
      <c r="FF235" t="n">
        <v>20</v>
      </c>
      <c r="FJ235" t="n">
        <v>68.33264534464416</v>
      </c>
      <c r="FK235" t="n">
        <v>64.67030226042772</v>
      </c>
      <c r="FL235" t="n">
        <v>79.78781946658847</v>
      </c>
      <c r="FM235" t="n">
        <v>73.85854496730065</v>
      </c>
      <c r="FN235" t="n">
        <v>67.2154498178852</v>
      </c>
      <c r="FO235" t="n">
        <v>63.99704376824475</v>
      </c>
      <c r="HH235" t="n">
        <v>69.64400000000001</v>
      </c>
      <c r="ID235" t="n">
        <v>7.97</v>
      </c>
      <c r="IF235" t="n">
        <v>20</v>
      </c>
      <c r="IJ235" t="n">
        <v>699.4916197543646</v>
      </c>
      <c r="IK235" t="n">
        <v>672.7767799048033</v>
      </c>
      <c r="IL235" t="n">
        <v>653.5524446035498</v>
      </c>
      <c r="IM235" t="n">
        <v>680.7274766975216</v>
      </c>
      <c r="IN235" t="n">
        <v>685.1825096956293</v>
      </c>
      <c r="KH235" t="n">
        <v>678.346</v>
      </c>
      <c r="LD235" t="n">
        <v>2.23</v>
      </c>
    </row>
    <row r="236">
      <c r="A236" t="inlineStr">
        <is>
          <t>2026-05-25</t>
        </is>
      </c>
      <c r="B236" t="inlineStr">
        <is>
          <t>Critical Care 26</t>
        </is>
      </c>
      <c r="C236" t="inlineStr">
        <is>
          <t>105826052501</t>
        </is>
      </c>
      <c r="D236" t="inlineStr">
        <is>
          <t>Ca</t>
        </is>
      </c>
      <c r="G236" t="n">
        <v>9.1</v>
      </c>
      <c r="J236" t="n">
        <v>-2.616043655017307</v>
      </c>
      <c r="K236" t="n">
        <v>9.29001117080648</v>
      </c>
      <c r="L236" t="n">
        <v>9.28432416753046</v>
      </c>
      <c r="M236" t="n">
        <v>9.536412659141742</v>
      </c>
      <c r="N236" t="n">
        <v>9.527520865113758</v>
      </c>
      <c r="O236" t="n">
        <v>9.578740634434283</v>
      </c>
      <c r="BH236" t="n">
        <v>7.433</v>
      </c>
      <c r="BS236" t="n">
        <v>-18.31</v>
      </c>
      <c r="CD236" t="n">
        <v>60.48</v>
      </c>
      <c r="CG236" t="n">
        <v>12.4</v>
      </c>
      <c r="CJ236" t="n">
        <v>12.36540532844328</v>
      </c>
      <c r="CK236" t="n">
        <v>12.64736098836445</v>
      </c>
      <c r="CL236" t="n">
        <v>12.42321184064858</v>
      </c>
      <c r="CM236" t="n">
        <v>12.50806942562456</v>
      </c>
      <c r="CN236" t="n">
        <v>12.56555339479857</v>
      </c>
      <c r="CO236" t="n">
        <v>12.97507245945495</v>
      </c>
      <c r="EH236" t="n">
        <v>12.581</v>
      </c>
      <c r="ES236" t="n">
        <v>1.46</v>
      </c>
      <c r="FD236" t="n">
        <v>1.58</v>
      </c>
      <c r="FG236" t="n">
        <v>5.9</v>
      </c>
      <c r="FJ236" t="n">
        <v>5.543895086083265</v>
      </c>
      <c r="FK236" t="n">
        <v>5.782833955489418</v>
      </c>
      <c r="FL236" t="n">
        <v>5.619021760175669</v>
      </c>
      <c r="FM236" t="n">
        <v>5.573254002110221</v>
      </c>
      <c r="FN236" t="n">
        <v>5.601716313544013</v>
      </c>
      <c r="FO236" t="n">
        <v>5.71392245873647</v>
      </c>
      <c r="HH236" t="n">
        <v>5.639</v>
      </c>
      <c r="HS236" t="n">
        <v>-4.42</v>
      </c>
      <c r="ID236" t="n">
        <v>1.47</v>
      </c>
      <c r="IG236" t="n">
        <v>12.7</v>
      </c>
      <c r="IJ236" t="n">
        <v>12.34089117586741</v>
      </c>
      <c r="IK236" t="n">
        <v>12.97504082407253</v>
      </c>
      <c r="IL236" t="n">
        <v>12.79187320542104</v>
      </c>
      <c r="IM236" t="n">
        <v>12.72607045712832</v>
      </c>
      <c r="IN236" t="n">
        <v>12.63633078136894</v>
      </c>
      <c r="KH236" t="n">
        <v>12.694</v>
      </c>
      <c r="KS236" t="n">
        <v>-0.05</v>
      </c>
      <c r="LD236" t="n">
        <v>1.64</v>
      </c>
    </row>
    <row r="237">
      <c r="A237" t="inlineStr">
        <is>
          <t>2026-05-25</t>
        </is>
      </c>
      <c r="B237" t="inlineStr">
        <is>
          <t>Critical Care 26</t>
        </is>
      </c>
      <c r="C237" t="inlineStr">
        <is>
          <t>105826052501</t>
        </is>
      </c>
      <c r="D237" t="inlineStr">
        <is>
          <t>Cl</t>
        </is>
      </c>
      <c r="F237" t="n">
        <v>5</v>
      </c>
      <c r="G237" t="n">
        <v>90</v>
      </c>
      <c r="H237" t="n">
        <v>540</v>
      </c>
      <c r="I237" t="n">
        <v>-360</v>
      </c>
      <c r="J237" t="n">
        <v>-8.155874003818219</v>
      </c>
      <c r="K237" t="n">
        <v>98.66762351919795</v>
      </c>
      <c r="L237" t="n">
        <v>94.68292359339503</v>
      </c>
      <c r="M237" t="n">
        <v>98.96816373389441</v>
      </c>
      <c r="N237" t="n">
        <v>99.27321078685864</v>
      </c>
      <c r="O237" t="n">
        <v>99.59379813856404</v>
      </c>
      <c r="BH237" t="n">
        <v>80.505</v>
      </c>
      <c r="BS237" t="n">
        <v>-10.55</v>
      </c>
      <c r="CD237" t="n">
        <v>49.29</v>
      </c>
      <c r="CF237" t="n">
        <v>5</v>
      </c>
      <c r="CG237" t="n">
        <v>91</v>
      </c>
      <c r="CH237" t="n">
        <v>546</v>
      </c>
      <c r="CI237" t="n">
        <v>-364</v>
      </c>
      <c r="CJ237" t="n">
        <v>91.52609839757127</v>
      </c>
      <c r="CK237" t="n">
        <v>91.29604397089221</v>
      </c>
      <c r="CL237" t="n">
        <v>89.76400982102277</v>
      </c>
      <c r="CM237" t="n">
        <v>91.47416069058724</v>
      </c>
      <c r="CN237" t="n">
        <v>92.07249657922361</v>
      </c>
      <c r="CO237" t="n">
        <v>94.68683757938308</v>
      </c>
      <c r="EH237" t="n">
        <v>91.803</v>
      </c>
      <c r="ES237" t="n">
        <v>0.88</v>
      </c>
      <c r="FD237" t="n">
        <v>1.6</v>
      </c>
      <c r="FF237" t="n">
        <v>5</v>
      </c>
      <c r="FG237" t="n">
        <v>77</v>
      </c>
      <c r="FH237" t="n">
        <v>462</v>
      </c>
      <c r="FI237" t="n">
        <v>-308</v>
      </c>
      <c r="FJ237" t="n">
        <v>79.54062454857311</v>
      </c>
      <c r="FK237" t="n">
        <v>79.07202675262062</v>
      </c>
      <c r="FL237" t="n">
        <v>83.30751879906228</v>
      </c>
      <c r="FM237" t="n">
        <v>81.53753631339214</v>
      </c>
      <c r="FN237" t="n">
        <v>82.89133935512692</v>
      </c>
      <c r="FO237" t="n">
        <v>84.53980257354016</v>
      </c>
      <c r="HH237" t="n">
        <v>81.815</v>
      </c>
      <c r="HS237" t="n">
        <v>6.25</v>
      </c>
      <c r="ID237" t="n">
        <v>2.42</v>
      </c>
      <c r="IF237" t="n">
        <v>5</v>
      </c>
      <c r="IG237" t="n">
        <v>118</v>
      </c>
      <c r="IH237" t="n">
        <v>708</v>
      </c>
      <c r="II237" t="n">
        <v>-472</v>
      </c>
      <c r="IJ237" t="n">
        <v>127.4135667249824</v>
      </c>
      <c r="IK237" t="n">
        <v>126.5084755821631</v>
      </c>
      <c r="IL237" t="n">
        <v>126.5642196758424</v>
      </c>
      <c r="IM237" t="n">
        <v>124.0051276294343</v>
      </c>
      <c r="IN237" t="n">
        <v>124.2636102970752</v>
      </c>
      <c r="KH237" t="n">
        <v>125.751</v>
      </c>
      <c r="KS237" t="n">
        <v>6.57</v>
      </c>
      <c r="LD237" t="n">
        <v>1.08</v>
      </c>
    </row>
    <row r="238">
      <c r="A238" t="inlineStr">
        <is>
          <t>2026-05-25</t>
        </is>
      </c>
      <c r="B238" t="inlineStr">
        <is>
          <t>Critical Care 26</t>
        </is>
      </c>
      <c r="C238" t="inlineStr">
        <is>
          <t>105826052501</t>
        </is>
      </c>
      <c r="D238" t="inlineStr">
        <is>
          <t>K</t>
        </is>
      </c>
      <c r="G238" t="n">
        <v>3.9</v>
      </c>
      <c r="J238" t="n">
        <v>-1.099709773046644</v>
      </c>
      <c r="K238" t="n">
        <v>4.515983927659097</v>
      </c>
      <c r="L238" t="n">
        <v>4.413535024936546</v>
      </c>
      <c r="M238" t="n">
        <v>4.301925898436584</v>
      </c>
      <c r="N238" t="n">
        <v>4.490810404767923</v>
      </c>
      <c r="O238" t="n">
        <v>4.549881303196954</v>
      </c>
      <c r="BH238" t="n">
        <v>3.529</v>
      </c>
      <c r="BS238" t="n">
        <v>-9.52</v>
      </c>
      <c r="CD238" t="n">
        <v>58.7</v>
      </c>
      <c r="CG238" t="n">
        <v>6</v>
      </c>
      <c r="CJ238" t="n">
        <v>7.448858397376429</v>
      </c>
      <c r="CK238" t="n">
        <v>6.880876140313961</v>
      </c>
      <c r="CL238" t="n">
        <v>7.061197479767089</v>
      </c>
      <c r="CM238" t="n">
        <v>7.155703027860423</v>
      </c>
      <c r="CN238" t="n">
        <v>7.062741749027421</v>
      </c>
      <c r="CO238" t="n">
        <v>7.489683481958958</v>
      </c>
      <c r="EH238" t="n">
        <v>7.183</v>
      </c>
      <c r="ES238" t="n">
        <v>19.72</v>
      </c>
      <c r="FD238" t="n">
        <v>3.04</v>
      </c>
      <c r="FG238" t="n">
        <v>2.2</v>
      </c>
      <c r="FJ238" t="n">
        <v>2.882252856793209</v>
      </c>
      <c r="FK238" t="n">
        <v>2.397134307841023</v>
      </c>
      <c r="FL238" t="n">
        <v>2.837685358203705</v>
      </c>
      <c r="FM238" t="n">
        <v>2.917620291430755</v>
      </c>
      <c r="FN238" t="n">
        <v>2.898563035815641</v>
      </c>
      <c r="FO238" t="n">
        <v>2.822134230479614</v>
      </c>
      <c r="HH238" t="n">
        <v>2.793</v>
      </c>
      <c r="HS238" t="n">
        <v>26.93</v>
      </c>
      <c r="ID238" t="n">
        <v>6.44</v>
      </c>
      <c r="IG238" t="n">
        <v>8.4</v>
      </c>
      <c r="IJ238" t="n">
        <v>10.07526041755253</v>
      </c>
      <c r="IK238" t="n">
        <v>9.710946465444795</v>
      </c>
      <c r="IL238" t="n">
        <v>9.706199365321794</v>
      </c>
      <c r="IM238" t="n">
        <v>9.776100490491547</v>
      </c>
      <c r="IN238" t="n">
        <v>9.905106590324969</v>
      </c>
      <c r="KH238" t="n">
        <v>9.835000000000001</v>
      </c>
      <c r="KS238" t="n">
        <v>17.08</v>
      </c>
      <c r="LD238" t="n">
        <v>1.42</v>
      </c>
    </row>
    <row r="239">
      <c r="A239" t="inlineStr">
        <is>
          <t>2026-05-25</t>
        </is>
      </c>
      <c r="B239" t="inlineStr">
        <is>
          <t>Critical Care 26</t>
        </is>
      </c>
      <c r="C239" t="inlineStr">
        <is>
          <t>105826052501</t>
        </is>
      </c>
      <c r="D239" t="inlineStr">
        <is>
          <t>LAC</t>
        </is>
      </c>
      <c r="F239" t="n">
        <v>15</v>
      </c>
      <c r="G239" t="n">
        <v>4.399999999999999</v>
      </c>
      <c r="H239" t="n">
        <v>70.39999999999999</v>
      </c>
      <c r="I239" t="n">
        <v>-61.59999999999999</v>
      </c>
      <c r="J239" t="n">
        <v>0.993860761226725</v>
      </c>
      <c r="K239" t="n">
        <v>4.218523989896283</v>
      </c>
      <c r="L239" t="n">
        <v>4.516462284665731</v>
      </c>
      <c r="M239" t="n">
        <v>4.320804112898004</v>
      </c>
      <c r="N239" t="n">
        <v>4.29920428254278</v>
      </c>
      <c r="O239" t="n">
        <v>4.62424668823274</v>
      </c>
      <c r="BH239" t="n">
        <v>3.829</v>
      </c>
      <c r="BS239" t="n">
        <v>-12.98</v>
      </c>
      <c r="CD239" t="n">
        <v>33.31</v>
      </c>
      <c r="CF239" t="n">
        <v>15</v>
      </c>
      <c r="CG239" t="n">
        <v>1.15</v>
      </c>
      <c r="CH239" t="n">
        <v>18.4</v>
      </c>
      <c r="CI239" t="n">
        <v>-16.1</v>
      </c>
      <c r="CJ239" t="n">
        <v>1.158057417978425</v>
      </c>
      <c r="CK239" t="n">
        <v>1.175908645789766</v>
      </c>
      <c r="CL239" t="n">
        <v>1.186833086339281</v>
      </c>
      <c r="CM239" t="n">
        <v>1.168390071052578</v>
      </c>
      <c r="CN239" t="n">
        <v>1.195109916495381</v>
      </c>
      <c r="CO239" t="n">
        <v>1.177588330009979</v>
      </c>
      <c r="EH239" t="n">
        <v>1.177</v>
      </c>
      <c r="ES239" t="n">
        <v>2.35</v>
      </c>
      <c r="FD239" t="n">
        <v>1.02</v>
      </c>
      <c r="FF239" t="n">
        <v>15</v>
      </c>
      <c r="FG239" t="n">
        <v>1.45</v>
      </c>
      <c r="FH239" t="n">
        <v>23.2</v>
      </c>
      <c r="FI239" t="n">
        <v>-20.3</v>
      </c>
      <c r="FJ239" t="n">
        <v>1.415987224373676</v>
      </c>
      <c r="FK239" t="n">
        <v>1.50875403115813</v>
      </c>
      <c r="FL239" t="n">
        <v>1.446827280654861</v>
      </c>
      <c r="FM239" t="n">
        <v>1.476149986527481</v>
      </c>
      <c r="FN239" t="n">
        <v>1.480301746256772</v>
      </c>
      <c r="FO239" t="n">
        <v>1.41491592207928</v>
      </c>
      <c r="HH239" t="n">
        <v>1.457</v>
      </c>
      <c r="HS239" t="n">
        <v>0.49</v>
      </c>
      <c r="ID239" t="n">
        <v>2.37</v>
      </c>
      <c r="IF239" t="n">
        <v>15</v>
      </c>
      <c r="IG239" t="n">
        <v>5.899999999999999</v>
      </c>
      <c r="IH239" t="n">
        <v>94.39999999999999</v>
      </c>
      <c r="II239" t="n">
        <v>-82.59999999999999</v>
      </c>
      <c r="IJ239" t="n">
        <v>5.631067760083505</v>
      </c>
      <c r="IK239" t="n">
        <v>6.383439952203048</v>
      </c>
      <c r="IL239" t="n">
        <v>6.018185361897245</v>
      </c>
      <c r="IM239" t="n">
        <v>5.8381535392213</v>
      </c>
      <c r="IN239" t="n">
        <v>5.929664361268119</v>
      </c>
      <c r="KH239" t="n">
        <v>5.96</v>
      </c>
      <c r="KS239" t="n">
        <v>1.02</v>
      </c>
      <c r="LD239" t="n">
        <v>4.16</v>
      </c>
    </row>
    <row r="240">
      <c r="A240" t="inlineStr">
        <is>
          <t>2026-05-25</t>
        </is>
      </c>
      <c r="B240" t="inlineStr">
        <is>
          <t>Critical Care 26</t>
        </is>
      </c>
      <c r="C240" t="inlineStr">
        <is>
          <t>105826052501</t>
        </is>
      </c>
      <c r="D240" t="inlineStr">
        <is>
          <t>Na</t>
        </is>
      </c>
      <c r="G240" t="n">
        <v>141</v>
      </c>
      <c r="J240" t="n">
        <v>74.6037087858958</v>
      </c>
      <c r="K240" t="n">
        <v>128.2233022401059</v>
      </c>
      <c r="L240" t="n">
        <v>126.5707469208267</v>
      </c>
      <c r="M240" t="n">
        <v>125.3808652844142</v>
      </c>
      <c r="N240" t="n">
        <v>127.2002628678995</v>
      </c>
      <c r="O240" t="n">
        <v>126.7006952457004</v>
      </c>
      <c r="BH240" t="n">
        <v>118.113</v>
      </c>
      <c r="BS240" t="n">
        <v>-16.23</v>
      </c>
      <c r="CD240" t="n">
        <v>16.49</v>
      </c>
      <c r="CG240" t="n">
        <v>129</v>
      </c>
      <c r="CJ240" t="n">
        <v>118.2983360109049</v>
      </c>
      <c r="CK240" t="n">
        <v>115.8615001882524</v>
      </c>
      <c r="CL240" t="n">
        <v>115.4051687011033</v>
      </c>
      <c r="CM240" t="n">
        <v>118.9690591586066</v>
      </c>
      <c r="CN240" t="n">
        <v>116.6325747484594</v>
      </c>
      <c r="CO240" t="n">
        <v>117.8846429772935</v>
      </c>
      <c r="EH240" t="n">
        <v>117.175</v>
      </c>
      <c r="ES240" t="n">
        <v>-9.17</v>
      </c>
      <c r="FD240" t="n">
        <v>1.11</v>
      </c>
      <c r="FG240" t="n">
        <v>118</v>
      </c>
      <c r="FJ240" t="n">
        <v>110.8676294803442</v>
      </c>
      <c r="FK240" t="n">
        <v>105.8204468292555</v>
      </c>
      <c r="FL240" t="n">
        <v>108.9197064867784</v>
      </c>
      <c r="FM240" t="n">
        <v>110.0817489770568</v>
      </c>
      <c r="FN240" t="n">
        <v>108.204774268433</v>
      </c>
      <c r="FO240" t="n">
        <v>107.0505814110122</v>
      </c>
      <c r="HH240" t="n">
        <v>108.491</v>
      </c>
      <c r="HS240" t="n">
        <v>-8.06</v>
      </c>
      <c r="ID240" t="n">
        <v>1.58</v>
      </c>
      <c r="IG240" t="n">
        <v>166</v>
      </c>
      <c r="IJ240" t="n">
        <v>141.870515424475</v>
      </c>
      <c r="IK240" t="n">
        <v>139.6219983788651</v>
      </c>
      <c r="IL240" t="n">
        <v>141.0303401809854</v>
      </c>
      <c r="IM240" t="n">
        <v>141.758433701563</v>
      </c>
      <c r="IN240" t="n">
        <v>140.5131846424829</v>
      </c>
      <c r="KH240" t="n">
        <v>140.959</v>
      </c>
      <c r="KS240" t="n">
        <v>-15.09</v>
      </c>
      <c r="LD240" t="n">
        <v>0.59</v>
      </c>
    </row>
    <row r="241">
      <c r="A241" t="inlineStr">
        <is>
          <t>2026-05-25</t>
        </is>
      </c>
      <c r="B241" t="inlineStr">
        <is>
          <t>Critical Care 26</t>
        </is>
      </c>
      <c r="C241" t="inlineStr">
        <is>
          <t>105826052501</t>
        </is>
      </c>
      <c r="D241" t="inlineStr">
        <is>
          <t>TCO2</t>
        </is>
      </c>
      <c r="F241" t="n">
        <v>20</v>
      </c>
      <c r="G241" t="n">
        <v>32.5</v>
      </c>
      <c r="H241" t="n">
        <v>682.5</v>
      </c>
      <c r="I241" t="n">
        <v>-617.5</v>
      </c>
      <c r="J241" t="n">
        <v>4.503351659469416</v>
      </c>
      <c r="K241" t="n">
        <v>32.38442381754869</v>
      </c>
      <c r="L241" t="n">
        <v>30.4858623663884</v>
      </c>
      <c r="M241" t="n">
        <v>33.16341113044498</v>
      </c>
      <c r="N241" t="n">
        <v>32.42198827574818</v>
      </c>
      <c r="O241" t="n">
        <v>30.88791718123473</v>
      </c>
      <c r="BH241" t="n">
        <v>27.308</v>
      </c>
      <c r="BS241" t="n">
        <v>-15.98</v>
      </c>
      <c r="CD241" t="n">
        <v>37.5</v>
      </c>
      <c r="CF241" t="n">
        <v>20</v>
      </c>
      <c r="CG241" t="n">
        <v>21.2</v>
      </c>
      <c r="CH241" t="n">
        <v>445.2</v>
      </c>
      <c r="CI241" t="n">
        <v>-402.8</v>
      </c>
      <c r="CJ241" t="n">
        <v>20.45933754717101</v>
      </c>
      <c r="CK241" t="n">
        <v>22.63329986709105</v>
      </c>
      <c r="CL241" t="n">
        <v>20.3567063422871</v>
      </c>
      <c r="CM241" t="n">
        <v>20.71608588988188</v>
      </c>
      <c r="CN241" t="n">
        <v>20.36620130234298</v>
      </c>
      <c r="CO241" t="n">
        <v>19.70722327283271</v>
      </c>
      <c r="EH241" t="n">
        <v>20.706</v>
      </c>
      <c r="ES241" t="n">
        <v>-2.33</v>
      </c>
      <c r="FD241" t="n">
        <v>4.41</v>
      </c>
      <c r="FF241" t="n">
        <v>20</v>
      </c>
      <c r="FG241" t="n">
        <v>17.3</v>
      </c>
      <c r="FH241" t="n">
        <v>363.3</v>
      </c>
      <c r="FI241" t="n">
        <v>-328.7</v>
      </c>
      <c r="FJ241" t="n">
        <v>19.10218683372502</v>
      </c>
      <c r="FK241" t="n">
        <v>20.44112386493859</v>
      </c>
      <c r="FL241" t="n">
        <v>21.02139060887362</v>
      </c>
      <c r="FM241" t="n">
        <v>20.37853578495366</v>
      </c>
      <c r="FN241" t="n">
        <v>22.09808400992227</v>
      </c>
      <c r="FO241" t="n">
        <v>18.51739405434187</v>
      </c>
      <c r="HH241" t="n">
        <v>20.26</v>
      </c>
      <c r="HS241" t="n">
        <v>17.11</v>
      </c>
      <c r="ID241" t="n">
        <v>5.83</v>
      </c>
      <c r="IF241" t="n">
        <v>20</v>
      </c>
      <c r="IG241" t="n">
        <v>26.7</v>
      </c>
      <c r="IH241" t="n">
        <v>560.6999999999999</v>
      </c>
      <c r="II241" t="n">
        <v>-507.3</v>
      </c>
      <c r="IJ241" t="n">
        <v>27.59063128392074</v>
      </c>
      <c r="IK241" t="n">
        <v>28.96637779674986</v>
      </c>
      <c r="IL241" t="n">
        <v>28.31037316911956</v>
      </c>
      <c r="IM241" t="n">
        <v>30.22427638359532</v>
      </c>
      <c r="IN241" t="n">
        <v>26.21899372275798</v>
      </c>
      <c r="KH241" t="n">
        <v>28.262</v>
      </c>
      <c r="KS241" t="n">
        <v>5.85</v>
      </c>
      <c r="LD241" t="n">
        <v>4.74</v>
      </c>
    </row>
    <row r="242">
      <c r="A242" t="inlineStr">
        <is>
          <t>2026-05-25</t>
        </is>
      </c>
      <c r="B242" t="inlineStr">
        <is>
          <t>Critical Care 26</t>
        </is>
      </c>
      <c r="C242" t="inlineStr">
        <is>
          <t>105726052501</t>
        </is>
      </c>
      <c r="D242" t="inlineStr">
        <is>
          <t>ALB</t>
        </is>
      </c>
      <c r="F242" t="n">
        <v>8</v>
      </c>
      <c r="G242" t="n">
        <v>4.2</v>
      </c>
      <c r="H242" t="n">
        <v>37.8</v>
      </c>
      <c r="I242" t="n">
        <v>-29.4</v>
      </c>
      <c r="J242" t="n">
        <v>-0.4560561403637871</v>
      </c>
      <c r="K242" t="n">
        <v>4.235250682224599</v>
      </c>
      <c r="L242" t="n">
        <v>4.054141291317232</v>
      </c>
      <c r="M242" t="n">
        <v>4.110611688933329</v>
      </c>
      <c r="N242" t="n">
        <v>4.252329086110204</v>
      </c>
      <c r="O242" t="n">
        <v>4.053878798729428</v>
      </c>
      <c r="BH242" t="n">
        <v>3.375</v>
      </c>
      <c r="BS242" t="n">
        <v>-19.64</v>
      </c>
      <c r="CD242" t="n">
        <v>50.82</v>
      </c>
      <c r="CF242" t="n">
        <v>8</v>
      </c>
      <c r="CG242" t="n">
        <v>2.7</v>
      </c>
      <c r="CH242" t="n">
        <v>24.3</v>
      </c>
      <c r="CI242" t="n">
        <v>-18.9</v>
      </c>
      <c r="CJ242" t="n">
        <v>2.788278824278015</v>
      </c>
      <c r="CK242" t="n">
        <v>2.767318847913408</v>
      </c>
      <c r="CL242" t="n">
        <v>2.670727212717838</v>
      </c>
      <c r="CM242" t="n">
        <v>2.808036839342941</v>
      </c>
      <c r="CN242" t="n">
        <v>2.752911878322535</v>
      </c>
      <c r="CO242" t="n">
        <v>2.723413953661522</v>
      </c>
      <c r="EH242" t="n">
        <v>2.752</v>
      </c>
      <c r="ES242" t="n">
        <v>1.92</v>
      </c>
      <c r="FD242" t="n">
        <v>1.63</v>
      </c>
      <c r="FF242" t="n">
        <v>8</v>
      </c>
      <c r="FG242" t="n">
        <v>2.6</v>
      </c>
      <c r="FH242" t="n">
        <v>23.4</v>
      </c>
      <c r="FI242" t="n">
        <v>-18.2</v>
      </c>
      <c r="FJ242" t="n">
        <v>2.682728956183428</v>
      </c>
      <c r="FK242" t="n">
        <v>2.571140094413082</v>
      </c>
      <c r="FL242" t="n">
        <v>2.470684480868322</v>
      </c>
      <c r="FM242" t="n">
        <v>2.777380975447153</v>
      </c>
      <c r="FN242" t="n">
        <v>2.604470801751371</v>
      </c>
      <c r="FO242" t="n">
        <v>2.571739827415372</v>
      </c>
      <c r="HH242" t="n">
        <v>2.613</v>
      </c>
      <c r="HS242" t="n">
        <v>0.5</v>
      </c>
      <c r="ID242" t="n">
        <v>3.69</v>
      </c>
      <c r="IF242" t="n">
        <v>8</v>
      </c>
      <c r="IG242" t="n">
        <v>4.2</v>
      </c>
      <c r="IH242" t="n">
        <v>37.8</v>
      </c>
      <c r="II242" t="n">
        <v>-29.4</v>
      </c>
      <c r="IJ242" t="n">
        <v>4.241139104894074</v>
      </c>
      <c r="IK242" t="n">
        <v>4.115919069881646</v>
      </c>
      <c r="IL242" t="n">
        <v>4.15477610073651</v>
      </c>
      <c r="IM242" t="n">
        <v>4.247184609844274</v>
      </c>
      <c r="IN242" t="n">
        <v>4.052774964549775</v>
      </c>
      <c r="KH242" t="n">
        <v>4.162</v>
      </c>
      <c r="KS242" t="n">
        <v>-0.9</v>
      </c>
      <c r="LD242" t="n">
        <v>1.79</v>
      </c>
    </row>
    <row r="243">
      <c r="A243" t="inlineStr">
        <is>
          <t>2026-05-25</t>
        </is>
      </c>
      <c r="B243" t="inlineStr">
        <is>
          <t>Critical Care 26</t>
        </is>
      </c>
      <c r="C243" t="inlineStr">
        <is>
          <t>105726052501</t>
        </is>
      </c>
      <c r="D243" t="inlineStr">
        <is>
          <t>ALP</t>
        </is>
      </c>
      <c r="F243" t="n">
        <v>20</v>
      </c>
      <c r="G243" t="n">
        <v>136</v>
      </c>
      <c r="H243" t="n">
        <v>2856</v>
      </c>
      <c r="I243" t="n">
        <v>-2584</v>
      </c>
      <c r="J243" t="n">
        <v>55.56330214579739</v>
      </c>
      <c r="K243" t="n">
        <v>143.910690223658</v>
      </c>
      <c r="L243" t="n">
        <v>141.9172573834598</v>
      </c>
      <c r="M243" t="n">
        <v>142.820182901046</v>
      </c>
      <c r="N243" t="n">
        <v>142.4806931962784</v>
      </c>
      <c r="O243" t="n">
        <v>143.8366875123257</v>
      </c>
      <c r="BH243" t="n">
        <v>128.421</v>
      </c>
      <c r="BS243" t="n">
        <v>-5.57</v>
      </c>
      <c r="CD243" t="n">
        <v>25.38</v>
      </c>
      <c r="CF243" t="n">
        <v>20</v>
      </c>
      <c r="CG243" t="n">
        <v>456</v>
      </c>
      <c r="CH243" t="n">
        <v>9576</v>
      </c>
      <c r="CI243" t="n">
        <v>-8664</v>
      </c>
      <c r="CJ243" t="n">
        <v>461.5099873317725</v>
      </c>
      <c r="CK243" t="n">
        <v>456.6910802565492</v>
      </c>
      <c r="CL243" t="n">
        <v>461.6351729023066</v>
      </c>
      <c r="CM243" t="n">
        <v>452.2978266486794</v>
      </c>
      <c r="CN243" t="n">
        <v>455.4234963376391</v>
      </c>
      <c r="CO243" t="n">
        <v>462.8460207910291</v>
      </c>
      <c r="EH243" t="n">
        <v>458.401</v>
      </c>
      <c r="ES243" t="n">
        <v>0.53</v>
      </c>
      <c r="FD243" t="n">
        <v>0.84</v>
      </c>
      <c r="FF243" t="n">
        <v>20</v>
      </c>
      <c r="FG243" t="n">
        <v>75</v>
      </c>
      <c r="FH243" t="n">
        <v>1575</v>
      </c>
      <c r="FI243" t="n">
        <v>-1425</v>
      </c>
      <c r="FJ243" t="n">
        <v>73.00229560332723</v>
      </c>
      <c r="FK243" t="n">
        <v>72.25214006783605</v>
      </c>
      <c r="FL243" t="n">
        <v>72.19364471050112</v>
      </c>
      <c r="FM243" t="n">
        <v>72.23546414089788</v>
      </c>
      <c r="FN243" t="n">
        <v>72.02093200067667</v>
      </c>
      <c r="FO243" t="n">
        <v>72.02090443854274</v>
      </c>
      <c r="HH243" t="n">
        <v>72.288</v>
      </c>
      <c r="HS243" t="n">
        <v>-3.62</v>
      </c>
      <c r="ID243" t="n">
        <v>0.46</v>
      </c>
      <c r="IF243" t="n">
        <v>20</v>
      </c>
      <c r="IG243" t="n">
        <v>251</v>
      </c>
      <c r="IH243" t="n">
        <v>5271</v>
      </c>
      <c r="II243" t="n">
        <v>-4769</v>
      </c>
      <c r="IJ243" t="n">
        <v>228.5111193170087</v>
      </c>
      <c r="IK243" t="n">
        <v>224.3589747677017</v>
      </c>
      <c r="IL243" t="n">
        <v>223.7271745134052</v>
      </c>
      <c r="IM243" t="n">
        <v>227.026581336139</v>
      </c>
      <c r="IN243" t="n">
        <v>225.5236971078996</v>
      </c>
      <c r="KH243" t="n">
        <v>225.83</v>
      </c>
      <c r="KS243" t="n">
        <v>-10.03</v>
      </c>
      <c r="LD243" t="n">
        <v>0.77</v>
      </c>
    </row>
    <row r="244">
      <c r="A244" t="inlineStr">
        <is>
          <t>2026-05-25</t>
        </is>
      </c>
      <c r="B244" t="inlineStr">
        <is>
          <t>Critical Care 26</t>
        </is>
      </c>
      <c r="C244" t="inlineStr">
        <is>
          <t>105726052501</t>
        </is>
      </c>
      <c r="D244" t="inlineStr">
        <is>
          <t>ALT</t>
        </is>
      </c>
      <c r="F244" t="n">
        <v>15</v>
      </c>
      <c r="G244" t="n">
        <v>28</v>
      </c>
      <c r="H244" t="n">
        <v>448</v>
      </c>
      <c r="I244" t="n">
        <v>-392</v>
      </c>
      <c r="J244" t="n">
        <v>-8.503884443926644</v>
      </c>
      <c r="K244" t="n">
        <v>29.79069271769864</v>
      </c>
      <c r="L244" t="n">
        <v>29.09082015729117</v>
      </c>
      <c r="M244" t="n">
        <v>28.09079828800463</v>
      </c>
      <c r="N244" t="n">
        <v>29.06520095596958</v>
      </c>
      <c r="O244" t="n">
        <v>31.96567339957722</v>
      </c>
      <c r="BH244" t="n">
        <v>23.25</v>
      </c>
      <c r="BS244" t="n">
        <v>-16.96</v>
      </c>
      <c r="CD244" t="n">
        <v>61.29</v>
      </c>
      <c r="CF244" t="n">
        <v>15</v>
      </c>
      <c r="CG244" t="n">
        <v>115</v>
      </c>
      <c r="CH244" t="n">
        <v>1840</v>
      </c>
      <c r="CI244" t="n">
        <v>-1610</v>
      </c>
      <c r="CJ244" t="n">
        <v>124.7261542573831</v>
      </c>
      <c r="CK244" t="n">
        <v>125.5567605643367</v>
      </c>
      <c r="CL244" t="n">
        <v>124.8410991343602</v>
      </c>
      <c r="CM244" t="n">
        <v>122.5903623579286</v>
      </c>
      <c r="CN244" t="n">
        <v>124.5806059530895</v>
      </c>
      <c r="CO244" t="n">
        <v>127.7011703986161</v>
      </c>
      <c r="EH244" t="n">
        <v>124.999</v>
      </c>
      <c r="ES244" t="n">
        <v>8.699999999999999</v>
      </c>
      <c r="FD244" t="n">
        <v>1.21</v>
      </c>
      <c r="FF244" t="n">
        <v>15</v>
      </c>
      <c r="FG244" t="n">
        <v>26</v>
      </c>
      <c r="FH244" t="n">
        <v>416</v>
      </c>
      <c r="FI244" t="n">
        <v>-364</v>
      </c>
      <c r="FJ244" t="n">
        <v>23.78366870727571</v>
      </c>
      <c r="FK244" t="n">
        <v>23.07430583662778</v>
      </c>
      <c r="FL244" t="n">
        <v>22.52392607053356</v>
      </c>
      <c r="FM244" t="n">
        <v>21.16539271954092</v>
      </c>
      <c r="FN244" t="n">
        <v>24.33288217148118</v>
      </c>
      <c r="FO244" t="n">
        <v>26.08999432386838</v>
      </c>
      <c r="HH244" t="n">
        <v>23.495</v>
      </c>
      <c r="HS244" t="n">
        <v>-9.630000000000001</v>
      </c>
      <c r="ID244" t="n">
        <v>6.52</v>
      </c>
      <c r="IF244" t="n">
        <v>15</v>
      </c>
      <c r="IG244" t="n">
        <v>217</v>
      </c>
      <c r="IH244" t="n">
        <v>3472</v>
      </c>
      <c r="II244" t="n">
        <v>-3038</v>
      </c>
      <c r="IJ244" t="n">
        <v>221.0805636063879</v>
      </c>
      <c r="IK244" t="n">
        <v>208.4434947469325</v>
      </c>
      <c r="IL244" t="n">
        <v>215.4502378892734</v>
      </c>
      <c r="IM244" t="n">
        <v>213.4156872696833</v>
      </c>
      <c r="IN244" t="n">
        <v>215.5608285848461</v>
      </c>
      <c r="KH244" t="n">
        <v>214.79</v>
      </c>
      <c r="KS244" t="n">
        <v>-1.02</v>
      </c>
      <c r="LD244" t="n">
        <v>1.89</v>
      </c>
    </row>
    <row r="245">
      <c r="A245" t="inlineStr">
        <is>
          <t>2026-05-25</t>
        </is>
      </c>
      <c r="B245" t="inlineStr">
        <is>
          <t>Critical Care 26</t>
        </is>
      </c>
      <c r="C245" t="inlineStr">
        <is>
          <t>105726052501</t>
        </is>
      </c>
      <c r="D245" t="inlineStr">
        <is>
          <t>BUN</t>
        </is>
      </c>
      <c r="F245" t="n">
        <v>9</v>
      </c>
      <c r="G245" t="n">
        <v>14.8</v>
      </c>
      <c r="H245" t="n">
        <v>148</v>
      </c>
      <c r="I245" t="n">
        <v>-118.4</v>
      </c>
      <c r="J245" t="n">
        <v>-0.7919125050437609</v>
      </c>
      <c r="K245" t="n">
        <v>15.2353754328542</v>
      </c>
      <c r="L245" t="n">
        <v>15.01611021443797</v>
      </c>
      <c r="M245" t="n">
        <v>14.91905102337041</v>
      </c>
      <c r="N245" t="n">
        <v>14.84964959001285</v>
      </c>
      <c r="O245" t="n">
        <v>15.019242353829</v>
      </c>
      <c r="BH245" t="n">
        <v>12.375</v>
      </c>
      <c r="BS245" t="n">
        <v>-16.39</v>
      </c>
      <c r="CD245" t="n">
        <v>47.59</v>
      </c>
      <c r="CF245" t="n">
        <v>9</v>
      </c>
      <c r="CG245" t="n">
        <v>44.7</v>
      </c>
      <c r="CH245" t="n">
        <v>447</v>
      </c>
      <c r="CI245" t="n">
        <v>-357.6</v>
      </c>
      <c r="CJ245" t="n">
        <v>46.25138512743402</v>
      </c>
      <c r="CK245" t="n">
        <v>45.34800673712624</v>
      </c>
      <c r="CL245" t="n">
        <v>45.45589404048852</v>
      </c>
      <c r="CM245" t="n">
        <v>45.3035611228029</v>
      </c>
      <c r="CN245" t="n">
        <v>45.55532044803094</v>
      </c>
      <c r="CO245" t="n">
        <v>46.48030854825992</v>
      </c>
      <c r="EH245" t="n">
        <v>45.732</v>
      </c>
      <c r="ES245" t="n">
        <v>2.31</v>
      </c>
      <c r="FD245" t="n">
        <v>1.01</v>
      </c>
      <c r="FF245" t="n">
        <v>9</v>
      </c>
      <c r="FG245" t="n">
        <v>14.7</v>
      </c>
      <c r="FH245" t="n">
        <v>147</v>
      </c>
      <c r="FI245" t="n">
        <v>-117.6</v>
      </c>
      <c r="FJ245" t="n">
        <v>15.39808490128517</v>
      </c>
      <c r="FK245" t="n">
        <v>15.00362934179185</v>
      </c>
      <c r="FL245" t="n">
        <v>15.26029554829929</v>
      </c>
      <c r="FM245" t="n">
        <v>15.31159782309325</v>
      </c>
      <c r="FN245" t="n">
        <v>15.33449268089471</v>
      </c>
      <c r="FO245" t="n">
        <v>14.83687634051305</v>
      </c>
      <c r="HH245" t="n">
        <v>15.191</v>
      </c>
      <c r="HS245" t="n">
        <v>3.34</v>
      </c>
      <c r="ID245" t="n">
        <v>1.33</v>
      </c>
      <c r="IF245" t="n">
        <v>9</v>
      </c>
      <c r="IG245" t="n">
        <v>65.7</v>
      </c>
      <c r="IH245" t="n">
        <v>657</v>
      </c>
      <c r="II245" t="n">
        <v>-525.6</v>
      </c>
      <c r="IJ245" t="n">
        <v>67.13184109965269</v>
      </c>
      <c r="IK245" t="n">
        <v>66.51210784490539</v>
      </c>
      <c r="IL245" t="n">
        <v>66.85061770359333</v>
      </c>
      <c r="IM245" t="n">
        <v>66.69641253818179</v>
      </c>
      <c r="IN245" t="n">
        <v>65.48403639767955</v>
      </c>
      <c r="KH245" t="n">
        <v>66.535</v>
      </c>
      <c r="KS245" t="n">
        <v>1.27</v>
      </c>
      <c r="LD245" t="n">
        <v>0.85</v>
      </c>
    </row>
    <row r="246">
      <c r="A246" t="inlineStr">
        <is>
          <t>2026-05-25</t>
        </is>
      </c>
      <c r="B246" t="inlineStr">
        <is>
          <t>Critical Care 26</t>
        </is>
      </c>
      <c r="C246" t="inlineStr">
        <is>
          <t>105726052501</t>
        </is>
      </c>
      <c r="D246" t="inlineStr">
        <is>
          <t>CREA</t>
        </is>
      </c>
      <c r="F246" t="n">
        <v>10</v>
      </c>
      <c r="G246" t="n">
        <v>1.5</v>
      </c>
      <c r="H246" t="n">
        <v>16.5</v>
      </c>
      <c r="I246" t="n">
        <v>-13.5</v>
      </c>
      <c r="J246" t="n">
        <v>0.1038228838560402</v>
      </c>
      <c r="K246" t="n">
        <v>1.319993851778241</v>
      </c>
      <c r="L246" t="n">
        <v>1.327524683175102</v>
      </c>
      <c r="M246" t="n">
        <v>1.293254360619482</v>
      </c>
      <c r="N246" t="n">
        <v>1.325423234378868</v>
      </c>
      <c r="O246" t="n">
        <v>1.305580553449875</v>
      </c>
      <c r="BH246" t="n">
        <v>1.113</v>
      </c>
      <c r="BS246" t="n">
        <v>-25.83</v>
      </c>
      <c r="CD246" t="n">
        <v>40.56</v>
      </c>
      <c r="CF246" t="n">
        <v>10</v>
      </c>
      <c r="CG246" t="n">
        <v>5.55</v>
      </c>
      <c r="CH246" t="n">
        <v>61.05</v>
      </c>
      <c r="CI246" t="n">
        <v>-49.95</v>
      </c>
      <c r="CJ246" t="n">
        <v>4.73656675336545</v>
      </c>
      <c r="CK246" t="n">
        <v>4.846878293363314</v>
      </c>
      <c r="CL246" t="n">
        <v>4.748257766266099</v>
      </c>
      <c r="CM246" t="n">
        <v>4.742485261461411</v>
      </c>
      <c r="CN246" t="n">
        <v>4.792652204730539</v>
      </c>
      <c r="CO246" t="n">
        <v>4.883889508046039</v>
      </c>
      <c r="EH246" t="n">
        <v>4.792</v>
      </c>
      <c r="ES246" t="n">
        <v>-13.66</v>
      </c>
      <c r="FD246" t="n">
        <v>1.17</v>
      </c>
      <c r="FF246" t="n">
        <v>10</v>
      </c>
      <c r="FG246" t="n">
        <v>0.97</v>
      </c>
      <c r="FH246" t="n">
        <v>10.67</v>
      </c>
      <c r="FI246" t="n">
        <v>-8.73</v>
      </c>
      <c r="FJ246" t="n">
        <v>0.7202391131090464</v>
      </c>
      <c r="FK246" t="n">
        <v>0.8023419478916197</v>
      </c>
      <c r="FL246" t="n">
        <v>0.7196328678109469</v>
      </c>
      <c r="FM246" t="n">
        <v>0.7330181253172419</v>
      </c>
      <c r="FN246" t="n">
        <v>0.8032326166154379</v>
      </c>
      <c r="FO246" t="n">
        <v>0.758650790261257</v>
      </c>
      <c r="HH246" t="n">
        <v>0.756</v>
      </c>
      <c r="HS246" t="n">
        <v>-22.04</v>
      </c>
      <c r="ID246" t="n">
        <v>4.68</v>
      </c>
      <c r="IF246" t="n">
        <v>10</v>
      </c>
      <c r="IG246" t="n">
        <v>5.95</v>
      </c>
      <c r="IH246" t="n">
        <v>65.45</v>
      </c>
      <c r="II246" t="n">
        <v>-53.55</v>
      </c>
      <c r="IJ246" t="n">
        <v>5.452649332607079</v>
      </c>
      <c r="IK246" t="n">
        <v>5.482043531793834</v>
      </c>
      <c r="IL246" t="n">
        <v>5.445123455253875</v>
      </c>
      <c r="IM246" t="n">
        <v>5.58928416294957</v>
      </c>
      <c r="IN246" t="n">
        <v>5.504282892009042</v>
      </c>
      <c r="KH246" t="n">
        <v>5.495</v>
      </c>
      <c r="KS246" t="n">
        <v>-7.65</v>
      </c>
      <c r="LD246" t="n">
        <v>0.9399999999999999</v>
      </c>
    </row>
    <row r="247">
      <c r="A247" t="inlineStr">
        <is>
          <t>2026-05-25</t>
        </is>
      </c>
      <c r="B247" t="inlineStr">
        <is>
          <t>Critical Care 26</t>
        </is>
      </c>
      <c r="C247" t="inlineStr">
        <is>
          <t>105726052501</t>
        </is>
      </c>
      <c r="D247" t="inlineStr">
        <is>
          <t>GLU</t>
        </is>
      </c>
      <c r="F247" t="n">
        <v>8</v>
      </c>
      <c r="G247" t="n">
        <v>90.16</v>
      </c>
      <c r="H247" t="n">
        <v>811.4399999999999</v>
      </c>
      <c r="I247" t="n">
        <v>-631.12</v>
      </c>
      <c r="J247" t="n">
        <v>8.495609964857374</v>
      </c>
      <c r="K247" t="n">
        <v>97.63783582861736</v>
      </c>
      <c r="L247" t="n">
        <v>94.89812866946912</v>
      </c>
      <c r="M247" t="n">
        <v>94.47245117832907</v>
      </c>
      <c r="N247" t="n">
        <v>95.05196567315872</v>
      </c>
      <c r="O247" t="n">
        <v>94.94949411874963</v>
      </c>
      <c r="BH247" t="n">
        <v>80.91800000000001</v>
      </c>
      <c r="BS247" t="n">
        <v>-10.25</v>
      </c>
      <c r="CD247" t="n">
        <v>40.05</v>
      </c>
      <c r="CF247" t="n">
        <v>8</v>
      </c>
      <c r="CG247" t="n">
        <v>293.02</v>
      </c>
      <c r="CH247" t="n">
        <v>2637.18</v>
      </c>
      <c r="CI247" t="n">
        <v>-2051.14</v>
      </c>
      <c r="CJ247" t="n">
        <v>318.0989063603577</v>
      </c>
      <c r="CK247" t="n">
        <v>312.148820485677</v>
      </c>
      <c r="CL247" t="n">
        <v>313.6549441947247</v>
      </c>
      <c r="CM247" t="n">
        <v>313.3824423188545</v>
      </c>
      <c r="CN247" t="n">
        <v>314.4457677521831</v>
      </c>
      <c r="CO247" t="n">
        <v>316.3484547090617</v>
      </c>
      <c r="EH247" t="n">
        <v>314.68</v>
      </c>
      <c r="ES247" t="n">
        <v>7.39</v>
      </c>
      <c r="FD247" t="n">
        <v>0.63</v>
      </c>
      <c r="FF247" t="n">
        <v>8</v>
      </c>
      <c r="FG247" t="n">
        <v>65.66</v>
      </c>
      <c r="FH247" t="n">
        <v>590.9399999999999</v>
      </c>
      <c r="FI247" t="n">
        <v>-459.62</v>
      </c>
      <c r="FJ247" t="n">
        <v>69.43258683310539</v>
      </c>
      <c r="FK247" t="n">
        <v>68.68510037997764</v>
      </c>
      <c r="FL247" t="n">
        <v>69.76119105115494</v>
      </c>
      <c r="FM247" t="n">
        <v>70.71277217518205</v>
      </c>
      <c r="FN247" t="n">
        <v>71.34888687108351</v>
      </c>
      <c r="FO247" t="n">
        <v>69.03792438134968</v>
      </c>
      <c r="HH247" t="n">
        <v>69.83</v>
      </c>
      <c r="HS247" t="n">
        <v>6.35</v>
      </c>
      <c r="ID247" t="n">
        <v>1.33</v>
      </c>
      <c r="IF247" t="n">
        <v>8</v>
      </c>
      <c r="IG247" t="n">
        <v>359.66</v>
      </c>
      <c r="IH247" t="n">
        <v>3236.94</v>
      </c>
      <c r="II247" t="n">
        <v>-2517.62</v>
      </c>
      <c r="IJ247" t="n">
        <v>378.8195903195783</v>
      </c>
      <c r="IK247" t="n">
        <v>369.8117980725476</v>
      </c>
      <c r="IL247" t="n">
        <v>375.3385130597128</v>
      </c>
      <c r="IM247" t="n">
        <v>380.1924068077774</v>
      </c>
      <c r="IN247" t="n">
        <v>375.5428532870956</v>
      </c>
      <c r="KH247" t="n">
        <v>375.941</v>
      </c>
      <c r="KS247" t="n">
        <v>4.53</v>
      </c>
      <c r="LD247" t="n">
        <v>0.96</v>
      </c>
    </row>
    <row r="248">
      <c r="A248" t="inlineStr">
        <is>
          <t>2026-05-25</t>
        </is>
      </c>
      <c r="B248" t="inlineStr">
        <is>
          <t>Critical Care 26</t>
        </is>
      </c>
      <c r="C248" t="inlineStr">
        <is>
          <t>105726052501</t>
        </is>
      </c>
      <c r="D248" t="inlineStr">
        <is>
          <t>TP</t>
        </is>
      </c>
      <c r="F248" t="n">
        <v>8</v>
      </c>
      <c r="G248" t="n">
        <v>6.4</v>
      </c>
      <c r="H248" t="n">
        <v>57.6</v>
      </c>
      <c r="I248" t="n">
        <v>-44.8</v>
      </c>
      <c r="J248" t="n">
        <v>-0.5169227896490356</v>
      </c>
      <c r="K248" t="n">
        <v>6.795417093873806</v>
      </c>
      <c r="L248" t="n">
        <v>6.565987944988692</v>
      </c>
      <c r="M248" t="n">
        <v>6.683226169619739</v>
      </c>
      <c r="N248" t="n">
        <v>6.669245851053582</v>
      </c>
      <c r="O248" t="n">
        <v>6.687210479689351</v>
      </c>
      <c r="BH248" t="n">
        <v>5.481</v>
      </c>
      <c r="BS248" t="n">
        <v>-14.36</v>
      </c>
      <c r="CD248" t="n">
        <v>48.95</v>
      </c>
      <c r="CF248" t="n">
        <v>8</v>
      </c>
      <c r="CG248" t="n">
        <v>4.1</v>
      </c>
      <c r="CH248" t="n">
        <v>36.9</v>
      </c>
      <c r="CI248" t="n">
        <v>-28.7</v>
      </c>
      <c r="CJ248" t="n">
        <v>4.478859674228389</v>
      </c>
      <c r="CK248" t="n">
        <v>4.36987735995711</v>
      </c>
      <c r="CL248" t="n">
        <v>4.416324432050042</v>
      </c>
      <c r="CM248" t="n">
        <v>4.44383776612891</v>
      </c>
      <c r="CN248" t="n">
        <v>4.465300157247356</v>
      </c>
      <c r="CO248" t="n">
        <v>4.454083294519951</v>
      </c>
      <c r="EH248" t="n">
        <v>4.438</v>
      </c>
      <c r="ES248" t="n">
        <v>8.25</v>
      </c>
      <c r="FD248" t="n">
        <v>0.8100000000000001</v>
      </c>
      <c r="FF248" t="n">
        <v>8</v>
      </c>
      <c r="FG248" t="n">
        <v>4.2</v>
      </c>
      <c r="FH248" t="n">
        <v>37.8</v>
      </c>
      <c r="FI248" t="n">
        <v>-29.4</v>
      </c>
      <c r="FJ248" t="n">
        <v>4.23648028047632</v>
      </c>
      <c r="FK248" t="n">
        <v>4.138578254727099</v>
      </c>
      <c r="FL248" t="n">
        <v>4.192368868267449</v>
      </c>
      <c r="FM248" t="n">
        <v>4.354566029159417</v>
      </c>
      <c r="FN248" t="n">
        <v>4.31000655876531</v>
      </c>
      <c r="FO248" t="n">
        <v>4.194152029142854</v>
      </c>
      <c r="HH248" t="n">
        <v>4.238</v>
      </c>
      <c r="HS248" t="n">
        <v>0.9</v>
      </c>
      <c r="ID248" t="n">
        <v>1.74</v>
      </c>
      <c r="IF248" t="n">
        <v>8</v>
      </c>
      <c r="IG248" t="n">
        <v>7.5</v>
      </c>
      <c r="IH248" t="n">
        <v>67.5</v>
      </c>
      <c r="II248" t="n">
        <v>-52.5</v>
      </c>
      <c r="IJ248" t="n">
        <v>7.676104557565544</v>
      </c>
      <c r="IK248" t="n">
        <v>7.503112063403312</v>
      </c>
      <c r="IL248" t="n">
        <v>7.742576372322328</v>
      </c>
      <c r="IM248" t="n">
        <v>7.719685836471373</v>
      </c>
      <c r="IN248" t="n">
        <v>7.638507978284671</v>
      </c>
      <c r="KH248" t="n">
        <v>7.656</v>
      </c>
      <c r="KS248" t="n">
        <v>2.08</v>
      </c>
      <c r="LD248" t="n">
        <v>1.1</v>
      </c>
    </row>
    <row r="249">
      <c r="A249" t="inlineStr">
        <is>
          <t>2026-05-22</t>
        </is>
      </c>
      <c r="B249" t="inlineStr">
        <is>
          <t>Coagulation</t>
        </is>
      </c>
      <c r="C249" t="inlineStr">
        <is>
          <t>130126052201</t>
        </is>
      </c>
      <c r="D249" t="inlineStr">
        <is>
          <t>APTT</t>
        </is>
      </c>
      <c r="J249" t="n">
        <v>111.994479</v>
      </c>
      <c r="K249" t="n">
        <v>108.581231</v>
      </c>
      <c r="L249" t="n">
        <v>113.077175</v>
      </c>
      <c r="M249" t="n">
        <v>109.713879</v>
      </c>
      <c r="N249" t="n">
        <v>109.713879</v>
      </c>
      <c r="O249" t="n">
        <v>109.871631</v>
      </c>
      <c r="P249" t="n">
        <v>108.379871</v>
      </c>
      <c r="Q249" t="n">
        <v>111.271991</v>
      </c>
      <c r="R249" t="n">
        <v>110.889119</v>
      </c>
      <c r="BH249" t="n">
        <v>109.732</v>
      </c>
      <c r="CD249" t="n">
        <v>1.27</v>
      </c>
      <c r="FJ249" t="n">
        <v>126.476639</v>
      </c>
      <c r="FK249" t="n">
        <v>125.168724</v>
      </c>
      <c r="FL249" t="n">
        <v>127.197936</v>
      </c>
      <c r="FM249" t="n">
        <v>122.953631</v>
      </c>
      <c r="FN249" t="n">
        <v>125.763284</v>
      </c>
      <c r="FO249" t="n">
        <v>126.59</v>
      </c>
      <c r="FP249" t="n">
        <v>127.3508</v>
      </c>
      <c r="FQ249" t="n">
        <v>127.312551</v>
      </c>
      <c r="FR249" t="n">
        <v>133.005524</v>
      </c>
      <c r="FS249" t="n">
        <v>128.236599</v>
      </c>
      <c r="FT249" t="n">
        <v>124.3604</v>
      </c>
      <c r="HH249" t="n">
        <v>126.966</v>
      </c>
      <c r="ID249" t="n">
        <v>2.3</v>
      </c>
    </row>
    <row r="250">
      <c r="A250" t="inlineStr">
        <is>
          <t>2026-05-22</t>
        </is>
      </c>
      <c r="B250" t="inlineStr">
        <is>
          <t>Coagulation</t>
        </is>
      </c>
      <c r="C250" t="inlineStr">
        <is>
          <t>130126052201</t>
        </is>
      </c>
      <c r="D250" t="inlineStr">
        <is>
          <t>FIB</t>
        </is>
      </c>
      <c r="J250" t="n">
        <v>5.42371219660096</v>
      </c>
      <c r="K250" t="n">
        <v>5.446242119285627</v>
      </c>
      <c r="L250" t="n">
        <v>5.457783361367702</v>
      </c>
      <c r="M250" t="n">
        <v>5.418190599668398</v>
      </c>
      <c r="N250" t="n">
        <v>5.365233311117136</v>
      </c>
      <c r="O250" t="n">
        <v>5.487492410928928</v>
      </c>
      <c r="P250" t="n">
        <v>5.446242119285627</v>
      </c>
      <c r="Q250" t="n">
        <v>5.429277442973968</v>
      </c>
      <c r="R250" t="n">
        <v>5.47545792984398</v>
      </c>
      <c r="BH250" t="n">
        <v>5.426</v>
      </c>
      <c r="CD250" t="n">
        <v>0.71</v>
      </c>
      <c r="FJ250" t="n">
        <v>4.732515829871971</v>
      </c>
      <c r="FK250" t="n">
        <v>4.753595248928987</v>
      </c>
      <c r="FL250" t="n">
        <v>4.663343824087978</v>
      </c>
      <c r="FM250" t="n">
        <v>4.71812700782717</v>
      </c>
      <c r="FN250" t="n">
        <v>4.768735617404545</v>
      </c>
      <c r="FO250" t="n">
        <v>4.493565736088888</v>
      </c>
      <c r="FP250" t="n">
        <v>4.670913789498465</v>
      </c>
      <c r="FQ250" t="n">
        <v>4.777535731990564</v>
      </c>
      <c r="FR250" t="n">
        <v>4.596930282462459</v>
      </c>
      <c r="FS250" t="n">
        <v>4.624884326977418</v>
      </c>
      <c r="FT250" t="n">
        <v>4.612517635080017</v>
      </c>
      <c r="HH250" t="n">
        <v>4.632</v>
      </c>
      <c r="ID250" t="n">
        <v>2.16</v>
      </c>
    </row>
    <row r="251">
      <c r="A251" t="inlineStr">
        <is>
          <t>2026-05-22</t>
        </is>
      </c>
      <c r="B251" t="inlineStr">
        <is>
          <t>Coagulation</t>
        </is>
      </c>
      <c r="C251" t="inlineStr">
        <is>
          <t>130126052201</t>
        </is>
      </c>
      <c r="D251" t="inlineStr">
        <is>
          <t>PT</t>
        </is>
      </c>
      <c r="J251" t="n">
        <v>16.2613372</v>
      </c>
      <c r="K251" t="n">
        <v>16.639259772</v>
      </c>
      <c r="L251" t="n">
        <v>16.335346288</v>
      </c>
      <c r="M251" t="n">
        <v>15.6812463</v>
      </c>
      <c r="N251" t="n">
        <v>15.948636412</v>
      </c>
      <c r="O251" t="n">
        <v>15.584562652</v>
      </c>
      <c r="P251" t="n">
        <v>16.156772988</v>
      </c>
      <c r="Q251" t="n">
        <v>15.845064048</v>
      </c>
      <c r="R251" t="n">
        <v>16.564578012</v>
      </c>
      <c r="BH251" t="n">
        <v>16.163</v>
      </c>
      <c r="CD251" t="n">
        <v>3.08</v>
      </c>
      <c r="FJ251" t="n">
        <v>17.529110208</v>
      </c>
      <c r="FK251" t="n">
        <v>18.044102848</v>
      </c>
      <c r="FL251" t="n">
        <v>18.599304828</v>
      </c>
      <c r="FM251" t="n">
        <v>17.90175</v>
      </c>
      <c r="FN251" t="n">
        <v>18.057071472</v>
      </c>
      <c r="FO251" t="n">
        <v>17.817892668</v>
      </c>
      <c r="FP251" t="n">
        <v>17.3887708</v>
      </c>
      <c r="FQ251" t="n">
        <v>17.1350268</v>
      </c>
      <c r="FR251" t="n">
        <v>18.304344768</v>
      </c>
      <c r="FS251" t="n">
        <v>18.599304828</v>
      </c>
      <c r="FT251" t="n">
        <v>17.985800668</v>
      </c>
      <c r="HH251" t="n">
        <v>18.214</v>
      </c>
      <c r="ID251" t="n">
        <v>4.32</v>
      </c>
    </row>
    <row r="252">
      <c r="A252" t="inlineStr">
        <is>
          <t>2026-05-22</t>
        </is>
      </c>
      <c r="B252" t="inlineStr">
        <is>
          <t>Optimum Wellness 37</t>
        </is>
      </c>
      <c r="C252" t="inlineStr">
        <is>
          <t>109326052201</t>
        </is>
      </c>
      <c r="D252" t="inlineStr">
        <is>
          <t>BA</t>
        </is>
      </c>
      <c r="J252" t="n">
        <v>4.249022405262158</v>
      </c>
      <c r="K252" t="n">
        <v>3.625614402104441</v>
      </c>
      <c r="L252" t="n">
        <v>4.194632726302606</v>
      </c>
      <c r="M252" t="n">
        <v>4.542438720963887</v>
      </c>
      <c r="N252" t="n">
        <v>4.091965711213152</v>
      </c>
      <c r="O252" t="n">
        <v>3.968917381881677</v>
      </c>
      <c r="BH252" t="n">
        <v>4.112</v>
      </c>
      <c r="CD252" t="n">
        <v>6.79</v>
      </c>
      <c r="CJ252" t="n">
        <v>3.867913210943524</v>
      </c>
      <c r="CK252" t="n">
        <v>4.151899729065292</v>
      </c>
      <c r="CL252" t="n">
        <v>4.239821638004141</v>
      </c>
      <c r="CM252" t="n">
        <v>3.849996248360257</v>
      </c>
      <c r="CN252" t="n">
        <v>4.566273515629764</v>
      </c>
      <c r="EH252" t="n">
        <v>4.135</v>
      </c>
      <c r="FD252" t="n">
        <v>6.4</v>
      </c>
      <c r="FJ252" t="n">
        <v>13.48562440293565</v>
      </c>
      <c r="FK252" t="n">
        <v>13.2580292491362</v>
      </c>
      <c r="FL252" t="n">
        <v>13.17839793635415</v>
      </c>
      <c r="FM252" t="n">
        <v>12.53414957769447</v>
      </c>
      <c r="FN252" t="n">
        <v>13.37803260178505</v>
      </c>
      <c r="HH252" t="n">
        <v>13.167</v>
      </c>
      <c r="ID252" t="n">
        <v>2.53</v>
      </c>
      <c r="IJ252" t="n">
        <v>11.72806655840095</v>
      </c>
      <c r="IK252" t="n">
        <v>12.36881550921435</v>
      </c>
      <c r="IL252" t="n">
        <v>12.55813090097107</v>
      </c>
      <c r="IM252" t="n">
        <v>10.7870433041544</v>
      </c>
      <c r="IN252" t="n">
        <v>11.84266509591362</v>
      </c>
      <c r="KH252" t="n">
        <v>11.857</v>
      </c>
      <c r="LD252" t="n">
        <v>5.22</v>
      </c>
    </row>
    <row r="253">
      <c r="A253" t="inlineStr">
        <is>
          <t>2026-05-22</t>
        </is>
      </c>
      <c r="B253" t="inlineStr">
        <is>
          <t>Optimum Wellness 37</t>
        </is>
      </c>
      <c r="C253" t="inlineStr">
        <is>
          <t>109326052201</t>
        </is>
      </c>
      <c r="D253" t="inlineStr">
        <is>
          <t>Cl</t>
        </is>
      </c>
      <c r="F253" t="n">
        <v>5</v>
      </c>
      <c r="G253" t="n">
        <v>90</v>
      </c>
      <c r="H253" t="n">
        <v>540</v>
      </c>
      <c r="I253" t="n">
        <v>-360</v>
      </c>
      <c r="J253" t="n">
        <v>90.289536872615</v>
      </c>
      <c r="K253" t="n">
        <v>90.45545248350422</v>
      </c>
      <c r="L253" t="n">
        <v>93.33134866727329</v>
      </c>
      <c r="M253" t="n">
        <v>90.87856364533422</v>
      </c>
      <c r="N253" t="n">
        <v>94.0007098933564</v>
      </c>
      <c r="O253" t="n">
        <v>94.6584748179109</v>
      </c>
      <c r="BH253" t="n">
        <v>92.26900000000001</v>
      </c>
      <c r="BS253" t="n">
        <v>2.52</v>
      </c>
      <c r="CD253" t="n">
        <v>1.93</v>
      </c>
      <c r="CF253" t="n">
        <v>5</v>
      </c>
      <c r="CG253" t="n">
        <v>91</v>
      </c>
      <c r="CH253" t="n">
        <v>546</v>
      </c>
      <c r="CI253" t="n">
        <v>-364</v>
      </c>
      <c r="CJ253" t="n">
        <v>83.10845220755238</v>
      </c>
      <c r="CK253" t="n">
        <v>83.28421976019618</v>
      </c>
      <c r="CL253" t="n">
        <v>85.58123564082481</v>
      </c>
      <c r="CM253" t="n">
        <v>86.3834313346581</v>
      </c>
      <c r="CN253" t="n">
        <v>84.36952822124019</v>
      </c>
      <c r="EH253" t="n">
        <v>84.545</v>
      </c>
      <c r="ES253" t="n">
        <v>-7.09</v>
      </c>
      <c r="FD253" t="n">
        <v>1.51</v>
      </c>
      <c r="FF253" t="n">
        <v>5</v>
      </c>
      <c r="FG253" t="n">
        <v>77</v>
      </c>
      <c r="FH253" t="n">
        <v>462</v>
      </c>
      <c r="FI253" t="n">
        <v>-308</v>
      </c>
      <c r="FJ253" t="n">
        <v>72.76004985271058</v>
      </c>
      <c r="FK253" t="n">
        <v>75.05532520820779</v>
      </c>
      <c r="FL253" t="n">
        <v>73.24171130605183</v>
      </c>
      <c r="FM253" t="n">
        <v>77.00648002595102</v>
      </c>
      <c r="FN253" t="n">
        <v>75.62992979736256</v>
      </c>
      <c r="HH253" t="n">
        <v>74.739</v>
      </c>
      <c r="HS253" t="n">
        <v>-2.94</v>
      </c>
      <c r="ID253" t="n">
        <v>2.09</v>
      </c>
      <c r="IF253" t="n">
        <v>5</v>
      </c>
      <c r="IG253" t="n">
        <v>118</v>
      </c>
      <c r="IH253" t="n">
        <v>708</v>
      </c>
      <c r="II253" t="n">
        <v>-472</v>
      </c>
      <c r="IJ253" t="n">
        <v>115.5979403240196</v>
      </c>
      <c r="IK253" t="n">
        <v>116.9233880111323</v>
      </c>
      <c r="IL253" t="n">
        <v>114.6910735200439</v>
      </c>
      <c r="IM253" t="n">
        <v>118.1714112815294</v>
      </c>
      <c r="IN253" t="n">
        <v>118.6175954228546</v>
      </c>
      <c r="KH253" t="n">
        <v>116.8</v>
      </c>
      <c r="KS253" t="n">
        <v>-1.02</v>
      </c>
      <c r="LD253" t="n">
        <v>1.28</v>
      </c>
    </row>
    <row r="254">
      <c r="A254" t="inlineStr">
        <is>
          <t>2026-05-22</t>
        </is>
      </c>
      <c r="B254" t="inlineStr">
        <is>
          <t>Optimum Wellness 37</t>
        </is>
      </c>
      <c r="C254" t="inlineStr">
        <is>
          <t>109326052201</t>
        </is>
      </c>
      <c r="D254" t="inlineStr">
        <is>
          <t>K</t>
        </is>
      </c>
      <c r="G254" t="n">
        <v>3.9</v>
      </c>
      <c r="J254" t="n">
        <v>3.531500984558595</v>
      </c>
      <c r="K254" t="n">
        <v>3.702377904073983</v>
      </c>
      <c r="L254" t="n">
        <v>3.959255805035644</v>
      </c>
      <c r="M254" t="n">
        <v>3.918864437717884</v>
      </c>
      <c r="N254" t="n">
        <v>3.882382547524516</v>
      </c>
      <c r="O254" t="n">
        <v>3.731859724143558</v>
      </c>
      <c r="BH254" t="n">
        <v>3.788</v>
      </c>
      <c r="BS254" t="n">
        <v>-2.88</v>
      </c>
      <c r="CD254" t="n">
        <v>3.91</v>
      </c>
      <c r="CG254" t="n">
        <v>6</v>
      </c>
      <c r="CJ254" t="n">
        <v>6.221019295785309</v>
      </c>
      <c r="CK254" t="n">
        <v>6.280941171404284</v>
      </c>
      <c r="CL254" t="n">
        <v>6.412558331908166</v>
      </c>
      <c r="CM254" t="n">
        <v>6.070119355503357</v>
      </c>
      <c r="CN254" t="n">
        <v>6.287304278494099</v>
      </c>
      <c r="EH254" t="n">
        <v>6.254</v>
      </c>
      <c r="ES254" t="n">
        <v>4.24</v>
      </c>
      <c r="FD254" t="n">
        <v>1.78</v>
      </c>
      <c r="FG254" t="n">
        <v>2.2</v>
      </c>
      <c r="FJ254" t="n">
        <v>2.332621192897359</v>
      </c>
      <c r="FK254" t="n">
        <v>2.279009642214304</v>
      </c>
      <c r="FL254" t="n">
        <v>2.182106410750345</v>
      </c>
      <c r="FM254" t="n">
        <v>2.655842979714283</v>
      </c>
      <c r="FN254" t="n">
        <v>1.994119701211444</v>
      </c>
      <c r="HH254" t="n">
        <v>2.289</v>
      </c>
      <c r="HS254" t="n">
        <v>4.03</v>
      </c>
      <c r="ID254" t="n">
        <v>9.470000000000001</v>
      </c>
      <c r="IG254" t="n">
        <v>8.4</v>
      </c>
      <c r="IJ254" t="n">
        <v>8.251429763845142</v>
      </c>
      <c r="IK254" t="n">
        <v>8.348248294357123</v>
      </c>
      <c r="IL254" t="n">
        <v>8.386137785809865</v>
      </c>
      <c r="IM254" t="n">
        <v>8.569747896392091</v>
      </c>
      <c r="IN254" t="n">
        <v>8.539331673785846</v>
      </c>
      <c r="KH254" t="n">
        <v>8.419</v>
      </c>
      <c r="KS254" t="n">
        <v>0.23</v>
      </c>
      <c r="LD254" t="n">
        <v>1.42</v>
      </c>
    </row>
    <row r="255">
      <c r="A255" t="inlineStr">
        <is>
          <t>2026-05-22</t>
        </is>
      </c>
      <c r="B255" t="inlineStr">
        <is>
          <t>Optimum Wellness 37</t>
        </is>
      </c>
      <c r="C255" t="inlineStr">
        <is>
          <t>109326052201</t>
        </is>
      </c>
      <c r="D255" t="inlineStr">
        <is>
          <t>Na</t>
        </is>
      </c>
      <c r="G255" t="n">
        <v>141</v>
      </c>
      <c r="J255" t="n">
        <v>148.4684463518365</v>
      </c>
      <c r="K255" t="n">
        <v>146.7805556501182</v>
      </c>
      <c r="L255" t="n">
        <v>154.3539467897271</v>
      </c>
      <c r="M255" t="n">
        <v>147.760548362586</v>
      </c>
      <c r="N255" t="n">
        <v>147.4791829170084</v>
      </c>
      <c r="O255" t="n">
        <v>148.3913420147265</v>
      </c>
      <c r="BH255" t="n">
        <v>148.872</v>
      </c>
      <c r="BS255" t="n">
        <v>5.58</v>
      </c>
      <c r="CD255" t="n">
        <v>1.69</v>
      </c>
      <c r="CG255" t="n">
        <v>129</v>
      </c>
      <c r="CJ255" t="n">
        <v>138.1483004040249</v>
      </c>
      <c r="CK255" t="n">
        <v>138.2448942513963</v>
      </c>
      <c r="CL255" t="n">
        <v>140.1668924279857</v>
      </c>
      <c r="CM255" t="n">
        <v>138.1350297367308</v>
      </c>
      <c r="CN255" t="n">
        <v>137.0883258657769</v>
      </c>
      <c r="EH255" t="n">
        <v>138.357</v>
      </c>
      <c r="ES255" t="n">
        <v>7.25</v>
      </c>
      <c r="FD255" t="n">
        <v>0.72</v>
      </c>
      <c r="FG255" t="n">
        <v>118</v>
      </c>
      <c r="FJ255" t="n">
        <v>125.0122274532417</v>
      </c>
      <c r="FK255" t="n">
        <v>125.6694981448789</v>
      </c>
      <c r="FL255" t="n">
        <v>125.171803496513</v>
      </c>
      <c r="FM255" t="n">
        <v>126.4945246215666</v>
      </c>
      <c r="FN255" t="n">
        <v>125.6505781783297</v>
      </c>
      <c r="HH255" t="n">
        <v>125.6</v>
      </c>
      <c r="HS255" t="n">
        <v>6.44</v>
      </c>
      <c r="ID255" t="n">
        <v>0.41</v>
      </c>
      <c r="IG255" t="n">
        <v>166</v>
      </c>
      <c r="IJ255" t="n">
        <v>165.9204812652929</v>
      </c>
      <c r="IK255" t="n">
        <v>168.8603018368789</v>
      </c>
      <c r="IL255" t="n">
        <v>167.9149478245225</v>
      </c>
      <c r="IM255" t="n">
        <v>168.0766652801857</v>
      </c>
      <c r="IN255" t="n">
        <v>168.0171479165818</v>
      </c>
      <c r="KH255" t="n">
        <v>167.758</v>
      </c>
      <c r="KS255" t="n">
        <v>1.06</v>
      </c>
      <c r="LD255" t="n">
        <v>0.58</v>
      </c>
    </row>
    <row r="256">
      <c r="A256" t="inlineStr">
        <is>
          <t>2026-05-22</t>
        </is>
      </c>
      <c r="B256" t="inlineStr">
        <is>
          <t>Optimum Wellness 37</t>
        </is>
      </c>
      <c r="C256" t="inlineStr">
        <is>
          <t>109326052201</t>
        </is>
      </c>
      <c r="D256" t="inlineStr">
        <is>
          <t>P-LIPA</t>
        </is>
      </c>
      <c r="F256" t="n">
        <v>30</v>
      </c>
      <c r="J256" t="n">
        <v>72.37388044710048</v>
      </c>
      <c r="K256" t="n">
        <v>72.07427836904341</v>
      </c>
      <c r="L256" t="n">
        <v>73.67264865592645</v>
      </c>
      <c r="M256" t="n">
        <v>73.96224844916304</v>
      </c>
      <c r="N256" t="n">
        <v>70.16324999213606</v>
      </c>
      <c r="O256" t="n">
        <v>69.12706473869665</v>
      </c>
      <c r="BH256" t="n">
        <v>71.896</v>
      </c>
      <c r="CD256" t="n">
        <v>2.43</v>
      </c>
      <c r="CF256" t="n">
        <v>30</v>
      </c>
      <c r="CJ256" t="n">
        <v>90.01153168849325</v>
      </c>
      <c r="CK256" t="n">
        <v>92.31114480672126</v>
      </c>
      <c r="CL256" t="n">
        <v>90.53271775677931</v>
      </c>
      <c r="CM256" t="n">
        <v>87.85616386372111</v>
      </c>
      <c r="CN256" t="n">
        <v>88.56807798441113</v>
      </c>
      <c r="EH256" t="n">
        <v>89.85599999999999</v>
      </c>
      <c r="FD256" t="n">
        <v>1.74</v>
      </c>
      <c r="FF256" t="n">
        <v>30</v>
      </c>
      <c r="FJ256" t="n">
        <v>43.55774764966822</v>
      </c>
      <c r="FK256" t="n">
        <v>43.3693287560166</v>
      </c>
      <c r="FL256" t="n">
        <v>41.94902087189283</v>
      </c>
      <c r="FM256" t="n">
        <v>40.78911632624284</v>
      </c>
      <c r="FN256" t="n">
        <v>40.6048297742151</v>
      </c>
      <c r="HH256" t="n">
        <v>42.054</v>
      </c>
      <c r="ID256" t="n">
        <v>2.95</v>
      </c>
      <c r="IF256" t="n">
        <v>30</v>
      </c>
      <c r="IJ256" t="n">
        <v>117.163824732955</v>
      </c>
      <c r="IK256" t="n">
        <v>117.7491049161021</v>
      </c>
      <c r="IL256" t="n">
        <v>117.0950787499305</v>
      </c>
      <c r="IM256" t="n">
        <v>112.9382938835619</v>
      </c>
      <c r="IN256" t="n">
        <v>108.8665682942545</v>
      </c>
      <c r="KH256" t="n">
        <v>114.763</v>
      </c>
      <c r="LD256" t="n">
        <v>2.97</v>
      </c>
    </row>
    <row r="257">
      <c r="A257" t="inlineStr">
        <is>
          <t>2026-05-22</t>
        </is>
      </c>
      <c r="B257" t="inlineStr">
        <is>
          <t>Optimum Wellness 37</t>
        </is>
      </c>
      <c r="C257" t="inlineStr">
        <is>
          <t>109326052201</t>
        </is>
      </c>
      <c r="D257" t="inlineStr">
        <is>
          <t>TCO2</t>
        </is>
      </c>
      <c r="F257" t="n">
        <v>20</v>
      </c>
      <c r="G257" t="n">
        <v>32.5</v>
      </c>
      <c r="H257" t="n">
        <v>682.5</v>
      </c>
      <c r="I257" t="n">
        <v>-617.5</v>
      </c>
      <c r="J257" t="n">
        <v>33.88586086493787</v>
      </c>
      <c r="K257" t="n">
        <v>34.82484045463413</v>
      </c>
      <c r="L257" t="n">
        <v>32.44755716198409</v>
      </c>
      <c r="M257" t="n">
        <v>32.62626571866796</v>
      </c>
      <c r="N257" t="n">
        <v>31.44656795004335</v>
      </c>
      <c r="O257" t="n">
        <v>33.16632745262644</v>
      </c>
      <c r="BH257" t="n">
        <v>33.066</v>
      </c>
      <c r="BS257" t="n">
        <v>1.74</v>
      </c>
      <c r="CD257" t="n">
        <v>3.26</v>
      </c>
      <c r="CF257" t="n">
        <v>20</v>
      </c>
      <c r="CG257" t="n">
        <v>21.2</v>
      </c>
      <c r="CH257" t="n">
        <v>445.2</v>
      </c>
      <c r="CI257" t="n">
        <v>-402.8</v>
      </c>
      <c r="CJ257" t="n">
        <v>22.21105331220633</v>
      </c>
      <c r="CK257" t="n">
        <v>23.0607750467316</v>
      </c>
      <c r="CL257" t="n">
        <v>22.08550791442501</v>
      </c>
      <c r="CM257" t="n">
        <v>20.84775265038233</v>
      </c>
      <c r="CN257" t="n">
        <v>21.33031109672923</v>
      </c>
      <c r="EH257" t="n">
        <v>21.907</v>
      </c>
      <c r="ES257" t="n">
        <v>3.34</v>
      </c>
      <c r="FD257" t="n">
        <v>3.48</v>
      </c>
      <c r="FF257" t="n">
        <v>20</v>
      </c>
      <c r="FG257" t="n">
        <v>17.3</v>
      </c>
      <c r="FH257" t="n">
        <v>363.3</v>
      </c>
      <c r="FI257" t="n">
        <v>-328.7</v>
      </c>
      <c r="FJ257" t="n">
        <v>19.72490767369305</v>
      </c>
      <c r="FK257" t="n">
        <v>19.5363988188173</v>
      </c>
      <c r="FL257" t="n">
        <v>21.26224817367402</v>
      </c>
      <c r="FM257" t="n">
        <v>18.98421876017272</v>
      </c>
      <c r="FN257" t="n">
        <v>18.03614928531666</v>
      </c>
      <c r="HH257" t="n">
        <v>19.509</v>
      </c>
      <c r="HS257" t="n">
        <v>12.77</v>
      </c>
      <c r="ID257" t="n">
        <v>5.41</v>
      </c>
      <c r="IF257" t="n">
        <v>20</v>
      </c>
      <c r="IG257" t="n">
        <v>26.7</v>
      </c>
      <c r="IH257" t="n">
        <v>560.6999999999999</v>
      </c>
      <c r="II257" t="n">
        <v>-507.3</v>
      </c>
      <c r="IJ257" t="n">
        <v>32.24146876164826</v>
      </c>
      <c r="IK257" t="n">
        <v>27.72292175246745</v>
      </c>
      <c r="IL257" t="n">
        <v>27.05183866869133</v>
      </c>
      <c r="IM257" t="n">
        <v>27.96879735785034</v>
      </c>
      <c r="IN257" t="n">
        <v>29.12252001645762</v>
      </c>
      <c r="KH257" t="n">
        <v>28.822</v>
      </c>
      <c r="KS257" t="n">
        <v>7.95</v>
      </c>
      <c r="LD257" t="n">
        <v>6.37</v>
      </c>
    </row>
    <row r="258">
      <c r="A258" t="inlineStr">
        <is>
          <t>2026-05-22</t>
        </is>
      </c>
      <c r="B258" t="inlineStr">
        <is>
          <t>Optimum Wellness 37</t>
        </is>
      </c>
      <c r="C258" t="inlineStr">
        <is>
          <t>109326052201</t>
        </is>
      </c>
      <c r="D258" t="inlineStr">
        <is>
          <t>TRIG</t>
        </is>
      </c>
      <c r="F258" t="n">
        <v>15</v>
      </c>
      <c r="J258" t="n">
        <v>178.7264784658568</v>
      </c>
      <c r="K258" t="n">
        <v>177.844837408281</v>
      </c>
      <c r="L258" t="n">
        <v>182.2101883878662</v>
      </c>
      <c r="M258" t="n">
        <v>179.1254613192173</v>
      </c>
      <c r="N258" t="n">
        <v>184.4070198989832</v>
      </c>
      <c r="O258" t="n">
        <v>187.8290315603466</v>
      </c>
      <c r="BH258" t="n">
        <v>181.691</v>
      </c>
      <c r="CD258" t="n">
        <v>1.95</v>
      </c>
      <c r="CF258" t="n">
        <v>15</v>
      </c>
      <c r="CJ258" t="n">
        <v>96.75053252130178</v>
      </c>
      <c r="CK258" t="n">
        <v>95.65712984634234</v>
      </c>
      <c r="CL258" t="n">
        <v>97.71871241464095</v>
      </c>
      <c r="CM258" t="n">
        <v>99.04397754445976</v>
      </c>
      <c r="CN258" t="n">
        <v>98.96781028771291</v>
      </c>
      <c r="EH258" t="n">
        <v>97.628</v>
      </c>
      <c r="FD258" t="n">
        <v>1.33</v>
      </c>
      <c r="FF258" t="n">
        <v>15</v>
      </c>
      <c r="FJ258" t="n">
        <v>108.1411730815192</v>
      </c>
      <c r="FK258" t="n">
        <v>108.739425955726</v>
      </c>
      <c r="FL258" t="n">
        <v>108.7962201109603</v>
      </c>
      <c r="FM258" t="n">
        <v>111.0740950526514</v>
      </c>
      <c r="FN258" t="n">
        <v>113.0484807863927</v>
      </c>
      <c r="HH258" t="n">
        <v>109.96</v>
      </c>
      <c r="ID258" t="n">
        <v>1.67</v>
      </c>
      <c r="IF258" t="n">
        <v>15</v>
      </c>
      <c r="IJ258" t="n">
        <v>224.4800907035397</v>
      </c>
      <c r="IK258" t="n">
        <v>211.5775903759995</v>
      </c>
      <c r="IL258" t="n">
        <v>217.5738400473987</v>
      </c>
      <c r="IM258" t="n">
        <v>220.248069882582</v>
      </c>
      <c r="IN258" t="n">
        <v>232.2393274964531</v>
      </c>
      <c r="KH258" t="n">
        <v>221.224</v>
      </c>
      <c r="LD258" t="n">
        <v>3.13</v>
      </c>
    </row>
    <row r="259">
      <c r="A259" t="inlineStr">
        <is>
          <t>2026-05-22</t>
        </is>
      </c>
      <c r="B259" t="inlineStr">
        <is>
          <t>Specific Test 4</t>
        </is>
      </c>
      <c r="C259" t="inlineStr">
        <is>
          <t>103426052201</t>
        </is>
      </c>
      <c r="D259" t="inlineStr">
        <is>
          <t>ALP</t>
        </is>
      </c>
      <c r="F259" t="n">
        <v>20</v>
      </c>
      <c r="G259" t="n">
        <v>136</v>
      </c>
      <c r="H259" t="n">
        <v>2856</v>
      </c>
      <c r="I259" t="n">
        <v>-2584</v>
      </c>
      <c r="J259" t="n">
        <v>140.5331490104518</v>
      </c>
      <c r="K259" t="n">
        <v>143.2637847933315</v>
      </c>
      <c r="L259" t="n">
        <v>142.5913890076748</v>
      </c>
      <c r="BH259" t="n">
        <v>142.129</v>
      </c>
      <c r="BS259" t="n">
        <v>4.51</v>
      </c>
      <c r="CD259" t="n">
        <v>0.82</v>
      </c>
      <c r="CF259" t="n">
        <v>20</v>
      </c>
      <c r="CG259" t="n">
        <v>456</v>
      </c>
      <c r="CH259" t="n">
        <v>9576</v>
      </c>
      <c r="CI259" t="n">
        <v>-8664</v>
      </c>
      <c r="CJ259" t="n">
        <v>462.4425640083422</v>
      </c>
      <c r="CK259" t="n">
        <v>466.539135709759</v>
      </c>
      <c r="EH259" t="n">
        <v>464.491</v>
      </c>
      <c r="ES259" t="n">
        <v>1.86</v>
      </c>
      <c r="FD259" t="n">
        <v>0.44</v>
      </c>
      <c r="FF259" t="n">
        <v>20</v>
      </c>
      <c r="FG259" t="n">
        <v>75</v>
      </c>
      <c r="FH259" t="n">
        <v>1575</v>
      </c>
      <c r="FI259" t="n">
        <v>-1425</v>
      </c>
      <c r="FJ259" t="n">
        <v>71.94468227669628</v>
      </c>
      <c r="FK259" t="n">
        <v>71.69041478904686</v>
      </c>
      <c r="FL259" t="n">
        <v>72.25997069692465</v>
      </c>
      <c r="FM259" t="n">
        <v>71.93804955741996</v>
      </c>
      <c r="HH259" t="n">
        <v>71.958</v>
      </c>
      <c r="HS259" t="n">
        <v>-4.06</v>
      </c>
      <c r="ID259" t="n">
        <v>0.28</v>
      </c>
      <c r="IF259" t="n">
        <v>20</v>
      </c>
      <c r="IG259" t="n">
        <v>251</v>
      </c>
      <c r="IH259" t="n">
        <v>5271</v>
      </c>
      <c r="II259" t="n">
        <v>-4769</v>
      </c>
      <c r="IJ259" t="n">
        <v>227.537427230295</v>
      </c>
      <c r="IK259" t="n">
        <v>224.1445291067238</v>
      </c>
      <c r="IL259" t="n">
        <v>228.3347071833561</v>
      </c>
      <c r="KH259" t="n">
        <v>226.672</v>
      </c>
      <c r="KS259" t="n">
        <v>-9.69</v>
      </c>
      <c r="LD259" t="n">
        <v>0.8</v>
      </c>
    </row>
    <row r="260">
      <c r="A260" t="inlineStr">
        <is>
          <t>2026-05-22</t>
        </is>
      </c>
      <c r="B260" t="inlineStr">
        <is>
          <t>Specific Test 4</t>
        </is>
      </c>
      <c r="C260" t="inlineStr">
        <is>
          <t>103426052201</t>
        </is>
      </c>
      <c r="D260" t="inlineStr">
        <is>
          <t>ALT</t>
        </is>
      </c>
      <c r="F260" t="n">
        <v>15</v>
      </c>
      <c r="G260" t="n">
        <v>28</v>
      </c>
      <c r="H260" t="n">
        <v>448</v>
      </c>
      <c r="I260" t="n">
        <v>-392</v>
      </c>
      <c r="J260" t="n">
        <v>34.59947115736355</v>
      </c>
      <c r="K260" t="n">
        <v>26.27343597040262</v>
      </c>
      <c r="L260" t="n">
        <v>27.18911197590087</v>
      </c>
      <c r="BH260" t="n">
        <v>29.354</v>
      </c>
      <c r="BS260" t="n">
        <v>4.84</v>
      </c>
      <c r="CD260" t="n">
        <v>12.7</v>
      </c>
      <c r="CF260" t="n">
        <v>15</v>
      </c>
      <c r="CG260" t="n">
        <v>115</v>
      </c>
      <c r="CH260" t="n">
        <v>1840</v>
      </c>
      <c r="CI260" t="n">
        <v>-1610</v>
      </c>
      <c r="CJ260" t="n">
        <v>122.4266954642977</v>
      </c>
      <c r="CK260" t="n">
        <v>130.1383470828787</v>
      </c>
      <c r="EH260" t="n">
        <v>126.283</v>
      </c>
      <c r="ES260" t="n">
        <v>9.81</v>
      </c>
      <c r="FD260" t="n">
        <v>3.05</v>
      </c>
      <c r="FF260" t="n">
        <v>15</v>
      </c>
      <c r="FG260" t="n">
        <v>26</v>
      </c>
      <c r="FH260" t="n">
        <v>416</v>
      </c>
      <c r="FI260" t="n">
        <v>-364</v>
      </c>
      <c r="FJ260" t="n">
        <v>18.05543489380794</v>
      </c>
      <c r="FK260" t="n">
        <v>17.17419298496699</v>
      </c>
      <c r="FL260" t="n">
        <v>24.92400350852429</v>
      </c>
      <c r="FM260" t="n">
        <v>20.63604476263817</v>
      </c>
      <c r="HH260" t="n">
        <v>20.197</v>
      </c>
      <c r="HS260" t="n">
        <v>-22.32</v>
      </c>
      <c r="ID260" t="n">
        <v>14.91</v>
      </c>
      <c r="IF260" t="n">
        <v>15</v>
      </c>
      <c r="IG260" t="n">
        <v>217</v>
      </c>
      <c r="IH260" t="n">
        <v>3472</v>
      </c>
      <c r="II260" t="n">
        <v>-3038</v>
      </c>
      <c r="IJ260" t="n">
        <v>212.0524445643148</v>
      </c>
      <c r="IK260" t="n">
        <v>208.897020536006</v>
      </c>
      <c r="IL260" t="n">
        <v>218.7241325235005</v>
      </c>
      <c r="KH260" t="n">
        <v>213.225</v>
      </c>
      <c r="KS260" t="n">
        <v>-1.74</v>
      </c>
      <c r="LD260" t="n">
        <v>1.92</v>
      </c>
    </row>
    <row r="261">
      <c r="A261" t="inlineStr">
        <is>
          <t>2026-05-22</t>
        </is>
      </c>
      <c r="B261" t="inlineStr">
        <is>
          <t>Specific Test 4</t>
        </is>
      </c>
      <c r="C261" t="inlineStr">
        <is>
          <t>103426052201</t>
        </is>
      </c>
      <c r="D261" t="inlineStr">
        <is>
          <t>AST</t>
        </is>
      </c>
      <c r="F261" t="n">
        <v>15</v>
      </c>
      <c r="G261" t="n">
        <v>44</v>
      </c>
      <c r="H261" t="n">
        <v>704</v>
      </c>
      <c r="I261" t="n">
        <v>-616</v>
      </c>
      <c r="J261" t="n">
        <v>42.45867993122867</v>
      </c>
      <c r="K261" t="n">
        <v>41.49938234635928</v>
      </c>
      <c r="L261" t="n">
        <v>42.35066431455158</v>
      </c>
      <c r="BH261" t="n">
        <v>42.103</v>
      </c>
      <c r="BS261" t="n">
        <v>-4.31</v>
      </c>
      <c r="CD261" t="n">
        <v>1.02</v>
      </c>
      <c r="CF261" t="n">
        <v>15</v>
      </c>
      <c r="CG261" t="n">
        <v>221</v>
      </c>
      <c r="CH261" t="n">
        <v>3536</v>
      </c>
      <c r="CI261" t="n">
        <v>-3094</v>
      </c>
      <c r="CJ261" t="n">
        <v>230.1730003938892</v>
      </c>
      <c r="CK261" t="n">
        <v>235.9516168044427</v>
      </c>
      <c r="EH261" t="n">
        <v>233.062</v>
      </c>
      <c r="ES261" t="n">
        <v>5.46</v>
      </c>
      <c r="FD261" t="n">
        <v>1.24</v>
      </c>
      <c r="FF261" t="n">
        <v>15</v>
      </c>
      <c r="FG261" t="n">
        <v>45</v>
      </c>
      <c r="FH261" t="n">
        <v>720</v>
      </c>
      <c r="FI261" t="n">
        <v>-630</v>
      </c>
      <c r="FJ261" t="n">
        <v>42.94538408856521</v>
      </c>
      <c r="FK261" t="n">
        <v>42.97823069660511</v>
      </c>
      <c r="FL261" t="n">
        <v>45.38171152842541</v>
      </c>
      <c r="FM261" t="n">
        <v>44.26443096349139</v>
      </c>
      <c r="HH261" t="n">
        <v>43.892</v>
      </c>
      <c r="HS261" t="n">
        <v>-2.46</v>
      </c>
      <c r="ID261" t="n">
        <v>2.3</v>
      </c>
      <c r="IF261" t="n">
        <v>15</v>
      </c>
      <c r="IG261" t="n">
        <v>282</v>
      </c>
      <c r="IH261" t="n">
        <v>4512</v>
      </c>
      <c r="II261" t="n">
        <v>-3948</v>
      </c>
      <c r="IJ261" t="n">
        <v>275.4716918264708</v>
      </c>
      <c r="IK261" t="n">
        <v>270.9203989662351</v>
      </c>
      <c r="IL261" t="n">
        <v>288.1962515515759</v>
      </c>
      <c r="KH261" t="n">
        <v>278.196</v>
      </c>
      <c r="KS261" t="n">
        <v>-1.35</v>
      </c>
      <c r="LD261" t="n">
        <v>2.63</v>
      </c>
    </row>
    <row r="262">
      <c r="A262" t="inlineStr">
        <is>
          <t>2026-05-22</t>
        </is>
      </c>
      <c r="B262" t="inlineStr">
        <is>
          <t>Specific Test 4</t>
        </is>
      </c>
      <c r="C262" t="inlineStr">
        <is>
          <t>103426052201</t>
        </is>
      </c>
      <c r="D262" t="inlineStr">
        <is>
          <t>Ca</t>
        </is>
      </c>
      <c r="G262" t="n">
        <v>9.1</v>
      </c>
      <c r="J262" t="n">
        <v>9.705457358807561</v>
      </c>
      <c r="K262" t="n">
        <v>9.958615133809872</v>
      </c>
      <c r="L262" t="n">
        <v>9.576346773181886</v>
      </c>
      <c r="BH262" t="n">
        <v>9.747</v>
      </c>
      <c r="BS262" t="n">
        <v>7.11</v>
      </c>
      <c r="CD262" t="n">
        <v>1.63</v>
      </c>
      <c r="CG262" t="n">
        <v>12.4</v>
      </c>
      <c r="CJ262" t="n">
        <v>12.91782866179825</v>
      </c>
      <c r="CK262" t="n">
        <v>13.09966539306008</v>
      </c>
      <c r="EH262" t="n">
        <v>13.009</v>
      </c>
      <c r="ES262" t="n">
        <v>4.91</v>
      </c>
      <c r="FD262" t="n">
        <v>0.7</v>
      </c>
      <c r="FG262" t="n">
        <v>5.9</v>
      </c>
      <c r="FJ262" t="n">
        <v>6.030672331401321</v>
      </c>
      <c r="FK262" t="n">
        <v>6.02842240926435</v>
      </c>
      <c r="FL262" t="n">
        <v>6.066475113902052</v>
      </c>
      <c r="FM262" t="n">
        <v>6.222326162939852</v>
      </c>
      <c r="HH262" t="n">
        <v>6.087</v>
      </c>
      <c r="HS262" t="n">
        <v>3.17</v>
      </c>
      <c r="ID262" t="n">
        <v>1.31</v>
      </c>
      <c r="IG262" t="n">
        <v>12.7</v>
      </c>
      <c r="IJ262" t="n">
        <v>13.09643242945058</v>
      </c>
      <c r="IK262" t="n">
        <v>12.86863941080628</v>
      </c>
      <c r="IL262" t="n">
        <v>13.29844328165076</v>
      </c>
      <c r="KH262" t="n">
        <v>13.088</v>
      </c>
      <c r="KS262" t="n">
        <v>3.05</v>
      </c>
      <c r="LD262" t="n">
        <v>1.34</v>
      </c>
    </row>
    <row r="263">
      <c r="A263" t="inlineStr">
        <is>
          <t>2026-05-22</t>
        </is>
      </c>
      <c r="B263" t="inlineStr">
        <is>
          <t>Specific Test 4</t>
        </is>
      </c>
      <c r="C263" t="inlineStr">
        <is>
          <t>103426052201</t>
        </is>
      </c>
      <c r="D263" t="inlineStr">
        <is>
          <t>Mg</t>
        </is>
      </c>
      <c r="F263" t="n">
        <v>15</v>
      </c>
      <c r="G263" t="n">
        <v>2.4</v>
      </c>
      <c r="H263" t="n">
        <v>38.4</v>
      </c>
      <c r="I263" t="n">
        <v>-33.6</v>
      </c>
      <c r="J263" t="n">
        <v>2.14096615055007</v>
      </c>
      <c r="K263" t="n">
        <v>2.346176879339242</v>
      </c>
      <c r="L263" t="n">
        <v>2.278995294523509</v>
      </c>
      <c r="BH263" t="n">
        <v>2.255</v>
      </c>
      <c r="BS263" t="n">
        <v>-6.03</v>
      </c>
      <c r="CD263" t="n">
        <v>3.79</v>
      </c>
      <c r="CF263" t="n">
        <v>15</v>
      </c>
      <c r="CG263" t="n">
        <v>4.4</v>
      </c>
      <c r="CH263" t="n">
        <v>70.40000000000001</v>
      </c>
      <c r="CI263" t="n">
        <v>-61.60000000000001</v>
      </c>
      <c r="CJ263" t="n">
        <v>4.604769757322391</v>
      </c>
      <c r="CK263" t="n">
        <v>4.623097791766297</v>
      </c>
      <c r="EH263" t="n">
        <v>4.614</v>
      </c>
      <c r="ES263" t="n">
        <v>4.86</v>
      </c>
      <c r="FD263" t="n">
        <v>0.2</v>
      </c>
      <c r="FF263" t="n">
        <v>15</v>
      </c>
      <c r="FG263" t="n">
        <v>1</v>
      </c>
      <c r="FH263" t="n">
        <v>16</v>
      </c>
      <c r="FI263" t="n">
        <v>-14</v>
      </c>
      <c r="FJ263" t="n">
        <v>1.111292182643011</v>
      </c>
      <c r="FK263" t="n">
        <v>1.141649953636406</v>
      </c>
      <c r="FL263" t="n">
        <v>1.126385943547774</v>
      </c>
      <c r="FM263" t="n">
        <v>1.198115359417612</v>
      </c>
      <c r="HH263" t="n">
        <v>1.144</v>
      </c>
      <c r="HS263" t="n">
        <v>14.44</v>
      </c>
      <c r="ID263" t="n">
        <v>2.87</v>
      </c>
      <c r="IF263" t="n">
        <v>15</v>
      </c>
      <c r="IG263" t="n">
        <v>4</v>
      </c>
      <c r="IH263" t="n">
        <v>64</v>
      </c>
      <c r="II263" t="n">
        <v>-56</v>
      </c>
      <c r="IJ263" t="n">
        <v>3.70731400631034</v>
      </c>
      <c r="IK263" t="n">
        <v>3.757935081612188</v>
      </c>
      <c r="IL263" t="n">
        <v>3.894250867721832</v>
      </c>
      <c r="KH263" t="n">
        <v>3.786</v>
      </c>
      <c r="KS263" t="n">
        <v>-5.34</v>
      </c>
      <c r="LD263" t="n">
        <v>2.08</v>
      </c>
    </row>
    <row r="264">
      <c r="A264" t="inlineStr">
        <is>
          <t>2026-05-22</t>
        </is>
      </c>
      <c r="B264" t="inlineStr">
        <is>
          <t>Specific Test 4</t>
        </is>
      </c>
      <c r="C264" t="inlineStr">
        <is>
          <t>103426052201</t>
        </is>
      </c>
      <c r="D264" t="inlineStr">
        <is>
          <t>PHOS</t>
        </is>
      </c>
      <c r="F264" t="n">
        <v>10</v>
      </c>
      <c r="G264" t="n">
        <v>3.3</v>
      </c>
      <c r="H264" t="n">
        <v>36.3</v>
      </c>
      <c r="I264" t="n">
        <v>-29.7</v>
      </c>
      <c r="J264" t="n">
        <v>3.165399564813483</v>
      </c>
      <c r="K264" t="n">
        <v>3.27251926806412</v>
      </c>
      <c r="L264" t="n">
        <v>3.207470365919155</v>
      </c>
      <c r="BH264" t="n">
        <v>3.215</v>
      </c>
      <c r="BS264" t="n">
        <v>-2.57</v>
      </c>
      <c r="CD264" t="n">
        <v>1.37</v>
      </c>
      <c r="CF264" t="n">
        <v>10</v>
      </c>
      <c r="CG264" t="n">
        <v>7.2</v>
      </c>
      <c r="CH264" t="n">
        <v>79.2</v>
      </c>
      <c r="CI264" t="n">
        <v>-64.8</v>
      </c>
      <c r="CJ264" t="n">
        <v>7.141390345012413</v>
      </c>
      <c r="CK264" t="n">
        <v>7.18783954465641</v>
      </c>
      <c r="EH264" t="n">
        <v>7.165</v>
      </c>
      <c r="ES264" t="n">
        <v>-0.49</v>
      </c>
      <c r="FD264" t="n">
        <v>0.32</v>
      </c>
      <c r="FF264" t="n">
        <v>10</v>
      </c>
      <c r="FG264" t="n">
        <v>1.9</v>
      </c>
      <c r="FH264" t="n">
        <v>20.9</v>
      </c>
      <c r="FI264" t="n">
        <v>-17.1</v>
      </c>
      <c r="FJ264" t="n">
        <v>1.915079754053404</v>
      </c>
      <c r="FK264" t="n">
        <v>1.911012209281947</v>
      </c>
      <c r="FL264" t="n">
        <v>2.015827618273608</v>
      </c>
      <c r="FM264" t="n">
        <v>1.967605722851365</v>
      </c>
      <c r="HH264" t="n">
        <v>1.952</v>
      </c>
      <c r="HS264" t="n">
        <v>2.76</v>
      </c>
      <c r="ID264" t="n">
        <v>2.2</v>
      </c>
      <c r="IF264" t="n">
        <v>10</v>
      </c>
      <c r="IG264" t="n">
        <v>7.2</v>
      </c>
      <c r="IH264" t="n">
        <v>79.2</v>
      </c>
      <c r="II264" t="n">
        <v>-64.8</v>
      </c>
      <c r="IJ264" t="n">
        <v>7.228015349902887</v>
      </c>
      <c r="IK264" t="n">
        <v>7.148036634964183</v>
      </c>
      <c r="IL264" t="n">
        <v>7.129919747477636</v>
      </c>
      <c r="KH264" t="n">
        <v>7.169</v>
      </c>
      <c r="KS264" t="n">
        <v>-0.44</v>
      </c>
      <c r="LD264" t="n">
        <v>0.59</v>
      </c>
    </row>
    <row r="265">
      <c r="A265" t="inlineStr">
        <is>
          <t>2026-05-21</t>
        </is>
      </c>
      <c r="B265" t="inlineStr">
        <is>
          <t>Specific Test 6</t>
        </is>
      </c>
      <c r="C265" t="inlineStr">
        <is>
          <t>103726052101</t>
        </is>
      </c>
      <c r="D265" t="inlineStr">
        <is>
          <t>AMY</t>
        </is>
      </c>
      <c r="F265" t="n">
        <v>10</v>
      </c>
      <c r="G265" t="n">
        <v>78</v>
      </c>
      <c r="H265" t="n">
        <v>858</v>
      </c>
      <c r="I265" t="n">
        <v>-702</v>
      </c>
      <c r="J265" t="n">
        <v>76.62538727104575</v>
      </c>
      <c r="K265" t="n">
        <v>75.86472995189359</v>
      </c>
      <c r="L265" t="n">
        <v>76.40538355122365</v>
      </c>
      <c r="M265" t="n">
        <v>76.90185880931196</v>
      </c>
      <c r="BH265" t="n">
        <v>76.449</v>
      </c>
      <c r="BS265" t="n">
        <v>-1.99</v>
      </c>
      <c r="CD265" t="n">
        <v>0.5</v>
      </c>
      <c r="CF265" t="n">
        <v>10</v>
      </c>
      <c r="CG265" t="n">
        <v>404</v>
      </c>
      <c r="CH265" t="n">
        <v>4444</v>
      </c>
      <c r="CI265" t="n">
        <v>-3636</v>
      </c>
      <c r="CJ265" t="n">
        <v>410.1016416012351</v>
      </c>
      <c r="CK265" t="n">
        <v>405.384126905835</v>
      </c>
      <c r="CL265" t="n">
        <v>407.7067267073446</v>
      </c>
      <c r="CM265" t="n">
        <v>403.2277334809293</v>
      </c>
      <c r="EH265" t="n">
        <v>406.605</v>
      </c>
      <c r="ES265" t="n">
        <v>0.64</v>
      </c>
      <c r="FD265" t="n">
        <v>0.63</v>
      </c>
      <c r="FF265" t="n">
        <v>10</v>
      </c>
      <c r="FG265" t="n">
        <v>63</v>
      </c>
      <c r="FH265" t="n">
        <v>693</v>
      </c>
      <c r="FI265" t="n">
        <v>-567</v>
      </c>
      <c r="FJ265" t="n">
        <v>64.42289095388966</v>
      </c>
      <c r="FK265" t="n">
        <v>63.39806814996741</v>
      </c>
      <c r="FL265" t="n">
        <v>63.34704266093183</v>
      </c>
      <c r="FM265" t="n">
        <v>62.85520044907779</v>
      </c>
      <c r="HH265" t="n">
        <v>63.506</v>
      </c>
      <c r="HS265" t="n">
        <v>0.8</v>
      </c>
      <c r="ID265" t="n">
        <v>0.9</v>
      </c>
      <c r="IF265" t="n">
        <v>10</v>
      </c>
      <c r="IG265" t="n">
        <v>297</v>
      </c>
      <c r="IH265" t="n">
        <v>3267</v>
      </c>
      <c r="II265" t="n">
        <v>-2673</v>
      </c>
      <c r="IJ265" t="n">
        <v>293.2971414173558</v>
      </c>
      <c r="IK265" t="n">
        <v>302.5981332418033</v>
      </c>
      <c r="IL265" t="n">
        <v>294.3982593251564</v>
      </c>
      <c r="IM265" t="n">
        <v>306.71096879124</v>
      </c>
      <c r="KH265" t="n">
        <v>299.251</v>
      </c>
      <c r="KS265" t="n">
        <v>0.76</v>
      </c>
      <c r="LD265" t="n">
        <v>1.87</v>
      </c>
    </row>
    <row r="266">
      <c r="A266" t="inlineStr">
        <is>
          <t>2026-05-21</t>
        </is>
      </c>
      <c r="B266" t="inlineStr">
        <is>
          <t>Specific Test 6</t>
        </is>
      </c>
      <c r="C266" t="inlineStr">
        <is>
          <t>103726052101</t>
        </is>
      </c>
      <c r="D266" t="inlineStr">
        <is>
          <t>P-LIPA</t>
        </is>
      </c>
      <c r="F266" t="n">
        <v>30</v>
      </c>
      <c r="J266" t="n">
        <v>70.02127447325043</v>
      </c>
      <c r="K266" t="n">
        <v>69.77431539955404</v>
      </c>
      <c r="L266" t="n">
        <v>69.54740633735923</v>
      </c>
      <c r="M266" t="n">
        <v>67.63391896562635</v>
      </c>
      <c r="BH266" t="n">
        <v>69.244</v>
      </c>
      <c r="CD266" t="n">
        <v>1.36</v>
      </c>
      <c r="CF266" t="n">
        <v>30</v>
      </c>
      <c r="CJ266" t="n">
        <v>83.59807505976943</v>
      </c>
      <c r="CK266" t="n">
        <v>84.97537604009986</v>
      </c>
      <c r="CL266" t="n">
        <v>85.07628384285435</v>
      </c>
      <c r="CM266" t="n">
        <v>82.2245507542066</v>
      </c>
      <c r="EH266" t="n">
        <v>83.96899999999999</v>
      </c>
      <c r="FD266" t="n">
        <v>1.39</v>
      </c>
      <c r="FF266" t="n">
        <v>30</v>
      </c>
      <c r="FJ266" t="n">
        <v>42.87866995208677</v>
      </c>
      <c r="FK266" t="n">
        <v>43.26469449013265</v>
      </c>
      <c r="FL266" t="n">
        <v>43.26748906798822</v>
      </c>
      <c r="FM266" t="n">
        <v>41.96898867274081</v>
      </c>
      <c r="HH266" t="n">
        <v>42.845</v>
      </c>
      <c r="ID266" t="n">
        <v>1.24</v>
      </c>
      <c r="IF266" t="n">
        <v>30</v>
      </c>
      <c r="IJ266" t="n">
        <v>104.7295490435362</v>
      </c>
      <c r="IK266" t="n">
        <v>103.955096873594</v>
      </c>
      <c r="IL266" t="n">
        <v>104.5764161661728</v>
      </c>
      <c r="IM266" t="n">
        <v>99.54461701926874</v>
      </c>
      <c r="KH266" t="n">
        <v>103.201</v>
      </c>
      <c r="LD266" t="n">
        <v>2.06</v>
      </c>
    </row>
    <row r="267">
      <c r="A267" t="inlineStr">
        <is>
          <t>2026-05-21</t>
        </is>
      </c>
      <c r="B267" t="inlineStr">
        <is>
          <t>Specific Test 3</t>
        </is>
      </c>
      <c r="C267" t="inlineStr">
        <is>
          <t>103326052101</t>
        </is>
      </c>
      <c r="D267" t="inlineStr">
        <is>
          <t>CK</t>
        </is>
      </c>
      <c r="F267" t="n">
        <v>20</v>
      </c>
      <c r="J267" t="n">
        <v>141.5195677441437</v>
      </c>
      <c r="K267" t="n">
        <v>140.6001908238683</v>
      </c>
      <c r="L267" t="n">
        <v>135.5079723818183</v>
      </c>
      <c r="M267" t="n">
        <v>145.4170069433785</v>
      </c>
      <c r="N267" t="n">
        <v>138.3582095509135</v>
      </c>
      <c r="O267" t="n">
        <v>140.5594446309886</v>
      </c>
      <c r="P267" t="n">
        <v>147.3928323288995</v>
      </c>
      <c r="Q267" t="n">
        <v>144.7427536321521</v>
      </c>
      <c r="R267" t="n">
        <v>147.7212587036603</v>
      </c>
      <c r="BH267" t="n">
        <v>141.808</v>
      </c>
      <c r="CD267" t="n">
        <v>3.12</v>
      </c>
      <c r="CF267" t="n">
        <v>20</v>
      </c>
      <c r="CJ267" t="n">
        <v>503.9392420290312</v>
      </c>
      <c r="CK267" t="n">
        <v>498.4472391233819</v>
      </c>
      <c r="CL267" t="n">
        <v>500.6129220227605</v>
      </c>
      <c r="CM267" t="n">
        <v>540.7048553676228</v>
      </c>
      <c r="EH267" t="n">
        <v>510.926</v>
      </c>
      <c r="FD267" t="n">
        <v>3.39</v>
      </c>
      <c r="FF267" t="n">
        <v>20</v>
      </c>
      <c r="FJ267" t="n">
        <v>72.39889010627726</v>
      </c>
      <c r="FK267" t="n">
        <v>77.32413304326941</v>
      </c>
      <c r="FL267" t="n">
        <v>75.88128350972208</v>
      </c>
      <c r="FM267" t="n">
        <v>55.84999534599958</v>
      </c>
      <c r="FN267" t="n">
        <v>68.0535436886917</v>
      </c>
      <c r="FO267" t="n">
        <v>78.54600375835558</v>
      </c>
      <c r="HH267" t="n">
        <v>71.342</v>
      </c>
      <c r="ID267" t="n">
        <v>10.86</v>
      </c>
      <c r="IF267" t="n">
        <v>20</v>
      </c>
      <c r="IJ267" t="n">
        <v>647.0278185658668</v>
      </c>
      <c r="IK267" t="n">
        <v>613.7917619988565</v>
      </c>
      <c r="IL267" t="n">
        <v>611.835693265878</v>
      </c>
      <c r="IM267" t="n">
        <v>666.0845774456093</v>
      </c>
      <c r="KH267" t="n">
        <v>634.6849999999999</v>
      </c>
      <c r="LD267" t="n">
        <v>3.61</v>
      </c>
    </row>
    <row r="268">
      <c r="A268" t="inlineStr">
        <is>
          <t>2026-05-21</t>
        </is>
      </c>
      <c r="B268" t="inlineStr">
        <is>
          <t>Specific Test 3</t>
        </is>
      </c>
      <c r="C268" t="inlineStr">
        <is>
          <t>103326052101</t>
        </is>
      </c>
      <c r="D268" t="inlineStr">
        <is>
          <t>GGT</t>
        </is>
      </c>
      <c r="F268" t="n">
        <v>15</v>
      </c>
      <c r="G268" t="n">
        <v>57</v>
      </c>
      <c r="H268" t="n">
        <v>912</v>
      </c>
      <c r="I268" t="n">
        <v>-798</v>
      </c>
      <c r="J268" t="n">
        <v>59.20211049312092</v>
      </c>
      <c r="K268" t="n">
        <v>62.67150059159992</v>
      </c>
      <c r="L268" t="n">
        <v>63.60343470811251</v>
      </c>
      <c r="M268" t="n">
        <v>60.35099347318327</v>
      </c>
      <c r="N268" t="n">
        <v>63.06465097401236</v>
      </c>
      <c r="O268" t="n">
        <v>62.76906437068863</v>
      </c>
      <c r="P268" t="n">
        <v>61.14888394878897</v>
      </c>
      <c r="Q268" t="n">
        <v>61.88902545702502</v>
      </c>
      <c r="R268" t="n">
        <v>62.60024445152865</v>
      </c>
      <c r="BH268" t="n">
        <v>61.963</v>
      </c>
      <c r="BS268" t="n">
        <v>8.710000000000001</v>
      </c>
      <c r="CD268" t="n">
        <v>1.92</v>
      </c>
      <c r="CF268" t="n">
        <v>15</v>
      </c>
      <c r="CG268" t="n">
        <v>164</v>
      </c>
      <c r="CH268" t="n">
        <v>2624</v>
      </c>
      <c r="CI268" t="n">
        <v>-2296</v>
      </c>
      <c r="CJ268" t="n">
        <v>173.6348118126926</v>
      </c>
      <c r="CK268" t="n">
        <v>176.007399993221</v>
      </c>
      <c r="CL268" t="n">
        <v>171.092477314352</v>
      </c>
      <c r="CM268" t="n">
        <v>177.6490694867877</v>
      </c>
      <c r="EH268" t="n">
        <v>174.596</v>
      </c>
      <c r="ES268" t="n">
        <v>6.46</v>
      </c>
      <c r="FD268" t="n">
        <v>1.42</v>
      </c>
      <c r="FF268" t="n">
        <v>15</v>
      </c>
      <c r="FG268" t="n">
        <v>23</v>
      </c>
      <c r="FH268" t="n">
        <v>368</v>
      </c>
      <c r="FI268" t="n">
        <v>-322</v>
      </c>
      <c r="FJ268" t="n">
        <v>25.47018534439081</v>
      </c>
      <c r="FK268" t="n">
        <v>26.92841438126093</v>
      </c>
      <c r="FL268" t="n">
        <v>23.69766276850399</v>
      </c>
      <c r="FM268" t="n">
        <v>26.66880040107759</v>
      </c>
      <c r="FN268" t="n">
        <v>25.82770217323016</v>
      </c>
      <c r="FO268" t="n">
        <v>29.8677920012563</v>
      </c>
      <c r="HH268" t="n">
        <v>26.41</v>
      </c>
      <c r="HS268" t="n">
        <v>14.83</v>
      </c>
      <c r="ID268" t="n">
        <v>7.06</v>
      </c>
      <c r="IF268" t="n">
        <v>15</v>
      </c>
      <c r="IG268" t="n">
        <v>126</v>
      </c>
      <c r="IH268" t="n">
        <v>2016</v>
      </c>
      <c r="II268" t="n">
        <v>-1764</v>
      </c>
      <c r="IJ268" t="n">
        <v>135.2544763002115</v>
      </c>
      <c r="IK268" t="n">
        <v>133.3927764182064</v>
      </c>
      <c r="IL268" t="n">
        <v>131.6750256910998</v>
      </c>
      <c r="IM268" t="n">
        <v>138.0923893863792</v>
      </c>
      <c r="KH268" t="n">
        <v>134.604</v>
      </c>
      <c r="KS268" t="n">
        <v>6.83</v>
      </c>
      <c r="LD268" t="n">
        <v>1.77</v>
      </c>
    </row>
    <row r="269">
      <c r="A269" t="inlineStr">
        <is>
          <t>2026-05-21</t>
        </is>
      </c>
      <c r="B269" t="inlineStr">
        <is>
          <t>Specific Test 3</t>
        </is>
      </c>
      <c r="C269" t="inlineStr">
        <is>
          <t>103326052101</t>
        </is>
      </c>
      <c r="D269" t="inlineStr">
        <is>
          <t>LAC</t>
        </is>
      </c>
      <c r="F269" t="n">
        <v>15</v>
      </c>
      <c r="G269" t="n">
        <v>4.399999999999999</v>
      </c>
      <c r="H269" t="n">
        <v>70.39999999999999</v>
      </c>
      <c r="I269" t="n">
        <v>-61.59999999999999</v>
      </c>
      <c r="J269" t="n">
        <v>3.909743032690272</v>
      </c>
      <c r="K269" t="n">
        <v>4.557092473526108</v>
      </c>
      <c r="L269" t="n">
        <v>4.24786787074855</v>
      </c>
      <c r="M269" t="n">
        <v>4.637022527313013</v>
      </c>
      <c r="N269" t="n">
        <v>4.302502687741556</v>
      </c>
      <c r="O269" t="n">
        <v>4.695750630366547</v>
      </c>
      <c r="P269" t="n">
        <v>4.956441634315035</v>
      </c>
      <c r="Q269" t="n">
        <v>4.42729996255473</v>
      </c>
      <c r="R269" t="n">
        <v>4.477491186167697</v>
      </c>
      <c r="BH269" t="n">
        <v>4.404</v>
      </c>
      <c r="BS269" t="n">
        <v>0.08</v>
      </c>
      <c r="CD269" t="n">
        <v>6.42</v>
      </c>
      <c r="CF269" t="n">
        <v>15</v>
      </c>
      <c r="CG269" t="n">
        <v>1.15</v>
      </c>
      <c r="CH269" t="n">
        <v>18.4</v>
      </c>
      <c r="CI269" t="n">
        <v>-16.1</v>
      </c>
      <c r="CJ269" t="n">
        <v>1.186541707659245</v>
      </c>
      <c r="CK269" t="n">
        <v>1.204231823791901</v>
      </c>
      <c r="CL269" t="n">
        <v>1.182406040579184</v>
      </c>
      <c r="CM269" t="n">
        <v>1.179515054703925</v>
      </c>
      <c r="EH269" t="n">
        <v>1.188</v>
      </c>
      <c r="ES269" t="n">
        <v>3.32</v>
      </c>
      <c r="FD269" t="n">
        <v>0.8100000000000001</v>
      </c>
      <c r="FF269" t="n">
        <v>15</v>
      </c>
      <c r="FG269" t="n">
        <v>1.45</v>
      </c>
      <c r="FH269" t="n">
        <v>23.2</v>
      </c>
      <c r="FI269" t="n">
        <v>-20.3</v>
      </c>
      <c r="FJ269" t="n">
        <v>1.378275932932132</v>
      </c>
      <c r="FK269" t="n">
        <v>1.435211402606635</v>
      </c>
      <c r="FL269" t="n">
        <v>1.451768890431746</v>
      </c>
      <c r="FM269" t="n">
        <v>1.400453754930986</v>
      </c>
      <c r="FN269" t="n">
        <v>1.43602861467722</v>
      </c>
      <c r="FO269" t="n">
        <v>1.422106877231969</v>
      </c>
      <c r="HH269" t="n">
        <v>1.421</v>
      </c>
      <c r="HS269" t="n">
        <v>-2.02</v>
      </c>
      <c r="ID269" t="n">
        <v>1.73</v>
      </c>
      <c r="IF269" t="n">
        <v>15</v>
      </c>
      <c r="IG269" t="n">
        <v>5.899999999999999</v>
      </c>
      <c r="IH269" t="n">
        <v>94.39999999999999</v>
      </c>
      <c r="II269" t="n">
        <v>-82.59999999999999</v>
      </c>
      <c r="IJ269" t="n">
        <v>5.8830458395876</v>
      </c>
      <c r="IK269" t="n">
        <v>5.790247315808595</v>
      </c>
      <c r="IL269" t="n">
        <v>6.047644643063639</v>
      </c>
      <c r="IM269" t="n">
        <v>6.664939674929699</v>
      </c>
      <c r="KH269" t="n">
        <v>6.096</v>
      </c>
      <c r="KS269" t="n">
        <v>3.33</v>
      </c>
      <c r="LD269" t="n">
        <v>5.59</v>
      </c>
    </row>
    <row r="270">
      <c r="A270" t="inlineStr">
        <is>
          <t>2026-05-21</t>
        </is>
      </c>
      <c r="B270" t="inlineStr">
        <is>
          <t>Specific Test 3</t>
        </is>
      </c>
      <c r="C270" t="inlineStr">
        <is>
          <t>103326052101</t>
        </is>
      </c>
      <c r="D270" t="inlineStr">
        <is>
          <t>LDH</t>
        </is>
      </c>
      <c r="F270" t="n">
        <v>15</v>
      </c>
      <c r="J270" t="n">
        <v>309.0740215321598</v>
      </c>
      <c r="K270" t="n">
        <v>320.596894350391</v>
      </c>
      <c r="L270" t="n">
        <v>325.522177728628</v>
      </c>
      <c r="M270" t="n">
        <v>326.6623535917544</v>
      </c>
      <c r="N270" t="n">
        <v>319.0634827712586</v>
      </c>
      <c r="O270" t="n">
        <v>316.1050076979623</v>
      </c>
      <c r="P270" t="n">
        <v>319.2407979181273</v>
      </c>
      <c r="Q270" t="n">
        <v>324.1876951926333</v>
      </c>
      <c r="R270" t="n">
        <v>277.1696350239529</v>
      </c>
      <c r="BH270" t="n">
        <v>303.796</v>
      </c>
      <c r="CD270" t="n">
        <v>7.74</v>
      </c>
      <c r="CF270" t="n">
        <v>15</v>
      </c>
      <c r="CJ270" t="n">
        <v>657.9221335326304</v>
      </c>
      <c r="CK270" t="n">
        <v>660.9907797167052</v>
      </c>
      <c r="CL270" t="n">
        <v>652.4004320401796</v>
      </c>
      <c r="CM270" t="n">
        <v>669.4202231198958</v>
      </c>
      <c r="EH270" t="n">
        <v>660.183</v>
      </c>
      <c r="FD270" t="n">
        <v>0.93</v>
      </c>
      <c r="FF270" t="n">
        <v>15</v>
      </c>
      <c r="FJ270" t="n">
        <v>195.089102606575</v>
      </c>
      <c r="FK270" t="n">
        <v>199.2778808044729</v>
      </c>
      <c r="FL270" t="n">
        <v>197.8791111154403</v>
      </c>
      <c r="FM270" t="n">
        <v>193.5899418561033</v>
      </c>
      <c r="FN270" t="n">
        <v>199.8177035372468</v>
      </c>
      <c r="FO270" t="n">
        <v>196.1930239989699</v>
      </c>
      <c r="HH270" t="n">
        <v>196.974</v>
      </c>
      <c r="ID270" t="n">
        <v>1.13</v>
      </c>
      <c r="IF270" t="n">
        <v>15</v>
      </c>
      <c r="IJ270" t="n">
        <v>801.0760517219919</v>
      </c>
      <c r="IK270" t="n">
        <v>803.1490541040757</v>
      </c>
      <c r="IL270" t="n">
        <v>780.6424864557678</v>
      </c>
      <c r="IM270" t="n">
        <v>782.9416186452836</v>
      </c>
      <c r="KH270" t="n">
        <v>791.952</v>
      </c>
      <c r="LD270" t="n">
        <v>1.29</v>
      </c>
    </row>
    <row r="271">
      <c r="A271" t="inlineStr">
        <is>
          <t>2026-05-21</t>
        </is>
      </c>
      <c r="B271" t="inlineStr">
        <is>
          <t>Specific Test 3</t>
        </is>
      </c>
      <c r="C271" t="inlineStr">
        <is>
          <t>103326052101</t>
        </is>
      </c>
      <c r="D271" t="inlineStr">
        <is>
          <t>TBIL</t>
        </is>
      </c>
      <c r="F271" t="n">
        <v>20</v>
      </c>
      <c r="G271" t="n">
        <v>1.1</v>
      </c>
      <c r="H271" t="n">
        <v>23.1</v>
      </c>
      <c r="I271" t="n">
        <v>-20.9</v>
      </c>
      <c r="J271" t="n">
        <v>1.253889490464892</v>
      </c>
      <c r="K271" t="n">
        <v>1.331746506887182</v>
      </c>
      <c r="L271" t="n">
        <v>1.307793641336287</v>
      </c>
      <c r="M271" t="n">
        <v>1.370547093203558</v>
      </c>
      <c r="N271" t="n">
        <v>1.378799250676236</v>
      </c>
      <c r="O271" t="n">
        <v>1.41058458505342</v>
      </c>
      <c r="P271" t="n">
        <v>1.289346763513017</v>
      </c>
      <c r="Q271" t="n">
        <v>1.317172384435075</v>
      </c>
      <c r="R271" t="n">
        <v>1.414042603085488</v>
      </c>
      <c r="BH271" t="n">
        <v>1.352</v>
      </c>
      <c r="BS271" t="n">
        <v>22.91</v>
      </c>
      <c r="CD271" t="n">
        <v>3.81</v>
      </c>
      <c r="CF271" t="n">
        <v>20</v>
      </c>
      <c r="CG271" t="n">
        <v>5.1</v>
      </c>
      <c r="CH271" t="n">
        <v>107.1</v>
      </c>
      <c r="CI271" t="n">
        <v>-96.89999999999999</v>
      </c>
      <c r="CJ271" t="n">
        <v>5.301181991262911</v>
      </c>
      <c r="CK271" t="n">
        <v>5.437423946090232</v>
      </c>
      <c r="CL271" t="n">
        <v>5.358506533454842</v>
      </c>
      <c r="CM271" t="n">
        <v>5.349346996923082</v>
      </c>
      <c r="EH271" t="n">
        <v>5.362</v>
      </c>
      <c r="ES271" t="n">
        <v>5.13</v>
      </c>
      <c r="FD271" t="n">
        <v>0.91</v>
      </c>
      <c r="FF271" t="n">
        <v>20</v>
      </c>
      <c r="FG271" t="n">
        <v>0.8</v>
      </c>
      <c r="FH271" t="n">
        <v>16.8</v>
      </c>
      <c r="FI271" t="n">
        <v>-15.2</v>
      </c>
      <c r="FJ271" t="n">
        <v>0.7500961120257248</v>
      </c>
      <c r="FK271" t="n">
        <v>0.7164380377626225</v>
      </c>
      <c r="FL271" t="n">
        <v>0.6771465333536746</v>
      </c>
      <c r="FM271" t="n">
        <v>0.7005140561193013</v>
      </c>
      <c r="FN271" t="n">
        <v>0.6958091106757935</v>
      </c>
      <c r="FO271" t="n">
        <v>0.7701093521473474</v>
      </c>
      <c r="HH271" t="n">
        <v>0.718</v>
      </c>
      <c r="HS271" t="n">
        <v>-10.21</v>
      </c>
      <c r="ID271" t="n">
        <v>4.48</v>
      </c>
      <c r="IF271" t="n">
        <v>20</v>
      </c>
      <c r="IG271" t="n">
        <v>8.4</v>
      </c>
      <c r="IH271" t="n">
        <v>176.4</v>
      </c>
      <c r="II271" t="n">
        <v>-159.6</v>
      </c>
      <c r="IJ271" t="n">
        <v>8.389032462097344</v>
      </c>
      <c r="IK271" t="n">
        <v>8.397961054869235</v>
      </c>
      <c r="IL271" t="n">
        <v>8.349405074055326</v>
      </c>
      <c r="IM271" t="n">
        <v>8.440905334276728</v>
      </c>
      <c r="KH271" t="n">
        <v>8.394</v>
      </c>
      <c r="KS271" t="n">
        <v>-0.07000000000000001</v>
      </c>
      <c r="LD271" t="n">
        <v>0.39</v>
      </c>
    </row>
    <row r="272">
      <c r="A272" t="inlineStr">
        <is>
          <t>2026-05-21</t>
        </is>
      </c>
      <c r="B272" t="inlineStr">
        <is>
          <t>Specific Test 2</t>
        </is>
      </c>
      <c r="C272" t="inlineStr">
        <is>
          <t>103226052101</t>
        </is>
      </c>
      <c r="D272" t="inlineStr">
        <is>
          <t>ALB</t>
        </is>
      </c>
      <c r="F272" t="n">
        <v>8</v>
      </c>
      <c r="G272" t="n">
        <v>4.2</v>
      </c>
      <c r="H272" t="n">
        <v>37.8</v>
      </c>
      <c r="I272" t="n">
        <v>-29.4</v>
      </c>
      <c r="J272" t="n">
        <v>4.167209165231957</v>
      </c>
      <c r="K272" t="n">
        <v>4.180713859463672</v>
      </c>
      <c r="L272" t="n">
        <v>4.170709488501296</v>
      </c>
      <c r="BH272" t="n">
        <v>4.173</v>
      </c>
      <c r="BS272" t="n">
        <v>-0.65</v>
      </c>
      <c r="CD272" t="n">
        <v>0.14</v>
      </c>
      <c r="CF272" t="n">
        <v>8</v>
      </c>
      <c r="CG272" t="n">
        <v>2.7</v>
      </c>
      <c r="CH272" t="n">
        <v>24.3</v>
      </c>
      <c r="CI272" t="n">
        <v>-18.9</v>
      </c>
      <c r="CJ272" t="n">
        <v>2.820895866248879</v>
      </c>
      <c r="CK272" t="n">
        <v>2.813700531793919</v>
      </c>
      <c r="CL272" t="n">
        <v>2.864091156051714</v>
      </c>
      <c r="CM272" t="n">
        <v>2.693261715410046</v>
      </c>
      <c r="CN272" t="n">
        <v>2.815414003934584</v>
      </c>
      <c r="CO272" t="n">
        <v>2.787640529355108</v>
      </c>
      <c r="CP272" t="n">
        <v>2.823891320454846</v>
      </c>
      <c r="CQ272" t="n">
        <v>2.738317587171154</v>
      </c>
      <c r="EH272" t="n">
        <v>2.795</v>
      </c>
      <c r="ES272" t="n">
        <v>3.51</v>
      </c>
      <c r="FD272" t="n">
        <v>1.82</v>
      </c>
      <c r="FF272" t="n">
        <v>8</v>
      </c>
      <c r="FG272" t="n">
        <v>2.6</v>
      </c>
      <c r="FH272" t="n">
        <v>23.4</v>
      </c>
      <c r="FI272" t="n">
        <v>-18.2</v>
      </c>
      <c r="FJ272" t="n">
        <v>2.643301530821658</v>
      </c>
      <c r="FK272" t="n">
        <v>2.591025624555594</v>
      </c>
      <c r="FL272" t="n">
        <v>2.6990656179433</v>
      </c>
      <c r="FM272" t="n">
        <v>2.516068659073899</v>
      </c>
      <c r="HH272" t="n">
        <v>2.612</v>
      </c>
      <c r="HS272" t="n">
        <v>0.48</v>
      </c>
      <c r="ID272" t="n">
        <v>2.58</v>
      </c>
      <c r="IF272" t="n">
        <v>8</v>
      </c>
      <c r="IG272" t="n">
        <v>4.2</v>
      </c>
      <c r="IH272" t="n">
        <v>37.8</v>
      </c>
      <c r="II272" t="n">
        <v>-29.4</v>
      </c>
      <c r="IJ272" t="n">
        <v>4.136426439928868</v>
      </c>
      <c r="IK272" t="n">
        <v>4.113167038802549</v>
      </c>
      <c r="IL272" t="n">
        <v>4.190861810173566</v>
      </c>
      <c r="IM272" t="n">
        <v>4.111901993092628</v>
      </c>
      <c r="KH272" t="n">
        <v>4.138</v>
      </c>
      <c r="KS272" t="n">
        <v>-1.47</v>
      </c>
      <c r="LD272" t="n">
        <v>0.77</v>
      </c>
    </row>
    <row r="273">
      <c r="A273" t="inlineStr">
        <is>
          <t>2026-05-21</t>
        </is>
      </c>
      <c r="B273" t="inlineStr">
        <is>
          <t>Specific Test 2</t>
        </is>
      </c>
      <c r="C273" t="inlineStr">
        <is>
          <t>103226052101</t>
        </is>
      </c>
      <c r="D273" t="inlineStr">
        <is>
          <t>BUN</t>
        </is>
      </c>
      <c r="F273" t="n">
        <v>9</v>
      </c>
      <c r="G273" t="n">
        <v>14.8</v>
      </c>
      <c r="H273" t="n">
        <v>148</v>
      </c>
      <c r="I273" t="n">
        <v>-118.4</v>
      </c>
      <c r="J273" t="n">
        <v>14.99814275106526</v>
      </c>
      <c r="K273" t="n">
        <v>14.95672489428409</v>
      </c>
      <c r="L273" t="n">
        <v>15.01084425537005</v>
      </c>
      <c r="BH273" t="n">
        <v>14.989</v>
      </c>
      <c r="BS273" t="n">
        <v>1.27</v>
      </c>
      <c r="CD273" t="n">
        <v>0.15</v>
      </c>
      <c r="CF273" t="n">
        <v>9</v>
      </c>
      <c r="CG273" t="n">
        <v>44.7</v>
      </c>
      <c r="CH273" t="n">
        <v>447</v>
      </c>
      <c r="CI273" t="n">
        <v>-357.6</v>
      </c>
      <c r="CJ273" t="n">
        <v>45.77433135593812</v>
      </c>
      <c r="CK273" t="n">
        <v>45.9596984154096</v>
      </c>
      <c r="CL273" t="n">
        <v>46.45112908494377</v>
      </c>
      <c r="CM273" t="n">
        <v>46.11368059926826</v>
      </c>
      <c r="CN273" t="n">
        <v>46.41548318293913</v>
      </c>
      <c r="CO273" t="n">
        <v>45.77284493808409</v>
      </c>
      <c r="CP273" t="n">
        <v>45.95521952054301</v>
      </c>
      <c r="CQ273" t="n">
        <v>45.65873179838766</v>
      </c>
      <c r="EH273" t="n">
        <v>46.013</v>
      </c>
      <c r="ES273" t="n">
        <v>2.94</v>
      </c>
      <c r="FD273" t="n">
        <v>0.6</v>
      </c>
      <c r="FF273" t="n">
        <v>9</v>
      </c>
      <c r="FG273" t="n">
        <v>14.7</v>
      </c>
      <c r="FH273" t="n">
        <v>147</v>
      </c>
      <c r="FI273" t="n">
        <v>-117.6</v>
      </c>
      <c r="FJ273" t="n">
        <v>15.34741248236434</v>
      </c>
      <c r="FK273" t="n">
        <v>14.7188589731194</v>
      </c>
      <c r="FL273" t="n">
        <v>14.88578729879061</v>
      </c>
      <c r="FM273" t="n">
        <v>14.94881762554868</v>
      </c>
      <c r="HH273" t="n">
        <v>14.975</v>
      </c>
      <c r="HS273" t="n">
        <v>1.87</v>
      </c>
      <c r="ID273" t="n">
        <v>1.54</v>
      </c>
      <c r="IF273" t="n">
        <v>9</v>
      </c>
      <c r="IG273" t="n">
        <v>65.7</v>
      </c>
      <c r="IH273" t="n">
        <v>657</v>
      </c>
      <c r="II273" t="n">
        <v>-525.6</v>
      </c>
      <c r="IJ273" t="n">
        <v>65.50725689737762</v>
      </c>
      <c r="IK273" t="n">
        <v>65.26562974280527</v>
      </c>
      <c r="IL273" t="n">
        <v>65.02731316636519</v>
      </c>
      <c r="IM273" t="n">
        <v>65.5623864787588</v>
      </c>
      <c r="KH273" t="n">
        <v>65.34099999999999</v>
      </c>
      <c r="KS273" t="n">
        <v>-0.55</v>
      </c>
      <c r="LD273" t="n">
        <v>0.33</v>
      </c>
    </row>
    <row r="274">
      <c r="A274" t="inlineStr">
        <is>
          <t>2026-05-21</t>
        </is>
      </c>
      <c r="B274" t="inlineStr">
        <is>
          <t>Specific Test 2</t>
        </is>
      </c>
      <c r="C274" t="inlineStr">
        <is>
          <t>103226052101</t>
        </is>
      </c>
      <c r="D274" t="inlineStr">
        <is>
          <t>CREA</t>
        </is>
      </c>
      <c r="F274" t="n">
        <v>10</v>
      </c>
      <c r="G274" t="n">
        <v>1.5</v>
      </c>
      <c r="H274" t="n">
        <v>16.5</v>
      </c>
      <c r="I274" t="n">
        <v>-13.5</v>
      </c>
      <c r="J274" t="n">
        <v>1.323581644615858</v>
      </c>
      <c r="K274" t="n">
        <v>1.304041304002062</v>
      </c>
      <c r="L274" t="n">
        <v>1.265233156767792</v>
      </c>
      <c r="BH274" t="n">
        <v>1.298</v>
      </c>
      <c r="BS274" t="n">
        <v>-13.49</v>
      </c>
      <c r="CD274" t="n">
        <v>1.87</v>
      </c>
      <c r="CF274" t="n">
        <v>10</v>
      </c>
      <c r="CG274" t="n">
        <v>5.55</v>
      </c>
      <c r="CH274" t="n">
        <v>61.05</v>
      </c>
      <c r="CI274" t="n">
        <v>-49.95</v>
      </c>
      <c r="CJ274" t="n">
        <v>4.531631160903628</v>
      </c>
      <c r="CK274" t="n">
        <v>4.692821424425873</v>
      </c>
      <c r="CL274" t="n">
        <v>4.769997109478409</v>
      </c>
      <c r="CM274" t="n">
        <v>4.670528948283309</v>
      </c>
      <c r="CN274" t="n">
        <v>-0.1162610045976207</v>
      </c>
      <c r="CO274" t="n">
        <v>4.755983428194599</v>
      </c>
      <c r="CP274" t="n">
        <v>4.712296474689133</v>
      </c>
      <c r="CQ274" t="n">
        <v>4.723463544081349</v>
      </c>
      <c r="EH274" t="n">
        <v>4.093</v>
      </c>
      <c r="ES274" t="n">
        <v>-26.26</v>
      </c>
      <c r="FD274" t="n">
        <v>38.91</v>
      </c>
      <c r="FF274" t="n">
        <v>10</v>
      </c>
      <c r="FG274" t="n">
        <v>0.97</v>
      </c>
      <c r="FH274" t="n">
        <v>10.67</v>
      </c>
      <c r="FI274" t="n">
        <v>-8.73</v>
      </c>
      <c r="FJ274" t="n">
        <v>0.650364572432733</v>
      </c>
      <c r="FK274" t="n">
        <v>0.673682830244862</v>
      </c>
      <c r="FL274" t="n">
        <v>0.6632381387482515</v>
      </c>
      <c r="FM274" t="n">
        <v>0.6599371000547414</v>
      </c>
      <c r="HH274" t="n">
        <v>0.662</v>
      </c>
      <c r="HS274" t="n">
        <v>-31.77</v>
      </c>
      <c r="ID274" t="n">
        <v>1.26</v>
      </c>
      <c r="IF274" t="n">
        <v>10</v>
      </c>
      <c r="IG274" t="n">
        <v>5.95</v>
      </c>
      <c r="IH274" t="n">
        <v>65.45</v>
      </c>
      <c r="II274" t="n">
        <v>-53.55</v>
      </c>
      <c r="IJ274" t="n">
        <v>5.26394450259513</v>
      </c>
      <c r="IK274" t="n">
        <v>5.298900037677051</v>
      </c>
      <c r="IL274" t="n">
        <v>5.294509301120699</v>
      </c>
      <c r="IM274" t="n">
        <v>5.257728224827636</v>
      </c>
      <c r="KH274" t="n">
        <v>5.279</v>
      </c>
      <c r="KS274" t="n">
        <v>-11.28</v>
      </c>
      <c r="LD274" t="n">
        <v>0.34</v>
      </c>
    </row>
    <row r="275">
      <c r="A275" t="inlineStr">
        <is>
          <t>2026-05-21</t>
        </is>
      </c>
      <c r="B275" t="inlineStr">
        <is>
          <t>Specific Test 2</t>
        </is>
      </c>
      <c r="C275" t="inlineStr">
        <is>
          <t>103226052101</t>
        </is>
      </c>
      <c r="D275" t="inlineStr">
        <is>
          <t>GLU</t>
        </is>
      </c>
      <c r="F275" t="n">
        <v>8</v>
      </c>
      <c r="G275" t="n">
        <v>90.16</v>
      </c>
      <c r="H275" t="n">
        <v>811.4399999999999</v>
      </c>
      <c r="I275" t="n">
        <v>-631.12</v>
      </c>
      <c r="J275" t="n">
        <v>93.61704934918552</v>
      </c>
      <c r="K275" t="n">
        <v>93.38468959458285</v>
      </c>
      <c r="L275" t="n">
        <v>92.61845812309224</v>
      </c>
      <c r="BH275" t="n">
        <v>93.20699999999999</v>
      </c>
      <c r="BS275" t="n">
        <v>3.38</v>
      </c>
      <c r="CD275" t="n">
        <v>0.46</v>
      </c>
      <c r="CF275" t="n">
        <v>8</v>
      </c>
      <c r="CG275" t="n">
        <v>293.02</v>
      </c>
      <c r="CH275" t="n">
        <v>2637.18</v>
      </c>
      <c r="CI275" t="n">
        <v>-2051.14</v>
      </c>
      <c r="CJ275" t="n">
        <v>307.1687411589955</v>
      </c>
      <c r="CK275" t="n">
        <v>305.6502539781778</v>
      </c>
      <c r="CL275" t="n">
        <v>308.5790349074585</v>
      </c>
      <c r="CM275" t="n">
        <v>300.6940818098365</v>
      </c>
      <c r="CN275" t="n">
        <v>311.1620377666805</v>
      </c>
      <c r="CO275" t="n">
        <v>308.9322256134538</v>
      </c>
      <c r="CP275" t="n">
        <v>306.0653704389006</v>
      </c>
      <c r="CQ275" t="n">
        <v>305.0662633485551</v>
      </c>
      <c r="EH275" t="n">
        <v>306.665</v>
      </c>
      <c r="ES275" t="n">
        <v>4.66</v>
      </c>
      <c r="FD275" t="n">
        <v>0.96</v>
      </c>
      <c r="FF275" t="n">
        <v>8</v>
      </c>
      <c r="FG275" t="n">
        <v>65.66</v>
      </c>
      <c r="FH275" t="n">
        <v>590.9399999999999</v>
      </c>
      <c r="FI275" t="n">
        <v>-459.62</v>
      </c>
      <c r="FJ275" t="n">
        <v>67.79764589051739</v>
      </c>
      <c r="FK275" t="n">
        <v>68.35851752624372</v>
      </c>
      <c r="FL275" t="n">
        <v>67.18417290969168</v>
      </c>
      <c r="FM275" t="n">
        <v>68.00282969356924</v>
      </c>
      <c r="HH275" t="n">
        <v>67.836</v>
      </c>
      <c r="HS275" t="n">
        <v>3.31</v>
      </c>
      <c r="ID275" t="n">
        <v>0.63</v>
      </c>
      <c r="IF275" t="n">
        <v>8</v>
      </c>
      <c r="IG275" t="n">
        <v>359.66</v>
      </c>
      <c r="IH275" t="n">
        <v>3236.94</v>
      </c>
      <c r="II275" t="n">
        <v>-2517.62</v>
      </c>
      <c r="IJ275" t="n">
        <v>365.8006632409455</v>
      </c>
      <c r="IK275" t="n">
        <v>362.7568231510756</v>
      </c>
      <c r="IL275" t="n">
        <v>364.6015216043323</v>
      </c>
      <c r="IM275" t="n">
        <v>367.4714871461694</v>
      </c>
      <c r="KH275" t="n">
        <v>365.158</v>
      </c>
      <c r="KS275" t="n">
        <v>1.53</v>
      </c>
      <c r="LD275" t="n">
        <v>0.47</v>
      </c>
    </row>
    <row r="276">
      <c r="A276" t="inlineStr">
        <is>
          <t>2026-05-21</t>
        </is>
      </c>
      <c r="B276" t="inlineStr">
        <is>
          <t>Specific Test 2</t>
        </is>
      </c>
      <c r="C276" t="inlineStr">
        <is>
          <t>103226052101</t>
        </is>
      </c>
      <c r="D276" t="inlineStr">
        <is>
          <t>TP</t>
        </is>
      </c>
      <c r="F276" t="n">
        <v>8</v>
      </c>
      <c r="G276" t="n">
        <v>6.4</v>
      </c>
      <c r="H276" t="n">
        <v>57.6</v>
      </c>
      <c r="I276" t="n">
        <v>-44.8</v>
      </c>
      <c r="J276" t="n">
        <v>6.583812288295849</v>
      </c>
      <c r="K276" t="n">
        <v>6.602348000670175</v>
      </c>
      <c r="L276" t="n">
        <v>6.540463552356218</v>
      </c>
      <c r="BH276" t="n">
        <v>6.576</v>
      </c>
      <c r="BS276" t="n">
        <v>2.74</v>
      </c>
      <c r="CD276" t="n">
        <v>0.39</v>
      </c>
      <c r="CF276" t="n">
        <v>8</v>
      </c>
      <c r="CG276" t="n">
        <v>4.1</v>
      </c>
      <c r="CH276" t="n">
        <v>36.9</v>
      </c>
      <c r="CI276" t="n">
        <v>-28.7</v>
      </c>
      <c r="CJ276" t="n">
        <v>4.527393265184273</v>
      </c>
      <c r="CK276" t="n">
        <v>4.485666817472947</v>
      </c>
      <c r="CL276" t="n">
        <v>4.531298919496723</v>
      </c>
      <c r="CM276" t="n">
        <v>4.391872821859809</v>
      </c>
      <c r="CN276" t="n">
        <v>4.371550353739035</v>
      </c>
      <c r="CO276" t="n">
        <v>4.399182162351321</v>
      </c>
      <c r="CP276" t="n">
        <v>4.323941357001358</v>
      </c>
      <c r="CQ276" t="n">
        <v>4.360308371423783</v>
      </c>
      <c r="EH276" t="n">
        <v>4.424</v>
      </c>
      <c r="ES276" t="n">
        <v>7.9</v>
      </c>
      <c r="FD276" t="n">
        <v>1.69</v>
      </c>
      <c r="FF276" t="n">
        <v>8</v>
      </c>
      <c r="FG276" t="n">
        <v>4.2</v>
      </c>
      <c r="FH276" t="n">
        <v>37.8</v>
      </c>
      <c r="FI276" t="n">
        <v>-29.4</v>
      </c>
      <c r="FJ276" t="n">
        <v>4.082505206342751</v>
      </c>
      <c r="FK276" t="n">
        <v>4.111387078719186</v>
      </c>
      <c r="FL276" t="n">
        <v>4.093496437583787</v>
      </c>
      <c r="FM276" t="n">
        <v>4.11031345796768</v>
      </c>
      <c r="HH276" t="n">
        <v>4.099</v>
      </c>
      <c r="HS276" t="n">
        <v>-2.39</v>
      </c>
      <c r="ID276" t="n">
        <v>0.29</v>
      </c>
      <c r="IF276" t="n">
        <v>8</v>
      </c>
      <c r="IG276" t="n">
        <v>7.5</v>
      </c>
      <c r="IH276" t="n">
        <v>67.5</v>
      </c>
      <c r="II276" t="n">
        <v>-52.5</v>
      </c>
      <c r="IJ276" t="n">
        <v>7.449842153474544</v>
      </c>
      <c r="IK276" t="n">
        <v>7.514756764848323</v>
      </c>
      <c r="IL276" t="n">
        <v>7.522606575244722</v>
      </c>
      <c r="IM276" t="n">
        <v>7.498641660849585</v>
      </c>
      <c r="KH276" t="n">
        <v>7.496</v>
      </c>
      <c r="KS276" t="n">
        <v>-0.05</v>
      </c>
      <c r="LD276" t="n">
        <v>0.38</v>
      </c>
    </row>
    <row r="277">
      <c r="A277" t="inlineStr">
        <is>
          <t>2026-05-20</t>
        </is>
      </c>
      <c r="B277" t="inlineStr">
        <is>
          <t>Coagulation</t>
        </is>
      </c>
      <c r="C277" t="inlineStr">
        <is>
          <t>230126052007</t>
        </is>
      </c>
      <c r="D277" t="inlineStr">
        <is>
          <t>APTT</t>
        </is>
      </c>
      <c r="J277" t="n">
        <v>108.13015</v>
      </c>
      <c r="K277" t="n">
        <v>107.686195</v>
      </c>
      <c r="L277" t="n">
        <v>108.15502</v>
      </c>
      <c r="M277" t="n">
        <v>108.937</v>
      </c>
      <c r="N277" t="n">
        <v>108.707794</v>
      </c>
      <c r="O277" t="n">
        <v>110.78052</v>
      </c>
      <c r="BH277" t="n">
        <v>108.733</v>
      </c>
      <c r="CD277" t="n">
        <v>0.92</v>
      </c>
      <c r="CJ277" t="n">
        <v>114.1619</v>
      </c>
      <c r="CK277" t="n">
        <v>114.640305</v>
      </c>
      <c r="CL277" t="n">
        <v>111.82643</v>
      </c>
      <c r="CM277" t="n">
        <v>120.17267</v>
      </c>
      <c r="CN277" t="n">
        <v>116.234</v>
      </c>
      <c r="CO277" t="n">
        <v>117.6934</v>
      </c>
      <c r="EH277" t="n">
        <v>115.788</v>
      </c>
      <c r="FD277" t="n">
        <v>2.3</v>
      </c>
      <c r="FJ277" t="n">
        <v>124.06911</v>
      </c>
      <c r="FK277" t="n">
        <v>122.21</v>
      </c>
      <c r="FL277" t="n">
        <v>105.57336</v>
      </c>
      <c r="FM277" t="n">
        <v>120.24048</v>
      </c>
      <c r="HH277" t="n">
        <v>118.023</v>
      </c>
      <c r="ID277" t="n">
        <v>6.2</v>
      </c>
      <c r="IJ277" t="n">
        <v>120.037319</v>
      </c>
      <c r="KH277" t="n">
        <v>120.037</v>
      </c>
    </row>
    <row r="278">
      <c r="A278" t="inlineStr">
        <is>
          <t>2026-05-20</t>
        </is>
      </c>
      <c r="B278" t="inlineStr">
        <is>
          <t>Coagulation</t>
        </is>
      </c>
      <c r="C278" t="inlineStr">
        <is>
          <t>230126052007</t>
        </is>
      </c>
      <c r="D278" t="inlineStr">
        <is>
          <t>FIB</t>
        </is>
      </c>
      <c r="J278" t="n">
        <v>209.57011</v>
      </c>
      <c r="K278" t="n">
        <v>197.30916</v>
      </c>
      <c r="L278" t="n">
        <v>190.0246</v>
      </c>
      <c r="M278" t="n">
        <v>217.59651</v>
      </c>
      <c r="N278" t="n">
        <v>208.4798</v>
      </c>
      <c r="O278" t="n">
        <v>128.34067</v>
      </c>
      <c r="BH278" t="n">
        <v>191.887</v>
      </c>
      <c r="CD278" t="n">
        <v>15.52</v>
      </c>
      <c r="CJ278" t="n">
        <v>200.21426</v>
      </c>
      <c r="CK278" t="n">
        <v>157.29156</v>
      </c>
      <c r="CL278" t="n">
        <v>192.68114</v>
      </c>
      <c r="CM278" t="n">
        <v>174.29118</v>
      </c>
      <c r="CN278" t="n">
        <v>180.97745</v>
      </c>
      <c r="CO278" t="n">
        <v>195.42682</v>
      </c>
      <c r="EH278" t="n">
        <v>183.48</v>
      </c>
      <c r="FD278" t="n">
        <v>7.97</v>
      </c>
      <c r="FJ278" t="n">
        <v>75.52446</v>
      </c>
      <c r="FK278" t="n">
        <v>147.94508</v>
      </c>
      <c r="FL278" t="n">
        <v>72.86217499999999</v>
      </c>
      <c r="FM278" t="n">
        <v>65.756294</v>
      </c>
      <c r="FN278" t="n">
        <v>79.4179</v>
      </c>
      <c r="FO278" t="n">
        <v>75.130135</v>
      </c>
      <c r="HH278" t="n">
        <v>86.10599999999999</v>
      </c>
      <c r="ID278" t="n">
        <v>32.47</v>
      </c>
      <c r="IJ278" t="n">
        <v>235.4372779118256</v>
      </c>
      <c r="KH278" t="n">
        <v>235.437</v>
      </c>
    </row>
    <row r="279">
      <c r="A279" t="inlineStr">
        <is>
          <t>2026-05-20</t>
        </is>
      </c>
      <c r="B279" t="inlineStr">
        <is>
          <t>Coagulation</t>
        </is>
      </c>
      <c r="C279" t="inlineStr">
        <is>
          <t>230126052007</t>
        </is>
      </c>
      <c r="D279" t="inlineStr">
        <is>
          <t>PT</t>
        </is>
      </c>
      <c r="J279" t="n">
        <v>15.834916</v>
      </c>
      <c r="K279" t="n">
        <v>15.891635</v>
      </c>
      <c r="L279" t="n">
        <v>15.570163</v>
      </c>
      <c r="M279" t="n">
        <v>17.989004</v>
      </c>
      <c r="N279" t="n">
        <v>19.66054</v>
      </c>
      <c r="O279" t="n">
        <v>17.979765</v>
      </c>
      <c r="BH279" t="n">
        <v>17.154</v>
      </c>
      <c r="CD279" t="n">
        <v>8.75</v>
      </c>
      <c r="FJ279" t="n">
        <v>35.492844</v>
      </c>
      <c r="FK279" t="n">
        <v>21.171307</v>
      </c>
      <c r="FL279" t="n">
        <v>20.864542</v>
      </c>
      <c r="FM279" t="n">
        <v>32.489536</v>
      </c>
      <c r="FN279" t="n">
        <v>24.234642</v>
      </c>
      <c r="FO279" t="n">
        <v>23.896519</v>
      </c>
      <c r="HH279" t="n">
        <v>26.358</v>
      </c>
      <c r="ID279" t="n">
        <v>21.28</v>
      </c>
    </row>
    <row r="280">
      <c r="A280" t="inlineStr">
        <is>
          <t>2026-05-20</t>
        </is>
      </c>
      <c r="B280" t="inlineStr">
        <is>
          <t>Coagulation</t>
        </is>
      </c>
      <c r="C280" t="inlineStr">
        <is>
          <t>230126052006</t>
        </is>
      </c>
      <c r="D280" t="inlineStr">
        <is>
          <t>APTT</t>
        </is>
      </c>
      <c r="FJ280" t="n">
        <v>118.277136</v>
      </c>
      <c r="HH280" t="n">
        <v>118.277</v>
      </c>
    </row>
    <row r="281">
      <c r="A281" t="inlineStr">
        <is>
          <t>2026-05-20</t>
        </is>
      </c>
      <c r="B281" t="inlineStr">
        <is>
          <t>Coagulation</t>
        </is>
      </c>
      <c r="C281" t="inlineStr">
        <is>
          <t>230126052006</t>
        </is>
      </c>
      <c r="D281" t="inlineStr">
        <is>
          <t>FIB</t>
        </is>
      </c>
      <c r="FJ281" t="n">
        <v>225.625</v>
      </c>
      <c r="HH281" t="n">
        <v>225.625</v>
      </c>
    </row>
    <row r="282">
      <c r="A282" t="inlineStr">
        <is>
          <t>2026-05-20</t>
        </is>
      </c>
      <c r="B282" t="inlineStr">
        <is>
          <t>Coagulation</t>
        </is>
      </c>
      <c r="C282" t="inlineStr">
        <is>
          <t>230126052006</t>
        </is>
      </c>
      <c r="D282" t="inlineStr">
        <is>
          <t>PT</t>
        </is>
      </c>
      <c r="FJ282" t="n">
        <v>29.269419888</v>
      </c>
      <c r="HH282" t="n">
        <v>29.269</v>
      </c>
    </row>
    <row r="283">
      <c r="A283" t="inlineStr">
        <is>
          <t>2026-05-20</t>
        </is>
      </c>
      <c r="B283" t="inlineStr">
        <is>
          <t>Coagulation</t>
        </is>
      </c>
      <c r="C283" t="inlineStr">
        <is>
          <t>230126052005</t>
        </is>
      </c>
      <c r="D283" t="inlineStr">
        <is>
          <t>APTT</t>
        </is>
      </c>
      <c r="CJ283" t="n">
        <v>121.824351</v>
      </c>
      <c r="EH283" t="n">
        <v>121.824</v>
      </c>
    </row>
    <row r="284">
      <c r="A284" t="inlineStr">
        <is>
          <t>2026-05-20</t>
        </is>
      </c>
      <c r="B284" t="inlineStr">
        <is>
          <t>Coagulation</t>
        </is>
      </c>
      <c r="C284" t="inlineStr">
        <is>
          <t>230126052005</t>
        </is>
      </c>
      <c r="D284" t="inlineStr">
        <is>
          <t>FIB</t>
        </is>
      </c>
      <c r="CJ284" t="n">
        <v>219.9046</v>
      </c>
      <c r="EH284" t="n">
        <v>219.905</v>
      </c>
    </row>
    <row r="285">
      <c r="A285" t="inlineStr">
        <is>
          <t>2026-05-20</t>
        </is>
      </c>
      <c r="B285" t="inlineStr">
        <is>
          <t>Coagulation</t>
        </is>
      </c>
      <c r="C285" t="inlineStr">
        <is>
          <t>230126052005</t>
        </is>
      </c>
      <c r="D285" t="inlineStr">
        <is>
          <t>PT</t>
        </is>
      </c>
      <c r="CJ285" t="n">
        <v>14.645537052</v>
      </c>
      <c r="EH285" t="n">
        <v>14.646</v>
      </c>
    </row>
    <row r="286">
      <c r="A286" t="inlineStr">
        <is>
          <t>2026-05-20</t>
        </is>
      </c>
      <c r="B286" t="inlineStr">
        <is>
          <t>Coagulation</t>
        </is>
      </c>
      <c r="C286" t="inlineStr">
        <is>
          <t>230126052004</t>
        </is>
      </c>
      <c r="D286" t="inlineStr">
        <is>
          <t>APTT</t>
        </is>
      </c>
      <c r="J286" t="n">
        <v>108.73318</v>
      </c>
      <c r="K286" t="n">
        <v>109.21956</v>
      </c>
      <c r="L286" t="n">
        <v>109.03944</v>
      </c>
      <c r="M286" t="n">
        <v>108.15502</v>
      </c>
      <c r="N286" t="n">
        <v>108.3548</v>
      </c>
      <c r="O286" t="n">
        <v>107.686195</v>
      </c>
      <c r="P286" t="n">
        <v>107.83339</v>
      </c>
      <c r="Q286" t="n">
        <v>108.40496</v>
      </c>
      <c r="R286" t="n">
        <v>108.784</v>
      </c>
      <c r="BH286" t="n">
        <v>109.006</v>
      </c>
      <c r="CD286" t="n">
        <v>1.79</v>
      </c>
      <c r="FJ286" t="n">
        <v>137.51582</v>
      </c>
      <c r="FK286" t="n">
        <v>131.57056</v>
      </c>
      <c r="FL286" t="n">
        <v>129.48837</v>
      </c>
      <c r="FM286" t="n">
        <v>124.39691</v>
      </c>
      <c r="FN286" t="n">
        <v>132.59279</v>
      </c>
      <c r="FO286" t="n">
        <v>148.83742</v>
      </c>
      <c r="FP286" t="n">
        <v>129.56735</v>
      </c>
      <c r="FQ286" t="n">
        <v>132.9228</v>
      </c>
      <c r="FR286" t="n">
        <v>133.08833</v>
      </c>
      <c r="FS286" t="n">
        <v>163.05717</v>
      </c>
      <c r="FT286" t="n">
        <v>129.05554</v>
      </c>
      <c r="HH286" t="n">
        <v>128.786</v>
      </c>
      <c r="ID286" t="n">
        <v>7.08</v>
      </c>
      <c r="IJ286" t="n">
        <v>115.429716</v>
      </c>
      <c r="IK286" t="n">
        <v>114.972471</v>
      </c>
      <c r="IL286" t="n">
        <v>114.1025</v>
      </c>
      <c r="IM286" t="n">
        <v>114.881616</v>
      </c>
      <c r="IN286" t="n">
        <v>116.673236</v>
      </c>
      <c r="IO286" t="n">
        <v>113.983956</v>
      </c>
      <c r="IP286" t="n">
        <v>113.484071</v>
      </c>
      <c r="IQ286" t="n">
        <v>114.251175</v>
      </c>
      <c r="IR286" t="n">
        <v>114.760784</v>
      </c>
      <c r="IS286" t="n">
        <v>115.093919</v>
      </c>
      <c r="KH286" t="n">
        <v>115.112</v>
      </c>
      <c r="LD286" t="n">
        <v>1.01</v>
      </c>
    </row>
    <row r="287">
      <c r="A287" t="inlineStr">
        <is>
          <t>2026-05-20</t>
        </is>
      </c>
      <c r="B287" t="inlineStr">
        <is>
          <t>Coagulation</t>
        </is>
      </c>
      <c r="C287" t="inlineStr">
        <is>
          <t>230126052004</t>
        </is>
      </c>
      <c r="D287" t="inlineStr">
        <is>
          <t>FIB</t>
        </is>
      </c>
      <c r="J287" t="n">
        <v>239.02155</v>
      </c>
      <c r="K287" t="n">
        <v>235.1303</v>
      </c>
      <c r="L287" t="n">
        <v>231.39317</v>
      </c>
      <c r="M287" t="n">
        <v>235.1303</v>
      </c>
      <c r="N287" t="n">
        <v>243.07735</v>
      </c>
      <c r="O287" t="n">
        <v>232.62236</v>
      </c>
      <c r="P287" t="n">
        <v>243.07735</v>
      </c>
      <c r="Q287" t="n">
        <v>236.40976</v>
      </c>
      <c r="R287" t="n">
        <v>243.07735</v>
      </c>
      <c r="BH287" t="n">
        <v>214.289</v>
      </c>
      <c r="CD287" t="n">
        <v>37.42</v>
      </c>
      <c r="FJ287" t="n">
        <v>102.822815</v>
      </c>
      <c r="FK287" t="n">
        <v>96.54304999999999</v>
      </c>
      <c r="FL287" t="n">
        <v>98.96706399999999</v>
      </c>
      <c r="FM287" t="n">
        <v>83.80613</v>
      </c>
      <c r="FN287" t="n">
        <v>107.07608</v>
      </c>
      <c r="FO287" t="n">
        <v>99.2623</v>
      </c>
      <c r="FP287" t="n">
        <v>91.379745</v>
      </c>
      <c r="FQ287" t="n">
        <v>92.605484</v>
      </c>
      <c r="FR287" t="n">
        <v>94.91873</v>
      </c>
      <c r="FS287" t="n">
        <v>86.01430499999999</v>
      </c>
      <c r="FT287" t="n">
        <v>93.10736</v>
      </c>
      <c r="HH287" t="n">
        <v>64.151</v>
      </c>
      <c r="ID287" t="n">
        <v>256.57</v>
      </c>
      <c r="IJ287" t="n">
        <v>213.367</v>
      </c>
      <c r="IK287" t="n">
        <v>208.4638</v>
      </c>
      <c r="IL287" t="n">
        <v>208.4638</v>
      </c>
      <c r="IM287" t="n">
        <v>212.1412</v>
      </c>
      <c r="IN287" t="n">
        <v>198.2488</v>
      </c>
      <c r="IO287" t="n">
        <v>212.1412</v>
      </c>
      <c r="IP287" t="n">
        <v>190.894</v>
      </c>
      <c r="IQ287" t="n">
        <v>213.7756</v>
      </c>
      <c r="IR287" t="n">
        <v>201.5176</v>
      </c>
      <c r="IS287" t="n">
        <v>198.2488</v>
      </c>
      <c r="KH287" t="n">
        <v>203.731</v>
      </c>
      <c r="LD287" t="n">
        <v>6.04</v>
      </c>
    </row>
    <row r="288">
      <c r="A288" t="inlineStr">
        <is>
          <t>2026-05-20</t>
        </is>
      </c>
      <c r="B288" t="inlineStr">
        <is>
          <t>Coagulation</t>
        </is>
      </c>
      <c r="C288" t="inlineStr">
        <is>
          <t>230126052004</t>
        </is>
      </c>
      <c r="D288" t="inlineStr">
        <is>
          <t>PT</t>
        </is>
      </c>
      <c r="J288" t="n">
        <v>18.521032</v>
      </c>
      <c r="K288" t="n">
        <v>18.547308</v>
      </c>
      <c r="L288" t="n">
        <v>17.858025</v>
      </c>
      <c r="M288" t="n">
        <v>17.94488</v>
      </c>
      <c r="N288" t="n">
        <v>18.033108</v>
      </c>
      <c r="O288" t="n">
        <v>18.573687</v>
      </c>
      <c r="P288" t="n">
        <v>17.394165</v>
      </c>
      <c r="Q288" t="n">
        <v>18.36552</v>
      </c>
      <c r="R288" t="n">
        <v>17.858025</v>
      </c>
      <c r="BH288" t="n">
        <v>17.589</v>
      </c>
      <c r="CD288" t="n">
        <v>6.75</v>
      </c>
      <c r="FJ288" t="n">
        <v>19.814882</v>
      </c>
      <c r="FK288" t="n">
        <v>29.942223</v>
      </c>
      <c r="FL288" t="n">
        <v>28.47792</v>
      </c>
      <c r="FM288" t="n">
        <v>31.233517</v>
      </c>
      <c r="FN288" t="n">
        <v>37.117435</v>
      </c>
      <c r="FO288" t="n">
        <v>30.627935</v>
      </c>
      <c r="FP288" t="n">
        <v>25.075935</v>
      </c>
      <c r="FQ288" t="n">
        <v>29.923904</v>
      </c>
      <c r="FR288" t="n">
        <v>29.814241</v>
      </c>
      <c r="FS288" t="n">
        <v>29.415636</v>
      </c>
      <c r="FT288" t="n">
        <v>31.100052</v>
      </c>
      <c r="HH288" t="n">
        <v>24.497</v>
      </c>
      <c r="ID288" t="n">
        <v>24.39</v>
      </c>
      <c r="IJ288" t="n">
        <v>17.58028</v>
      </c>
      <c r="IK288" t="n">
        <v>19.410628252</v>
      </c>
      <c r="IL288" t="n">
        <v>18.070044672</v>
      </c>
      <c r="IM288" t="n">
        <v>17.0718768</v>
      </c>
      <c r="IN288" t="n">
        <v>18.245630748</v>
      </c>
      <c r="IO288" t="n">
        <v>17.0718768</v>
      </c>
      <c r="IP288" t="n">
        <v>18.704737788</v>
      </c>
      <c r="IQ288" t="n">
        <v>16.933349488</v>
      </c>
      <c r="IR288" t="n">
        <v>16.224394432</v>
      </c>
      <c r="IS288" t="n">
        <v>17.734228672</v>
      </c>
      <c r="KH288" t="n">
        <v>17.692</v>
      </c>
      <c r="LD288" t="n">
        <v>5.26</v>
      </c>
    </row>
    <row r="289">
      <c r="A289" t="inlineStr">
        <is>
          <t>2026-05-20</t>
        </is>
      </c>
      <c r="B289" t="inlineStr">
        <is>
          <t>Coagulation</t>
        </is>
      </c>
      <c r="C289" t="inlineStr">
        <is>
          <t>230126052001</t>
        </is>
      </c>
      <c r="D289" t="inlineStr">
        <is>
          <t>APTT</t>
        </is>
      </c>
      <c r="J289" t="n">
        <v>110.349639</v>
      </c>
      <c r="K289" t="n">
        <v>110.726351</v>
      </c>
      <c r="L289" t="n">
        <v>121.5108</v>
      </c>
      <c r="M289" t="n">
        <v>106.4204</v>
      </c>
      <c r="N289" t="n">
        <v>110.030175</v>
      </c>
      <c r="O289" t="n">
        <v>110.349639</v>
      </c>
      <c r="P289" t="n">
        <v>110.889119</v>
      </c>
      <c r="Q289" t="n">
        <v>110.780519</v>
      </c>
      <c r="BH289" t="n">
        <v>111.382</v>
      </c>
      <c r="CD289" t="n">
        <v>3.65</v>
      </c>
      <c r="CJ289" t="n">
        <v>133.670484</v>
      </c>
      <c r="CK289" t="n">
        <v>130.402004</v>
      </c>
      <c r="CL289" t="n">
        <v>167.024016</v>
      </c>
      <c r="CM289" t="n">
        <v>128.430704</v>
      </c>
      <c r="CN289" t="n">
        <v>133.378871</v>
      </c>
      <c r="CO289" t="n">
        <v>130.482</v>
      </c>
      <c r="CP289" t="n">
        <v>126.627831</v>
      </c>
      <c r="CQ289" t="n">
        <v>110.136311</v>
      </c>
      <c r="CR289" t="n">
        <v>110.136311</v>
      </c>
      <c r="CS289" t="n">
        <v>130.282175</v>
      </c>
      <c r="CT289" t="n">
        <v>109.245375</v>
      </c>
      <c r="EH289" t="n">
        <v>128.165</v>
      </c>
      <c r="FD289" t="n">
        <v>11.98</v>
      </c>
    </row>
    <row r="290">
      <c r="A290" t="inlineStr">
        <is>
          <t>2026-05-20</t>
        </is>
      </c>
      <c r="B290" t="inlineStr">
        <is>
          <t>Coagulation</t>
        </is>
      </c>
      <c r="C290" t="inlineStr">
        <is>
          <t>230126052001</t>
        </is>
      </c>
      <c r="D290" t="inlineStr">
        <is>
          <t>FIB</t>
        </is>
      </c>
      <c r="J290" t="n">
        <v>232.636</v>
      </c>
      <c r="K290" t="n">
        <v>230.6972</v>
      </c>
      <c r="L290" t="n">
        <v>54.75109999999998</v>
      </c>
      <c r="M290" t="n">
        <v>231.1819</v>
      </c>
      <c r="N290" t="n">
        <v>227.3043</v>
      </c>
      <c r="O290" t="n">
        <v>225.8502</v>
      </c>
      <c r="P290" t="n">
        <v>221.9726</v>
      </c>
      <c r="Q290" t="n">
        <v>232.1513</v>
      </c>
      <c r="BH290" t="n">
        <v>207.068</v>
      </c>
      <c r="CD290" t="n">
        <v>27.85</v>
      </c>
      <c r="CJ290" t="n">
        <v>84.80249999999998</v>
      </c>
      <c r="CK290" t="n">
        <v>82.37899999999999</v>
      </c>
      <c r="CL290" t="n">
        <v>104.1905</v>
      </c>
      <c r="CM290" t="n">
        <v>62.99099999999999</v>
      </c>
      <c r="CN290" t="n">
        <v>-99999</v>
      </c>
      <c r="CO290" t="n">
        <v>47.96529999999998</v>
      </c>
      <c r="CP290" t="n">
        <v>84.31779999999998</v>
      </c>
      <c r="CQ290" t="n">
        <v>63.47569999999996</v>
      </c>
      <c r="CR290" t="n">
        <v>82.86369999999999</v>
      </c>
      <c r="CS290" t="n">
        <v>230.2125</v>
      </c>
      <c r="CT290" t="n">
        <v>-999.4714000000001</v>
      </c>
      <c r="CU290" t="n">
        <v>109.0375</v>
      </c>
      <c r="CV290" t="n">
        <v>227.3043</v>
      </c>
      <c r="EH290" t="n">
        <v>-7678.379</v>
      </c>
      <c r="FD290" t="n">
        <v>347.11</v>
      </c>
    </row>
    <row r="291">
      <c r="A291" t="inlineStr">
        <is>
          <t>2026-05-20</t>
        </is>
      </c>
      <c r="B291" t="inlineStr">
        <is>
          <t>Coagulation</t>
        </is>
      </c>
      <c r="C291" t="inlineStr">
        <is>
          <t>230126052001</t>
        </is>
      </c>
      <c r="D291" t="inlineStr">
        <is>
          <t>PT</t>
        </is>
      </c>
      <c r="J291" t="n">
        <v>15.5238612</v>
      </c>
      <c r="K291" t="n">
        <v>15.985846608</v>
      </c>
      <c r="L291" t="n">
        <v>17.095446468</v>
      </c>
      <c r="M291" t="n">
        <v>15.26925</v>
      </c>
      <c r="N291" t="n">
        <v>14.978255012</v>
      </c>
      <c r="O291" t="n">
        <v>15.009791217</v>
      </c>
      <c r="P291" t="n">
        <v>15.300996425</v>
      </c>
      <c r="Q291" t="n">
        <v>15.594135657</v>
      </c>
      <c r="BH291" t="n">
        <v>15.595</v>
      </c>
      <c r="CD291" t="n">
        <v>4.13</v>
      </c>
      <c r="CJ291" t="n">
        <v>17.780583825</v>
      </c>
      <c r="CK291" t="n">
        <v>18.700085537</v>
      </c>
      <c r="CL291" t="n">
        <v>16.654979825</v>
      </c>
      <c r="CM291" t="n">
        <v>19.179948417</v>
      </c>
      <c r="CN291" t="n">
        <v>15.568568513</v>
      </c>
      <c r="CO291" t="n">
        <v>17.760491268</v>
      </c>
      <c r="CP291" t="n">
        <v>18.251745425</v>
      </c>
      <c r="CQ291" t="n">
        <v>18.686440977</v>
      </c>
      <c r="CR291" t="n">
        <v>17.247597425</v>
      </c>
      <c r="CS291" t="n">
        <v>15.1424928</v>
      </c>
      <c r="CT291" t="n">
        <v>15.5238612</v>
      </c>
      <c r="CU291" t="n">
        <v>16.864840113</v>
      </c>
      <c r="CV291" t="n">
        <v>14.883783497</v>
      </c>
      <c r="EH291" t="n">
        <v>17.096</v>
      </c>
      <c r="FD291" t="n">
        <v>8.19</v>
      </c>
    </row>
    <row r="292">
      <c r="A292" t="inlineStr">
        <is>
          <t>2026-05-19</t>
        </is>
      </c>
      <c r="B292" t="inlineStr">
        <is>
          <t>Specific Test 4</t>
        </is>
      </c>
      <c r="C292" t="inlineStr">
        <is>
          <t>103426051903</t>
        </is>
      </c>
      <c r="D292" t="inlineStr">
        <is>
          <t>ALP</t>
        </is>
      </c>
      <c r="F292" t="n">
        <v>20</v>
      </c>
      <c r="G292" t="n">
        <v>136</v>
      </c>
      <c r="H292" t="n">
        <v>2856</v>
      </c>
      <c r="I292" t="n">
        <v>-2584</v>
      </c>
      <c r="J292" t="n">
        <v>144.3357696023009</v>
      </c>
      <c r="K292" t="n">
        <v>146.0416838551205</v>
      </c>
      <c r="L292" t="n">
        <v>144.7522185131946</v>
      </c>
      <c r="M292" t="n">
        <v>145.1293460505904</v>
      </c>
      <c r="BH292" t="n">
        <v>145.065</v>
      </c>
      <c r="BS292" t="n">
        <v>6.67</v>
      </c>
      <c r="CD292" t="n">
        <v>0.43</v>
      </c>
      <c r="CF292" t="n">
        <v>20</v>
      </c>
      <c r="CG292" t="n">
        <v>456</v>
      </c>
      <c r="CH292" t="n">
        <v>9576</v>
      </c>
      <c r="CI292" t="n">
        <v>-8664</v>
      </c>
      <c r="CJ292" t="n">
        <v>466.646471590294</v>
      </c>
      <c r="CK292" t="n">
        <v>463.663482656477</v>
      </c>
      <c r="CL292" t="n">
        <v>463.8657333388531</v>
      </c>
      <c r="CM292" t="n">
        <v>463.4295448943402</v>
      </c>
      <c r="EH292" t="n">
        <v>464.401</v>
      </c>
      <c r="ES292" t="n">
        <v>1.84</v>
      </c>
      <c r="FD292" t="n">
        <v>0.28</v>
      </c>
      <c r="FF292" t="n">
        <v>20</v>
      </c>
      <c r="FG292" t="n">
        <v>75</v>
      </c>
      <c r="FH292" t="n">
        <v>1575</v>
      </c>
      <c r="FI292" t="n">
        <v>-1425</v>
      </c>
      <c r="FJ292" t="n">
        <v>70.95538735375398</v>
      </c>
      <c r="FK292" t="n">
        <v>72.0843478395239</v>
      </c>
      <c r="FL292" t="n">
        <v>71.91295386270617</v>
      </c>
      <c r="FM292" t="n">
        <v>72.44338799818115</v>
      </c>
      <c r="HH292" t="n">
        <v>71.849</v>
      </c>
      <c r="HS292" t="n">
        <v>-4.2</v>
      </c>
      <c r="ID292" t="n">
        <v>0.77</v>
      </c>
      <c r="IF292" t="n">
        <v>20</v>
      </c>
      <c r="IG292" t="n">
        <v>251</v>
      </c>
      <c r="IH292" t="n">
        <v>5271</v>
      </c>
      <c r="II292" t="n">
        <v>-4769</v>
      </c>
      <c r="IJ292" t="n">
        <v>229.8815156564126</v>
      </c>
      <c r="IK292" t="n">
        <v>230.0427116208523</v>
      </c>
      <c r="IL292" t="n">
        <v>225.8024951009048</v>
      </c>
      <c r="IM292" t="n">
        <v>225.1744245823425</v>
      </c>
      <c r="KH292" t="n">
        <v>227.725</v>
      </c>
      <c r="KS292" t="n">
        <v>-9.27</v>
      </c>
      <c r="LD292" t="n">
        <v>0.99</v>
      </c>
    </row>
    <row r="293">
      <c r="A293" t="inlineStr">
        <is>
          <t>2026-05-19</t>
        </is>
      </c>
      <c r="B293" t="inlineStr">
        <is>
          <t>Specific Test 4</t>
        </is>
      </c>
      <c r="C293" t="inlineStr">
        <is>
          <t>103426051903</t>
        </is>
      </c>
      <c r="D293" t="inlineStr">
        <is>
          <t>ALT</t>
        </is>
      </c>
      <c r="F293" t="n">
        <v>15</v>
      </c>
      <c r="G293" t="n">
        <v>28</v>
      </c>
      <c r="H293" t="n">
        <v>448</v>
      </c>
      <c r="I293" t="n">
        <v>-392</v>
      </c>
      <c r="J293" t="n">
        <v>29.54053134469117</v>
      </c>
      <c r="K293" t="n">
        <v>34.34614604185439</v>
      </c>
      <c r="L293" t="n">
        <v>30.38586807665854</v>
      </c>
      <c r="M293" t="n">
        <v>36.67816566110012</v>
      </c>
      <c r="BH293" t="n">
        <v>32.738</v>
      </c>
      <c r="BS293" t="n">
        <v>16.92</v>
      </c>
      <c r="CD293" t="n">
        <v>8.890000000000001</v>
      </c>
      <c r="CF293" t="n">
        <v>15</v>
      </c>
      <c r="CG293" t="n">
        <v>115</v>
      </c>
      <c r="CH293" t="n">
        <v>1840</v>
      </c>
      <c r="CI293" t="n">
        <v>-1610</v>
      </c>
      <c r="CJ293" t="n">
        <v>125.9591784817871</v>
      </c>
      <c r="CK293" t="n">
        <v>130.2957009901252</v>
      </c>
      <c r="CL293" t="n">
        <v>125.8621351680611</v>
      </c>
      <c r="CM293" t="n">
        <v>126.3074264723996</v>
      </c>
      <c r="EH293" t="n">
        <v>127.106</v>
      </c>
      <c r="ES293" t="n">
        <v>10.53</v>
      </c>
      <c r="FD293" t="n">
        <v>1.45</v>
      </c>
      <c r="FF293" t="n">
        <v>15</v>
      </c>
      <c r="FG293" t="n">
        <v>26</v>
      </c>
      <c r="FH293" t="n">
        <v>416</v>
      </c>
      <c r="FI293" t="n">
        <v>-364</v>
      </c>
      <c r="FJ293" t="n">
        <v>25.43873635899661</v>
      </c>
      <c r="FK293" t="n">
        <v>22.75112248372012</v>
      </c>
      <c r="FL293" t="n">
        <v>23.4990168024878</v>
      </c>
      <c r="FM293" t="n">
        <v>22.0339115816484</v>
      </c>
      <c r="HH293" t="n">
        <v>23.431</v>
      </c>
      <c r="HS293" t="n">
        <v>-9.880000000000001</v>
      </c>
      <c r="ID293" t="n">
        <v>5.42</v>
      </c>
      <c r="IF293" t="n">
        <v>15</v>
      </c>
      <c r="IG293" t="n">
        <v>217</v>
      </c>
      <c r="IH293" t="n">
        <v>3472</v>
      </c>
      <c r="II293" t="n">
        <v>-3038</v>
      </c>
      <c r="IJ293" t="n">
        <v>214.7877146065302</v>
      </c>
      <c r="IK293" t="n">
        <v>213.5213923880758</v>
      </c>
      <c r="IL293" t="n">
        <v>207.3532813463664</v>
      </c>
      <c r="IM293" t="n">
        <v>207.4926142192872</v>
      </c>
      <c r="KH293" t="n">
        <v>210.789</v>
      </c>
      <c r="KS293" t="n">
        <v>-2.86</v>
      </c>
      <c r="LD293" t="n">
        <v>1.61</v>
      </c>
    </row>
    <row r="294">
      <c r="A294" t="inlineStr">
        <is>
          <t>2026-05-19</t>
        </is>
      </c>
      <c r="B294" t="inlineStr">
        <is>
          <t>Specific Test 4</t>
        </is>
      </c>
      <c r="C294" t="inlineStr">
        <is>
          <t>103426051903</t>
        </is>
      </c>
      <c r="D294" t="inlineStr">
        <is>
          <t>AST</t>
        </is>
      </c>
      <c r="F294" t="n">
        <v>15</v>
      </c>
      <c r="G294" t="n">
        <v>44</v>
      </c>
      <c r="H294" t="n">
        <v>704</v>
      </c>
      <c r="I294" t="n">
        <v>-616</v>
      </c>
      <c r="J294" t="n">
        <v>47.17200471207929</v>
      </c>
      <c r="K294" t="n">
        <v>47.70345747091843</v>
      </c>
      <c r="L294" t="n">
        <v>-606.3170094797809</v>
      </c>
      <c r="M294" t="n">
        <v>45.80048840412731</v>
      </c>
      <c r="BH294" t="n">
        <v>-116.41</v>
      </c>
      <c r="BS294" t="n">
        <v>-364.57</v>
      </c>
      <c r="CD294" t="n">
        <v>242.98</v>
      </c>
      <c r="CF294" t="n">
        <v>15</v>
      </c>
      <c r="CG294" t="n">
        <v>221</v>
      </c>
      <c r="CH294" t="n">
        <v>3536</v>
      </c>
      <c r="CI294" t="n">
        <v>-3094</v>
      </c>
      <c r="CJ294" t="n">
        <v>239.4995490429643</v>
      </c>
      <c r="CK294" t="n">
        <v>237.0090403964932</v>
      </c>
      <c r="CL294" t="n">
        <v>232.1097836566483</v>
      </c>
      <c r="CM294" t="n">
        <v>233.6163229628777</v>
      </c>
      <c r="EH294" t="n">
        <v>235.559</v>
      </c>
      <c r="ES294" t="n">
        <v>6.59</v>
      </c>
      <c r="FD294" t="n">
        <v>1.22</v>
      </c>
      <c r="FF294" t="n">
        <v>15</v>
      </c>
      <c r="FG294" t="n">
        <v>45</v>
      </c>
      <c r="FH294" t="n">
        <v>720</v>
      </c>
      <c r="FI294" t="n">
        <v>-630</v>
      </c>
      <c r="FJ294" t="n">
        <v>46.13737671925237</v>
      </c>
      <c r="FK294" t="n">
        <v>45.58988215391393</v>
      </c>
      <c r="FL294" t="n">
        <v>46.00909152101841</v>
      </c>
      <c r="FM294" t="n">
        <v>45.57125286085178</v>
      </c>
      <c r="HH294" t="n">
        <v>45.827</v>
      </c>
      <c r="HS294" t="n">
        <v>1.84</v>
      </c>
      <c r="ID294" t="n">
        <v>0.55</v>
      </c>
      <c r="IF294" t="n">
        <v>15</v>
      </c>
      <c r="IG294" t="n">
        <v>282</v>
      </c>
      <c r="IH294" t="n">
        <v>4512</v>
      </c>
      <c r="II294" t="n">
        <v>-3948</v>
      </c>
      <c r="IJ294" t="n">
        <v>283.9333240387729</v>
      </c>
      <c r="IK294" t="n">
        <v>301.6634124463313</v>
      </c>
      <c r="IL294" t="n">
        <v>285.2965697078694</v>
      </c>
      <c r="IM294" t="n">
        <v>284.4982025668902</v>
      </c>
      <c r="KH294" t="n">
        <v>288.848</v>
      </c>
      <c r="KS294" t="n">
        <v>2.43</v>
      </c>
      <c r="LD294" t="n">
        <v>2.57</v>
      </c>
    </row>
    <row r="295">
      <c r="A295" t="inlineStr">
        <is>
          <t>2026-05-19</t>
        </is>
      </c>
      <c r="B295" t="inlineStr">
        <is>
          <t>Specific Test 4</t>
        </is>
      </c>
      <c r="C295" t="inlineStr">
        <is>
          <t>103426051903</t>
        </is>
      </c>
      <c r="D295" t="inlineStr">
        <is>
          <t>Ca</t>
        </is>
      </c>
      <c r="G295" t="n">
        <v>9.1</v>
      </c>
      <c r="J295" t="n">
        <v>9.66615459479198</v>
      </c>
      <c r="K295" t="n">
        <v>9.886198223704973</v>
      </c>
      <c r="L295" t="n">
        <v>9.7266437278913</v>
      </c>
      <c r="M295" t="n">
        <v>9.857862739987358</v>
      </c>
      <c r="BH295" t="n">
        <v>9.784000000000001</v>
      </c>
      <c r="BS295" t="n">
        <v>7.52</v>
      </c>
      <c r="CD295" t="n">
        <v>0.93</v>
      </c>
      <c r="CG295" t="n">
        <v>12.4</v>
      </c>
      <c r="CJ295" t="n">
        <v>13.09053368364228</v>
      </c>
      <c r="CK295" t="n">
        <v>12.66029737631298</v>
      </c>
      <c r="CL295" t="n">
        <v>12.95920593578468</v>
      </c>
      <c r="CM295" t="n">
        <v>12.9305693087071</v>
      </c>
      <c r="EH295" t="n">
        <v>12.91</v>
      </c>
      <c r="ES295" t="n">
        <v>4.11</v>
      </c>
      <c r="FD295" t="n">
        <v>1.21</v>
      </c>
      <c r="FG295" t="n">
        <v>5.9</v>
      </c>
      <c r="FJ295" t="n">
        <v>5.994474927931031</v>
      </c>
      <c r="FK295" t="n">
        <v>6.049269257274461</v>
      </c>
      <c r="FL295" t="n">
        <v>6.034058260588398</v>
      </c>
      <c r="FM295" t="n">
        <v>5.994369420100415</v>
      </c>
      <c r="HH295" t="n">
        <v>6.018</v>
      </c>
      <c r="HS295" t="n">
        <v>2</v>
      </c>
      <c r="ID295" t="n">
        <v>0.4</v>
      </c>
      <c r="IG295" t="n">
        <v>12.7</v>
      </c>
      <c r="IJ295" t="n">
        <v>13.23839434221307</v>
      </c>
      <c r="IK295" t="n">
        <v>12.9752038832764</v>
      </c>
      <c r="IL295" t="n">
        <v>12.82411284308215</v>
      </c>
      <c r="IM295" t="n">
        <v>13.06501696232656</v>
      </c>
      <c r="KH295" t="n">
        <v>13.026</v>
      </c>
      <c r="KS295" t="n">
        <v>2.56</v>
      </c>
      <c r="LD295" t="n">
        <v>1.15</v>
      </c>
    </row>
    <row r="296">
      <c r="A296" t="inlineStr">
        <is>
          <t>2026-05-19</t>
        </is>
      </c>
      <c r="B296" t="inlineStr">
        <is>
          <t>Specific Test 4</t>
        </is>
      </c>
      <c r="C296" t="inlineStr">
        <is>
          <t>103426051903</t>
        </is>
      </c>
      <c r="D296" t="inlineStr">
        <is>
          <t>Mg</t>
        </is>
      </c>
      <c r="F296" t="n">
        <v>15</v>
      </c>
      <c r="G296" t="n">
        <v>2.4</v>
      </c>
      <c r="H296" t="n">
        <v>38.4</v>
      </c>
      <c r="I296" t="n">
        <v>-33.6</v>
      </c>
      <c r="J296" t="n">
        <v>2.511519986152687</v>
      </c>
      <c r="K296" t="n">
        <v>2.479132087766449</v>
      </c>
      <c r="L296" t="n">
        <v>2.368488836344084</v>
      </c>
      <c r="M296" t="n">
        <v>2.434006907680164</v>
      </c>
      <c r="BH296" t="n">
        <v>2.448</v>
      </c>
      <c r="BS296" t="n">
        <v>2.01</v>
      </c>
      <c r="CD296" t="n">
        <v>2.19</v>
      </c>
      <c r="CF296" t="n">
        <v>15</v>
      </c>
      <c r="CG296" t="n">
        <v>4.4</v>
      </c>
      <c r="CH296" t="n">
        <v>70.40000000000001</v>
      </c>
      <c r="CI296" t="n">
        <v>-61.60000000000001</v>
      </c>
      <c r="CJ296" t="n">
        <v>4.929802784877564</v>
      </c>
      <c r="CK296" t="n">
        <v>4.797442073493841</v>
      </c>
      <c r="CL296" t="n">
        <v>4.812934737812084</v>
      </c>
      <c r="CM296" t="n">
        <v>4.810219562279283</v>
      </c>
      <c r="EH296" t="n">
        <v>4.838</v>
      </c>
      <c r="ES296" t="n">
        <v>9.949999999999999</v>
      </c>
      <c r="FD296" t="n">
        <v>1.11</v>
      </c>
      <c r="FF296" t="n">
        <v>15</v>
      </c>
      <c r="FG296" t="n">
        <v>1</v>
      </c>
      <c r="FH296" t="n">
        <v>16</v>
      </c>
      <c r="FI296" t="n">
        <v>-14</v>
      </c>
      <c r="FJ296" t="n">
        <v>1.247155212197598</v>
      </c>
      <c r="FK296" t="n">
        <v>1.211977121304361</v>
      </c>
      <c r="FL296" t="n">
        <v>1.233910231275661</v>
      </c>
      <c r="FM296" t="n">
        <v>1.191693152337752</v>
      </c>
      <c r="HH296" t="n">
        <v>1.221</v>
      </c>
      <c r="HS296" t="n">
        <v>22.12</v>
      </c>
      <c r="ID296" t="n">
        <v>1.73</v>
      </c>
      <c r="IF296" t="n">
        <v>15</v>
      </c>
      <c r="IG296" t="n">
        <v>4</v>
      </c>
      <c r="IH296" t="n">
        <v>64</v>
      </c>
      <c r="II296" t="n">
        <v>-56</v>
      </c>
      <c r="IJ296" t="n">
        <v>3.975460860134451</v>
      </c>
      <c r="IK296" t="n">
        <v>4.125718261833335</v>
      </c>
      <c r="IL296" t="n">
        <v>3.952926761720176</v>
      </c>
      <c r="IM296" t="n">
        <v>3.926954311484707</v>
      </c>
      <c r="KH296" t="n">
        <v>3.995</v>
      </c>
      <c r="KS296" t="n">
        <v>-0.12</v>
      </c>
      <c r="LD296" t="n">
        <v>1.93</v>
      </c>
    </row>
    <row r="297">
      <c r="A297" t="inlineStr">
        <is>
          <t>2026-05-19</t>
        </is>
      </c>
      <c r="B297" t="inlineStr">
        <is>
          <t>Specific Test 4</t>
        </is>
      </c>
      <c r="C297" t="inlineStr">
        <is>
          <t>103426051903</t>
        </is>
      </c>
      <c r="D297" t="inlineStr">
        <is>
          <t>PHOS</t>
        </is>
      </c>
      <c r="F297" t="n">
        <v>10</v>
      </c>
      <c r="G297" t="n">
        <v>3.3</v>
      </c>
      <c r="H297" t="n">
        <v>36.3</v>
      </c>
      <c r="I297" t="n">
        <v>-29.7</v>
      </c>
      <c r="J297" t="n">
        <v>3.23060926039009</v>
      </c>
      <c r="K297" t="n">
        <v>3.225465224855385</v>
      </c>
      <c r="L297" t="n">
        <v>3.267135098619085</v>
      </c>
      <c r="M297" t="n">
        <v>3.267983740233374</v>
      </c>
      <c r="BH297" t="n">
        <v>3.248</v>
      </c>
      <c r="BS297" t="n">
        <v>-1.58</v>
      </c>
      <c r="CD297" t="n">
        <v>0.61</v>
      </c>
      <c r="CF297" t="n">
        <v>10</v>
      </c>
      <c r="CG297" t="n">
        <v>7.2</v>
      </c>
      <c r="CH297" t="n">
        <v>79.2</v>
      </c>
      <c r="CI297" t="n">
        <v>-64.8</v>
      </c>
      <c r="CJ297" t="n">
        <v>7.353342844560718</v>
      </c>
      <c r="CK297" t="n">
        <v>7.166171972714847</v>
      </c>
      <c r="CL297" t="n">
        <v>7.184382174882542</v>
      </c>
      <c r="CM297" t="n">
        <v>7.231152194970679</v>
      </c>
      <c r="EH297" t="n">
        <v>7.234</v>
      </c>
      <c r="ES297" t="n">
        <v>0.47</v>
      </c>
      <c r="FD297" t="n">
        <v>1.01</v>
      </c>
      <c r="FF297" t="n">
        <v>10</v>
      </c>
      <c r="FG297" t="n">
        <v>1.9</v>
      </c>
      <c r="FH297" t="n">
        <v>20.9</v>
      </c>
      <c r="FI297" t="n">
        <v>-17.1</v>
      </c>
      <c r="FJ297" t="n">
        <v>1.907000965570538</v>
      </c>
      <c r="FK297" t="n">
        <v>1.904577345411115</v>
      </c>
      <c r="FL297" t="n">
        <v>1.930668178402797</v>
      </c>
      <c r="FM297" t="n">
        <v>1.937549837641023</v>
      </c>
      <c r="HH297" t="n">
        <v>1.92</v>
      </c>
      <c r="HS297" t="n">
        <v>1.05</v>
      </c>
      <c r="ID297" t="n">
        <v>0.75</v>
      </c>
      <c r="IF297" t="n">
        <v>10</v>
      </c>
      <c r="IG297" t="n">
        <v>7.2</v>
      </c>
      <c r="IH297" t="n">
        <v>79.2</v>
      </c>
      <c r="II297" t="n">
        <v>-64.8</v>
      </c>
      <c r="IJ297" t="n">
        <v>7.373016486248028</v>
      </c>
      <c r="IK297" t="n">
        <v>7.186832137470839</v>
      </c>
      <c r="IL297" t="n">
        <v>7.135469929714231</v>
      </c>
      <c r="IM297" t="n">
        <v>7.323588505356923</v>
      </c>
      <c r="KH297" t="n">
        <v>7.255</v>
      </c>
      <c r="KS297" t="n">
        <v>0.76</v>
      </c>
      <c r="LD297" t="n">
        <v>1.34</v>
      </c>
    </row>
    <row r="298">
      <c r="A298" t="inlineStr">
        <is>
          <t>2026-05-19</t>
        </is>
      </c>
      <c r="B298" t="inlineStr">
        <is>
          <t>Specific Test 3</t>
        </is>
      </c>
      <c r="C298" t="inlineStr">
        <is>
          <t>103326051902</t>
        </is>
      </c>
      <c r="D298" t="inlineStr">
        <is>
          <t>CK</t>
        </is>
      </c>
      <c r="F298" t="n">
        <v>20</v>
      </c>
      <c r="J298" t="n">
        <v>140.0285867549336</v>
      </c>
      <c r="K298" t="n">
        <v>137.3229667755842</v>
      </c>
      <c r="L298" t="n">
        <v>139.507370530204</v>
      </c>
      <c r="M298" t="n">
        <v>131.9033613467893</v>
      </c>
      <c r="BH298" t="n">
        <v>137.191</v>
      </c>
      <c r="CD298" t="n">
        <v>2.34</v>
      </c>
      <c r="CF298" t="n">
        <v>20</v>
      </c>
      <c r="CJ298" t="n">
        <v>500.6570493525556</v>
      </c>
      <c r="CK298" t="n">
        <v>487.2803455963665</v>
      </c>
      <c r="CL298" t="n">
        <v>501.542813854932</v>
      </c>
      <c r="CM298" t="n">
        <v>480.7108101574388</v>
      </c>
      <c r="EH298" t="n">
        <v>492.548</v>
      </c>
      <c r="FD298" t="n">
        <v>1.8</v>
      </c>
      <c r="FF298" t="n">
        <v>20</v>
      </c>
      <c r="FJ298" t="n">
        <v>75.83730784397565</v>
      </c>
      <c r="FK298" t="n">
        <v>75.2367654239048</v>
      </c>
      <c r="FL298" t="n">
        <v>71.07423579931618</v>
      </c>
      <c r="FM298" t="n">
        <v>64.88290403928892</v>
      </c>
      <c r="HH298" t="n">
        <v>71.758</v>
      </c>
      <c r="ID298" t="n">
        <v>6.09</v>
      </c>
      <c r="IF298" t="n">
        <v>20</v>
      </c>
      <c r="IJ298" t="n">
        <v>613.2450454479796</v>
      </c>
      <c r="IK298" t="n">
        <v>609.5824124657748</v>
      </c>
      <c r="IL298" t="n">
        <v>638.0930061171289</v>
      </c>
      <c r="IM298" t="n">
        <v>613.961950044413</v>
      </c>
      <c r="KH298" t="n">
        <v>618.721</v>
      </c>
      <c r="LD298" t="n">
        <v>1.83</v>
      </c>
    </row>
    <row r="299">
      <c r="A299" t="inlineStr">
        <is>
          <t>2026-05-19</t>
        </is>
      </c>
      <c r="B299" t="inlineStr">
        <is>
          <t>Specific Test 3</t>
        </is>
      </c>
      <c r="C299" t="inlineStr">
        <is>
          <t>103326051902</t>
        </is>
      </c>
      <c r="D299" t="inlineStr">
        <is>
          <t>GGT</t>
        </is>
      </c>
      <c r="F299" t="n">
        <v>15</v>
      </c>
      <c r="G299" t="n">
        <v>57</v>
      </c>
      <c r="H299" t="n">
        <v>912</v>
      </c>
      <c r="I299" t="n">
        <v>-798</v>
      </c>
      <c r="J299" t="n">
        <v>57.99506072281277</v>
      </c>
      <c r="K299" t="n">
        <v>57.79622038782931</v>
      </c>
      <c r="L299" t="n">
        <v>57.44462409222116</v>
      </c>
      <c r="M299" t="n">
        <v>58.62241443410167</v>
      </c>
      <c r="BH299" t="n">
        <v>57.965</v>
      </c>
      <c r="BS299" t="n">
        <v>1.69</v>
      </c>
      <c r="CD299" t="n">
        <v>0.74</v>
      </c>
      <c r="CF299" t="n">
        <v>15</v>
      </c>
      <c r="CG299" t="n">
        <v>164</v>
      </c>
      <c r="CH299" t="n">
        <v>2624</v>
      </c>
      <c r="CI299" t="n">
        <v>-2296</v>
      </c>
      <c r="CJ299" t="n">
        <v>170.1939565534218</v>
      </c>
      <c r="CK299" t="n">
        <v>173.7863424636026</v>
      </c>
      <c r="CL299" t="n">
        <v>171.9527098425446</v>
      </c>
      <c r="CM299" t="n">
        <v>164.9652021594518</v>
      </c>
      <c r="EH299" t="n">
        <v>170.225</v>
      </c>
      <c r="ES299" t="n">
        <v>3.8</v>
      </c>
      <c r="FD299" t="n">
        <v>1.93</v>
      </c>
      <c r="FF299" t="n">
        <v>15</v>
      </c>
      <c r="FG299" t="n">
        <v>23</v>
      </c>
      <c r="FH299" t="n">
        <v>368</v>
      </c>
      <c r="FI299" t="n">
        <v>-322</v>
      </c>
      <c r="FJ299" t="n">
        <v>20.62224033761084</v>
      </c>
      <c r="FK299" t="n">
        <v>22.76156037540997</v>
      </c>
      <c r="FL299" t="n">
        <v>21.18761516435348</v>
      </c>
      <c r="FM299" t="n">
        <v>22.19929172449678</v>
      </c>
      <c r="HH299" t="n">
        <v>21.693</v>
      </c>
      <c r="HS299" t="n">
        <v>-5.68</v>
      </c>
      <c r="ID299" t="n">
        <v>3.86</v>
      </c>
      <c r="IF299" t="n">
        <v>15</v>
      </c>
      <c r="IG299" t="n">
        <v>126</v>
      </c>
      <c r="IH299" t="n">
        <v>2016</v>
      </c>
      <c r="II299" t="n">
        <v>-1764</v>
      </c>
      <c r="IJ299" t="n">
        <v>132.1546286766165</v>
      </c>
      <c r="IK299" t="n">
        <v>126.3458536834386</v>
      </c>
      <c r="IL299" t="n">
        <v>133.6437672027441</v>
      </c>
      <c r="IM299" t="n">
        <v>131.7796806574168</v>
      </c>
      <c r="KH299" t="n">
        <v>130.981</v>
      </c>
      <c r="KS299" t="n">
        <v>3.95</v>
      </c>
      <c r="LD299" t="n">
        <v>2.11</v>
      </c>
    </row>
    <row r="300">
      <c r="A300" t="inlineStr">
        <is>
          <t>2026-05-19</t>
        </is>
      </c>
      <c r="B300" t="inlineStr">
        <is>
          <t>Specific Test 3</t>
        </is>
      </c>
      <c r="C300" t="inlineStr">
        <is>
          <t>103326051902</t>
        </is>
      </c>
      <c r="D300" t="inlineStr">
        <is>
          <t>LAC</t>
        </is>
      </c>
      <c r="F300" t="n">
        <v>15</v>
      </c>
      <c r="G300" t="n">
        <v>4.399999999999999</v>
      </c>
      <c r="H300" t="n">
        <v>70.39999999999999</v>
      </c>
      <c r="I300" t="n">
        <v>-61.59999999999999</v>
      </c>
      <c r="J300" t="n">
        <v>4.36223056735872</v>
      </c>
      <c r="K300" t="n">
        <v>4.211125297134695</v>
      </c>
      <c r="L300" t="n">
        <v>4.952157555736713</v>
      </c>
      <c r="M300" t="n">
        <v>4.449408185192925</v>
      </c>
      <c r="BH300" t="n">
        <v>4.494</v>
      </c>
      <c r="BS300" t="n">
        <v>2.13</v>
      </c>
      <c r="CD300" t="n">
        <v>6.19</v>
      </c>
      <c r="CF300" t="n">
        <v>15</v>
      </c>
      <c r="CG300" t="n">
        <v>1.15</v>
      </c>
      <c r="CH300" t="n">
        <v>18.4</v>
      </c>
      <c r="CI300" t="n">
        <v>-16.1</v>
      </c>
      <c r="CJ300" t="n">
        <v>1.077400805103699</v>
      </c>
      <c r="CK300" t="n">
        <v>1.09124604391256</v>
      </c>
      <c r="CL300" t="n">
        <v>1.069736012948034</v>
      </c>
      <c r="CM300" t="n">
        <v>1.026375550647667</v>
      </c>
      <c r="EH300" t="n">
        <v>1.066</v>
      </c>
      <c r="ES300" t="n">
        <v>-7.29</v>
      </c>
      <c r="FD300" t="n">
        <v>2.27</v>
      </c>
      <c r="FF300" t="n">
        <v>15</v>
      </c>
      <c r="FG300" t="n">
        <v>1.45</v>
      </c>
      <c r="FH300" t="n">
        <v>23.2</v>
      </c>
      <c r="FI300" t="n">
        <v>-20.3</v>
      </c>
      <c r="FJ300" t="n">
        <v>1.449853521030274</v>
      </c>
      <c r="FK300" t="n">
        <v>1.434234942760037</v>
      </c>
      <c r="FL300" t="n">
        <v>1.503097800637014</v>
      </c>
      <c r="FM300" t="n">
        <v>1.523865516166298</v>
      </c>
      <c r="HH300" t="n">
        <v>1.478</v>
      </c>
      <c r="HS300" t="n">
        <v>1.91</v>
      </c>
      <c r="ID300" t="n">
        <v>2.5</v>
      </c>
      <c r="IF300" t="n">
        <v>15</v>
      </c>
      <c r="IG300" t="n">
        <v>5.899999999999999</v>
      </c>
      <c r="IH300" t="n">
        <v>94.39999999999999</v>
      </c>
      <c r="II300" t="n">
        <v>-82.59999999999999</v>
      </c>
      <c r="IJ300" t="n">
        <v>5.314291929109969</v>
      </c>
      <c r="IK300" t="n">
        <v>5.330732959275188</v>
      </c>
      <c r="IL300" t="n">
        <v>6.003795563712552</v>
      </c>
      <c r="IM300" t="n">
        <v>5.260206405783365</v>
      </c>
      <c r="KH300" t="n">
        <v>5.477</v>
      </c>
      <c r="KS300" t="n">
        <v>-7.17</v>
      </c>
      <c r="LD300" t="n">
        <v>5.57</v>
      </c>
    </row>
    <row r="301">
      <c r="A301" t="inlineStr">
        <is>
          <t>2026-05-19</t>
        </is>
      </c>
      <c r="B301" t="inlineStr">
        <is>
          <t>Specific Test 3</t>
        </is>
      </c>
      <c r="C301" t="inlineStr">
        <is>
          <t>103326051902</t>
        </is>
      </c>
      <c r="D301" t="inlineStr">
        <is>
          <t>LDH</t>
        </is>
      </c>
      <c r="F301" t="n">
        <v>15</v>
      </c>
      <c r="J301" t="n">
        <v>301.7951607658482</v>
      </c>
      <c r="K301" t="n">
        <v>293.9706745257848</v>
      </c>
      <c r="L301" t="n">
        <v>291.1955688986824</v>
      </c>
      <c r="M301" t="n">
        <v>297.8385395519139</v>
      </c>
      <c r="BH301" t="n">
        <v>296.2</v>
      </c>
      <c r="CD301" t="n">
        <v>1.35</v>
      </c>
      <c r="CF301" t="n">
        <v>15</v>
      </c>
      <c r="CJ301" t="n">
        <v>688.6304511820458</v>
      </c>
      <c r="CK301" t="n">
        <v>694.9674829601809</v>
      </c>
      <c r="CL301" t="n">
        <v>681.5184485640334</v>
      </c>
      <c r="CM301" t="n">
        <v>663.8401921630109</v>
      </c>
      <c r="EH301" t="n">
        <v>682.239</v>
      </c>
      <c r="FD301" t="n">
        <v>1.71</v>
      </c>
      <c r="FF301" t="n">
        <v>15</v>
      </c>
      <c r="FJ301" t="n">
        <v>193.8395870336414</v>
      </c>
      <c r="FK301" t="n">
        <v>192.1506384545369</v>
      </c>
      <c r="FL301" t="n">
        <v>198.8570286297527</v>
      </c>
      <c r="FM301" t="n">
        <v>195.2441847380518</v>
      </c>
      <c r="HH301" t="n">
        <v>195.023</v>
      </c>
      <c r="ID301" t="n">
        <v>1.27</v>
      </c>
      <c r="IF301" t="n">
        <v>15</v>
      </c>
      <c r="IJ301" t="n">
        <v>820.1740600401461</v>
      </c>
      <c r="IK301" t="n">
        <v>792.1318277592161</v>
      </c>
      <c r="IL301" t="n">
        <v>812.7827628000002</v>
      </c>
      <c r="IM301" t="n">
        <v>831.181344760096</v>
      </c>
      <c r="KH301" t="n">
        <v>814.067</v>
      </c>
      <c r="LD301" t="n">
        <v>1.75</v>
      </c>
    </row>
    <row r="302">
      <c r="A302" t="inlineStr">
        <is>
          <t>2026-05-19</t>
        </is>
      </c>
      <c r="B302" t="inlineStr">
        <is>
          <t>Specific Test 3</t>
        </is>
      </c>
      <c r="C302" t="inlineStr">
        <is>
          <t>103326051902</t>
        </is>
      </c>
      <c r="D302" t="inlineStr">
        <is>
          <t>TBIL</t>
        </is>
      </c>
      <c r="F302" t="n">
        <v>20</v>
      </c>
      <c r="G302" t="n">
        <v>1.1</v>
      </c>
      <c r="H302" t="n">
        <v>23.1</v>
      </c>
      <c r="I302" t="n">
        <v>-20.9</v>
      </c>
      <c r="J302" t="n">
        <v>1.423707735701945</v>
      </c>
      <c r="K302" t="n">
        <v>1.444367169574658</v>
      </c>
      <c r="L302" t="n">
        <v>1.270125186868396</v>
      </c>
      <c r="M302" t="n">
        <v>1.433609695259381</v>
      </c>
      <c r="BH302" t="n">
        <v>1.393</v>
      </c>
      <c r="BS302" t="n">
        <v>26.63</v>
      </c>
      <c r="CD302" t="n">
        <v>5.12</v>
      </c>
      <c r="CF302" t="n">
        <v>20</v>
      </c>
      <c r="CG302" t="n">
        <v>5.1</v>
      </c>
      <c r="CH302" t="n">
        <v>107.1</v>
      </c>
      <c r="CI302" t="n">
        <v>-96.89999999999999</v>
      </c>
      <c r="CJ302" t="n">
        <v>5.484229442660546</v>
      </c>
      <c r="CK302" t="n">
        <v>5.541508268079964</v>
      </c>
      <c r="CL302" t="n">
        <v>5.416152401758394</v>
      </c>
      <c r="CM302" t="n">
        <v>5.416780336046298</v>
      </c>
      <c r="EH302" t="n">
        <v>5.465</v>
      </c>
      <c r="ES302" t="n">
        <v>7.15</v>
      </c>
      <c r="FD302" t="n">
        <v>0.96</v>
      </c>
      <c r="FF302" t="n">
        <v>20</v>
      </c>
      <c r="FG302" t="n">
        <v>0.8</v>
      </c>
      <c r="FH302" t="n">
        <v>16.8</v>
      </c>
      <c r="FI302" t="n">
        <v>-15.2</v>
      </c>
      <c r="FJ302" t="n">
        <v>0.6605746072422605</v>
      </c>
      <c r="FK302" t="n">
        <v>0.7130612319306238</v>
      </c>
      <c r="FL302" t="n">
        <v>0.7165860170052207</v>
      </c>
      <c r="FM302" t="n">
        <v>0.7733686087351836</v>
      </c>
      <c r="HH302" t="n">
        <v>0.716</v>
      </c>
      <c r="HS302" t="n">
        <v>-10.51</v>
      </c>
      <c r="ID302" t="n">
        <v>5.58</v>
      </c>
      <c r="IF302" t="n">
        <v>20</v>
      </c>
      <c r="IG302" t="n">
        <v>8.4</v>
      </c>
      <c r="IH302" t="n">
        <v>176.4</v>
      </c>
      <c r="II302" t="n">
        <v>-159.6</v>
      </c>
      <c r="IJ302" t="n">
        <v>8.643273870825743</v>
      </c>
      <c r="IK302" t="n">
        <v>8.480881432284137</v>
      </c>
      <c r="IL302" t="n">
        <v>8.564660012646184</v>
      </c>
      <c r="IM302" t="n">
        <v>8.750229161427706</v>
      </c>
      <c r="KH302" t="n">
        <v>8.609999999999999</v>
      </c>
      <c r="KS302" t="n">
        <v>2.5</v>
      </c>
      <c r="LD302" t="n">
        <v>1.15</v>
      </c>
    </row>
    <row r="303">
      <c r="A303" t="inlineStr">
        <is>
          <t>2026-05-19</t>
        </is>
      </c>
      <c r="B303" t="inlineStr">
        <is>
          <t>Specific Test 2</t>
        </is>
      </c>
      <c r="C303" t="inlineStr">
        <is>
          <t>103226051901</t>
        </is>
      </c>
      <c r="D303" t="inlineStr">
        <is>
          <t>ALB</t>
        </is>
      </c>
      <c r="F303" t="n">
        <v>8</v>
      </c>
      <c r="G303" t="n">
        <v>4.2</v>
      </c>
      <c r="H303" t="n">
        <v>37.8</v>
      </c>
      <c r="I303" t="n">
        <v>-29.4</v>
      </c>
      <c r="J303" t="n">
        <v>4.179273750490848</v>
      </c>
      <c r="K303" t="n">
        <v>4.107820021667672</v>
      </c>
      <c r="L303" t="n">
        <v>4.169849781185954</v>
      </c>
      <c r="M303" t="n">
        <v>4.175715897437925</v>
      </c>
      <c r="BH303" t="n">
        <v>4.158</v>
      </c>
      <c r="BS303" t="n">
        <v>-1</v>
      </c>
      <c r="CD303" t="n">
        <v>0.7</v>
      </c>
      <c r="CF303" t="n">
        <v>8</v>
      </c>
      <c r="CG303" t="n">
        <v>2.7</v>
      </c>
      <c r="CH303" t="n">
        <v>24.3</v>
      </c>
      <c r="CI303" t="n">
        <v>-18.9</v>
      </c>
      <c r="CJ303" t="n">
        <v>2.787714752676301</v>
      </c>
      <c r="CK303" t="n">
        <v>2.750387660653799</v>
      </c>
      <c r="CL303" t="n">
        <v>2.726234754314455</v>
      </c>
      <c r="CM303" t="n">
        <v>2.776665663165807</v>
      </c>
      <c r="EH303" t="n">
        <v>2.76</v>
      </c>
      <c r="ES303" t="n">
        <v>2.23</v>
      </c>
      <c r="FD303" t="n">
        <v>0.86</v>
      </c>
      <c r="FF303" t="n">
        <v>8</v>
      </c>
      <c r="FG303" t="n">
        <v>2.6</v>
      </c>
      <c r="FH303" t="n">
        <v>23.4</v>
      </c>
      <c r="FI303" t="n">
        <v>-18.2</v>
      </c>
      <c r="FJ303" t="n">
        <v>2.511705415771105</v>
      </c>
      <c r="FK303" t="n">
        <v>2.600757853246688</v>
      </c>
      <c r="FL303" t="n">
        <v>2.568967607908115</v>
      </c>
      <c r="FM303" t="n">
        <v>2.592005111433689</v>
      </c>
      <c r="HH303" t="n">
        <v>2.568</v>
      </c>
      <c r="HS303" t="n">
        <v>-1.22</v>
      </c>
      <c r="ID303" t="n">
        <v>1.35</v>
      </c>
      <c r="IF303" t="n">
        <v>8</v>
      </c>
      <c r="IG303" t="n">
        <v>4.2</v>
      </c>
      <c r="IH303" t="n">
        <v>37.8</v>
      </c>
      <c r="II303" t="n">
        <v>-29.4</v>
      </c>
      <c r="IJ303" t="n">
        <v>4.150437150600819</v>
      </c>
      <c r="IK303" t="n">
        <v>4.084222865428199</v>
      </c>
      <c r="IL303" t="n">
        <v>4.142250048165801</v>
      </c>
      <c r="IM303" t="n">
        <v>4.150035839237141</v>
      </c>
      <c r="KH303" t="n">
        <v>4.132</v>
      </c>
      <c r="KS303" t="n">
        <v>-1.63</v>
      </c>
      <c r="LD303" t="n">
        <v>0.67</v>
      </c>
    </row>
    <row r="304">
      <c r="A304" t="inlineStr">
        <is>
          <t>2026-05-19</t>
        </is>
      </c>
      <c r="B304" t="inlineStr">
        <is>
          <t>Specific Test 2</t>
        </is>
      </c>
      <c r="C304" t="inlineStr">
        <is>
          <t>103226051901</t>
        </is>
      </c>
      <c r="D304" t="inlineStr">
        <is>
          <t>BUN</t>
        </is>
      </c>
      <c r="F304" t="n">
        <v>9</v>
      </c>
      <c r="G304" t="n">
        <v>14.8</v>
      </c>
      <c r="H304" t="n">
        <v>148</v>
      </c>
      <c r="I304" t="n">
        <v>-118.4</v>
      </c>
      <c r="J304" t="n">
        <v>14.30279371231752</v>
      </c>
      <c r="K304" t="n">
        <v>14.34975961667096</v>
      </c>
      <c r="L304" t="n">
        <v>14.22400670382094</v>
      </c>
      <c r="M304" t="n">
        <v>14.09304950961282</v>
      </c>
      <c r="BH304" t="n">
        <v>14.242</v>
      </c>
      <c r="BS304" t="n">
        <v>-3.77</v>
      </c>
      <c r="CD304" t="n">
        <v>0.68</v>
      </c>
      <c r="CF304" t="n">
        <v>9</v>
      </c>
      <c r="CG304" t="n">
        <v>44.7</v>
      </c>
      <c r="CH304" t="n">
        <v>447</v>
      </c>
      <c r="CI304" t="n">
        <v>-357.6</v>
      </c>
      <c r="CJ304" t="n">
        <v>43.746574890054</v>
      </c>
      <c r="CK304" t="n">
        <v>42.87486298217461</v>
      </c>
      <c r="CL304" t="n">
        <v>42.92301530174284</v>
      </c>
      <c r="CM304" t="n">
        <v>42.20387139055649</v>
      </c>
      <c r="EH304" t="n">
        <v>42.937</v>
      </c>
      <c r="ES304" t="n">
        <v>-3.94</v>
      </c>
      <c r="FD304" t="n">
        <v>1.27</v>
      </c>
      <c r="FF304" t="n">
        <v>9</v>
      </c>
      <c r="FG304" t="n">
        <v>14.7</v>
      </c>
      <c r="FH304" t="n">
        <v>147</v>
      </c>
      <c r="FI304" t="n">
        <v>-117.6</v>
      </c>
      <c r="FJ304" t="n">
        <v>14.3435337960211</v>
      </c>
      <c r="FK304" t="n">
        <v>14.20153906226353</v>
      </c>
      <c r="FL304" t="n">
        <v>14.1744618183093</v>
      </c>
      <c r="FM304" t="n">
        <v>14.36440572024705</v>
      </c>
      <c r="HH304" t="n">
        <v>14.271</v>
      </c>
      <c r="HS304" t="n">
        <v>-2.92</v>
      </c>
      <c r="ID304" t="n">
        <v>0.59</v>
      </c>
      <c r="IF304" t="n">
        <v>9</v>
      </c>
      <c r="IG304" t="n">
        <v>65.7</v>
      </c>
      <c r="IH304" t="n">
        <v>657</v>
      </c>
      <c r="II304" t="n">
        <v>-525.6</v>
      </c>
      <c r="IJ304" t="n">
        <v>64.59905030269638</v>
      </c>
      <c r="IK304" t="n">
        <v>62.62177292283055</v>
      </c>
      <c r="IL304" t="n">
        <v>63.07621824219157</v>
      </c>
      <c r="IM304" t="n">
        <v>63.09543206034125</v>
      </c>
      <c r="KH304" t="n">
        <v>63.348</v>
      </c>
      <c r="KS304" t="n">
        <v>-3.58</v>
      </c>
      <c r="LD304" t="n">
        <v>1.18</v>
      </c>
    </row>
    <row r="305">
      <c r="A305" t="inlineStr">
        <is>
          <t>2026-05-19</t>
        </is>
      </c>
      <c r="B305" t="inlineStr">
        <is>
          <t>Specific Test 2</t>
        </is>
      </c>
      <c r="C305" t="inlineStr">
        <is>
          <t>103226051901</t>
        </is>
      </c>
      <c r="D305" t="inlineStr">
        <is>
          <t>CREA</t>
        </is>
      </c>
      <c r="F305" t="n">
        <v>10</v>
      </c>
      <c r="G305" t="n">
        <v>1.5</v>
      </c>
      <c r="H305" t="n">
        <v>16.5</v>
      </c>
      <c r="I305" t="n">
        <v>-13.5</v>
      </c>
      <c r="J305" t="n">
        <v>1.277641125754605</v>
      </c>
      <c r="K305" t="n">
        <v>1.306406276595465</v>
      </c>
      <c r="L305" t="n">
        <v>1.302496831038161</v>
      </c>
      <c r="M305" t="n">
        <v>1.298355398774361</v>
      </c>
      <c r="BH305" t="n">
        <v>1.296</v>
      </c>
      <c r="BS305" t="n">
        <v>-13.59</v>
      </c>
      <c r="CD305" t="n">
        <v>0.86</v>
      </c>
      <c r="CF305" t="n">
        <v>10</v>
      </c>
      <c r="CG305" t="n">
        <v>5.55</v>
      </c>
      <c r="CH305" t="n">
        <v>61.05</v>
      </c>
      <c r="CI305" t="n">
        <v>-49.95</v>
      </c>
      <c r="CJ305" t="n">
        <v>4.62561135652038</v>
      </c>
      <c r="CK305" t="n">
        <v>4.821427292347901</v>
      </c>
      <c r="CL305" t="n">
        <v>4.600567787700634</v>
      </c>
      <c r="CM305" t="n">
        <v>4.566727640757889</v>
      </c>
      <c r="EH305" t="n">
        <v>4.654</v>
      </c>
      <c r="ES305" t="n">
        <v>-16.15</v>
      </c>
      <c r="FD305" t="n">
        <v>2.13</v>
      </c>
      <c r="FF305" t="n">
        <v>10</v>
      </c>
      <c r="FG305" t="n">
        <v>0.97</v>
      </c>
      <c r="FH305" t="n">
        <v>10.67</v>
      </c>
      <c r="FI305" t="n">
        <v>-8.73</v>
      </c>
      <c r="FJ305" t="n">
        <v>0.6772920526780234</v>
      </c>
      <c r="FK305" t="n">
        <v>0.6926570461555146</v>
      </c>
      <c r="FL305" t="n">
        <v>0.6750217143179184</v>
      </c>
      <c r="FM305" t="n">
        <v>0.722999756617221</v>
      </c>
      <c r="HH305" t="n">
        <v>0.6919999999999999</v>
      </c>
      <c r="HS305" t="n">
        <v>-28.66</v>
      </c>
      <c r="ID305" t="n">
        <v>2.77</v>
      </c>
      <c r="IF305" t="n">
        <v>10</v>
      </c>
      <c r="IG305" t="n">
        <v>5.95</v>
      </c>
      <c r="IH305" t="n">
        <v>65.45</v>
      </c>
      <c r="II305" t="n">
        <v>-53.55</v>
      </c>
      <c r="IJ305" t="n">
        <v>5.348787136301436</v>
      </c>
      <c r="IK305" t="n">
        <v>5.340103392175762</v>
      </c>
      <c r="IL305" t="n">
        <v>5.394416262862705</v>
      </c>
      <c r="IM305" t="n">
        <v>5.289125122118007</v>
      </c>
      <c r="KH305" t="n">
        <v>5.343</v>
      </c>
      <c r="KS305" t="n">
        <v>-10.2</v>
      </c>
      <c r="LD305" t="n">
        <v>0.7</v>
      </c>
    </row>
    <row r="306">
      <c r="A306" t="inlineStr">
        <is>
          <t>2026-05-19</t>
        </is>
      </c>
      <c r="B306" t="inlineStr">
        <is>
          <t>Specific Test 2</t>
        </is>
      </c>
      <c r="C306" t="inlineStr">
        <is>
          <t>103226051901</t>
        </is>
      </c>
      <c r="D306" t="inlineStr">
        <is>
          <t>GLU</t>
        </is>
      </c>
      <c r="F306" t="n">
        <v>8</v>
      </c>
      <c r="G306" t="n">
        <v>90.16</v>
      </c>
      <c r="H306" t="n">
        <v>811.4399999999999</v>
      </c>
      <c r="I306" t="n">
        <v>-631.12</v>
      </c>
      <c r="J306" t="n">
        <v>91.39699375167419</v>
      </c>
      <c r="K306" t="n">
        <v>91.0365039519111</v>
      </c>
      <c r="L306" t="n">
        <v>90.68178549784417</v>
      </c>
      <c r="M306" t="n">
        <v>89.92609905252522</v>
      </c>
      <c r="BH306" t="n">
        <v>90.76000000000001</v>
      </c>
      <c r="BS306" t="n">
        <v>0.67</v>
      </c>
      <c r="CD306" t="n">
        <v>0.6</v>
      </c>
      <c r="CF306" t="n">
        <v>8</v>
      </c>
      <c r="CG306" t="n">
        <v>293.02</v>
      </c>
      <c r="CH306" t="n">
        <v>2637.18</v>
      </c>
      <c r="CI306" t="n">
        <v>-2051.14</v>
      </c>
      <c r="CJ306" t="n">
        <v>301.775022068257</v>
      </c>
      <c r="CK306" t="n">
        <v>299.9396613491023</v>
      </c>
      <c r="CL306" t="n">
        <v>292.7638655265973</v>
      </c>
      <c r="CM306" t="n">
        <v>295.9895986146403</v>
      </c>
      <c r="EH306" t="n">
        <v>297.617</v>
      </c>
      <c r="ES306" t="n">
        <v>1.57</v>
      </c>
      <c r="FD306" t="n">
        <v>1.17</v>
      </c>
      <c r="FF306" t="n">
        <v>8</v>
      </c>
      <c r="FG306" t="n">
        <v>65.66</v>
      </c>
      <c r="FH306" t="n">
        <v>590.9399999999999</v>
      </c>
      <c r="FI306" t="n">
        <v>-459.62</v>
      </c>
      <c r="FJ306" t="n">
        <v>65.07225156683373</v>
      </c>
      <c r="FK306" t="n">
        <v>65.040958520104</v>
      </c>
      <c r="FL306" t="n">
        <v>65.3256739317878</v>
      </c>
      <c r="FM306" t="n">
        <v>64.79761177813899</v>
      </c>
      <c r="HH306" t="n">
        <v>65.059</v>
      </c>
      <c r="HS306" t="n">
        <v>-0.92</v>
      </c>
      <c r="ID306" t="n">
        <v>0.29</v>
      </c>
      <c r="IF306" t="n">
        <v>8</v>
      </c>
      <c r="IG306" t="n">
        <v>359.66</v>
      </c>
      <c r="IH306" t="n">
        <v>3236.94</v>
      </c>
      <c r="II306" t="n">
        <v>-2517.62</v>
      </c>
      <c r="IJ306" t="n">
        <v>362.2279716968667</v>
      </c>
      <c r="IK306" t="n">
        <v>353.1619739810416</v>
      </c>
      <c r="IL306" t="n">
        <v>361.4840892436478</v>
      </c>
      <c r="IM306" t="n">
        <v>353.9107647673221</v>
      </c>
      <c r="KH306" t="n">
        <v>357.696</v>
      </c>
      <c r="KS306" t="n">
        <v>-0.55</v>
      </c>
      <c r="LD306" t="n">
        <v>1.17</v>
      </c>
    </row>
    <row r="307">
      <c r="A307" t="inlineStr">
        <is>
          <t>2026-05-19</t>
        </is>
      </c>
      <c r="B307" t="inlineStr">
        <is>
          <t>Specific Test 2</t>
        </is>
      </c>
      <c r="C307" t="inlineStr">
        <is>
          <t>103226051901</t>
        </is>
      </c>
      <c r="D307" t="inlineStr">
        <is>
          <t>TP</t>
        </is>
      </c>
      <c r="F307" t="n">
        <v>8</v>
      </c>
      <c r="G307" t="n">
        <v>6.4</v>
      </c>
      <c r="H307" t="n">
        <v>57.6</v>
      </c>
      <c r="I307" t="n">
        <v>-44.8</v>
      </c>
      <c r="J307" t="n">
        <v>6.460738563673312</v>
      </c>
      <c r="K307" t="n">
        <v>6.432055786519886</v>
      </c>
      <c r="L307" t="n">
        <v>6.375837459618188</v>
      </c>
      <c r="M307" t="n">
        <v>6.31593071241555</v>
      </c>
      <c r="BH307" t="n">
        <v>6.396</v>
      </c>
      <c r="BS307" t="n">
        <v>-0.06</v>
      </c>
      <c r="CD307" t="n">
        <v>0.87</v>
      </c>
      <c r="CF307" t="n">
        <v>8</v>
      </c>
      <c r="CG307" t="n">
        <v>4.1</v>
      </c>
      <c r="CH307" t="n">
        <v>36.9</v>
      </c>
      <c r="CI307" t="n">
        <v>-28.7</v>
      </c>
      <c r="CJ307" t="n">
        <v>4.250213412277458</v>
      </c>
      <c r="CK307" t="n">
        <v>4.232674406097121</v>
      </c>
      <c r="CL307" t="n">
        <v>4.135134745408681</v>
      </c>
      <c r="CM307" t="n">
        <v>4.181444583660496</v>
      </c>
      <c r="EH307" t="n">
        <v>4.2</v>
      </c>
      <c r="ES307" t="n">
        <v>2.44</v>
      </c>
      <c r="FD307" t="n">
        <v>1.07</v>
      </c>
      <c r="FF307" t="n">
        <v>8</v>
      </c>
      <c r="FG307" t="n">
        <v>4.2</v>
      </c>
      <c r="FH307" t="n">
        <v>37.8</v>
      </c>
      <c r="FI307" t="n">
        <v>-29.4</v>
      </c>
      <c r="FJ307" t="n">
        <v>3.956801058593462</v>
      </c>
      <c r="FK307" t="n">
        <v>3.956678204560512</v>
      </c>
      <c r="FL307" t="n">
        <v>3.930763809083849</v>
      </c>
      <c r="FM307" t="n">
        <v>3.922925200546652</v>
      </c>
      <c r="HH307" t="n">
        <v>3.942</v>
      </c>
      <c r="HS307" t="n">
        <v>-6.15</v>
      </c>
      <c r="ID307" t="n">
        <v>0.39</v>
      </c>
      <c r="IF307" t="n">
        <v>8</v>
      </c>
      <c r="IG307" t="n">
        <v>7.5</v>
      </c>
      <c r="IH307" t="n">
        <v>67.5</v>
      </c>
      <c r="II307" t="n">
        <v>-52.5</v>
      </c>
      <c r="IJ307" t="n">
        <v>7.357597455688699</v>
      </c>
      <c r="IK307" t="n">
        <v>7.24007549881186</v>
      </c>
      <c r="IL307" t="n">
        <v>7.407257765006246</v>
      </c>
      <c r="IM307" t="n">
        <v>7.247539141927145</v>
      </c>
      <c r="KH307" t="n">
        <v>7.313</v>
      </c>
      <c r="KS307" t="n">
        <v>-2.49</v>
      </c>
      <c r="LD307" t="n">
        <v>0.98</v>
      </c>
    </row>
    <row r="308">
      <c r="A308" t="inlineStr">
        <is>
          <t>2026-05-18</t>
        </is>
      </c>
      <c r="B308" t="inlineStr">
        <is>
          <t>Coagulation</t>
        </is>
      </c>
      <c r="C308" t="inlineStr">
        <is>
          <t>230126051802</t>
        </is>
      </c>
      <c r="D308" t="inlineStr">
        <is>
          <t>APTT</t>
        </is>
      </c>
      <c r="J308" t="n">
        <v>116.36958</v>
      </c>
      <c r="K308" t="n">
        <v>117.3745</v>
      </c>
      <c r="L308" t="n">
        <v>117.6508</v>
      </c>
      <c r="M308" t="n">
        <v>116.66548</v>
      </c>
      <c r="N308" t="n">
        <v>115.99648</v>
      </c>
      <c r="O308" t="n">
        <v>116.6925</v>
      </c>
      <c r="P308" t="n">
        <v>118.04098</v>
      </c>
      <c r="Q308" t="n">
        <v>117.34698</v>
      </c>
      <c r="R308" t="n">
        <v>116.90938</v>
      </c>
      <c r="BH308" t="n">
        <v>117.005</v>
      </c>
      <c r="CD308" t="n">
        <v>0.52</v>
      </c>
      <c r="FJ308" t="n">
        <v>135.77254</v>
      </c>
      <c r="FK308" t="n">
        <v>114.18978</v>
      </c>
      <c r="FL308" t="n">
        <v>131.46004</v>
      </c>
      <c r="FM308" t="n">
        <v>133.00438</v>
      </c>
      <c r="FN308" t="n">
        <v>137.21628</v>
      </c>
      <c r="FO308" t="n">
        <v>132.3382</v>
      </c>
      <c r="FP308" t="n">
        <v>131.38738</v>
      </c>
      <c r="FQ308" t="n">
        <v>133.60198</v>
      </c>
      <c r="FR308" t="n">
        <v>133.7146</v>
      </c>
      <c r="FS308" t="n">
        <v>146.40988</v>
      </c>
      <c r="HH308" t="n">
        <v>132.91</v>
      </c>
      <c r="ID308" t="n">
        <v>5.66</v>
      </c>
    </row>
    <row r="309">
      <c r="A309" t="inlineStr">
        <is>
          <t>2026-05-18</t>
        </is>
      </c>
      <c r="B309" t="inlineStr">
        <is>
          <t>Coagulation</t>
        </is>
      </c>
      <c r="C309" t="inlineStr">
        <is>
          <t>230126051802</t>
        </is>
      </c>
      <c r="D309" t="inlineStr">
        <is>
          <t>FIB</t>
        </is>
      </c>
      <c r="J309" t="n">
        <v>270.3875</v>
      </c>
      <c r="K309" t="n">
        <v>270.0049</v>
      </c>
      <c r="L309" t="n">
        <v>270.3875</v>
      </c>
      <c r="M309" t="n">
        <v>269.2397</v>
      </c>
      <c r="N309" t="n">
        <v>271.344</v>
      </c>
      <c r="O309" t="n">
        <v>269.431</v>
      </c>
      <c r="P309" t="n">
        <v>270.0049</v>
      </c>
      <c r="Q309" t="n">
        <v>270.7701</v>
      </c>
      <c r="R309" t="n">
        <v>271.344</v>
      </c>
      <c r="BH309" t="n">
        <v>270.324</v>
      </c>
      <c r="CD309" t="n">
        <v>0.26</v>
      </c>
      <c r="FJ309" t="n">
        <v>217.0148</v>
      </c>
      <c r="FK309" t="n">
        <v>208.7889</v>
      </c>
      <c r="FL309" t="n">
        <v>202.476</v>
      </c>
      <c r="FM309" t="n">
        <v>220.8408</v>
      </c>
      <c r="FN309" t="n">
        <v>205.9194</v>
      </c>
      <c r="FO309" t="n">
        <v>224.2842</v>
      </c>
      <c r="FP309" t="n">
        <v>202.8586</v>
      </c>
      <c r="FQ309" t="n">
        <v>212.2323</v>
      </c>
      <c r="FR309" t="n">
        <v>221.0321</v>
      </c>
      <c r="FS309" t="n">
        <v>199.9891</v>
      </c>
      <c r="HH309" t="n">
        <v>211.544</v>
      </c>
      <c r="ID309" t="n">
        <v>3.95</v>
      </c>
    </row>
    <row r="310">
      <c r="A310" t="inlineStr">
        <is>
          <t>2026-05-18</t>
        </is>
      </c>
      <c r="B310" t="inlineStr">
        <is>
          <t>Coagulation</t>
        </is>
      </c>
      <c r="C310" t="inlineStr">
        <is>
          <t>230126051802</t>
        </is>
      </c>
      <c r="D310" t="inlineStr">
        <is>
          <t>PT</t>
        </is>
      </c>
      <c r="J310" t="n">
        <v>16.134272</v>
      </c>
      <c r="K310" t="n">
        <v>15.797312</v>
      </c>
      <c r="L310" t="n">
        <v>15.884</v>
      </c>
      <c r="M310" t="n">
        <v>16.165792</v>
      </c>
      <c r="N310" t="n">
        <v>16.339598</v>
      </c>
      <c r="O310" t="n">
        <v>16.16975</v>
      </c>
      <c r="P310" t="n">
        <v>16.037422</v>
      </c>
      <c r="Q310" t="n">
        <v>15.880342</v>
      </c>
      <c r="R310" t="n">
        <v>16.29035</v>
      </c>
      <c r="BH310" t="n">
        <v>16.078</v>
      </c>
      <c r="CD310" t="n">
        <v>1.12</v>
      </c>
      <c r="FJ310" t="n">
        <v>17.23535</v>
      </c>
      <c r="FK310" t="n">
        <v>18.781838</v>
      </c>
      <c r="FL310" t="n">
        <v>19.760662</v>
      </c>
      <c r="FM310" t="n">
        <v>17.171728</v>
      </c>
      <c r="FN310" t="n">
        <v>17.476118</v>
      </c>
      <c r="FO310" t="n">
        <v>17.329552</v>
      </c>
      <c r="FP310" t="n">
        <v>19.948822</v>
      </c>
      <c r="FQ310" t="n">
        <v>17.816848</v>
      </c>
      <c r="FR310" t="n">
        <v>17.620822</v>
      </c>
      <c r="FS310" t="n">
        <v>18.703552</v>
      </c>
      <c r="HH310" t="n">
        <v>18.185</v>
      </c>
      <c r="ID310" t="n">
        <v>5.45</v>
      </c>
    </row>
    <row r="311">
      <c r="A311" t="inlineStr">
        <is>
          <t>2026-05-18</t>
        </is>
      </c>
      <c r="B311" t="inlineStr">
        <is>
          <t>Coagulation</t>
        </is>
      </c>
      <c r="C311" t="inlineStr">
        <is>
          <t>230126051801</t>
        </is>
      </c>
      <c r="D311" t="inlineStr">
        <is>
          <t>APTT</t>
        </is>
      </c>
      <c r="J311" t="n">
        <v>116.6115</v>
      </c>
      <c r="K311" t="n">
        <v>118.4068</v>
      </c>
      <c r="L311" t="n">
        <v>116.90938</v>
      </c>
      <c r="M311" t="n">
        <v>116.93658</v>
      </c>
      <c r="N311" t="n">
        <v>115.8906</v>
      </c>
      <c r="O311" t="n">
        <v>118.86168</v>
      </c>
      <c r="P311" t="n">
        <v>117.7897</v>
      </c>
      <c r="Q311" t="n">
        <v>117.20968</v>
      </c>
      <c r="BH311" t="n">
        <v>117.327</v>
      </c>
      <c r="CD311" t="n">
        <v>0.78</v>
      </c>
      <c r="CJ311" t="n">
        <v>133.19058</v>
      </c>
      <c r="CK311" t="n">
        <v>133.78978</v>
      </c>
      <c r="CL311" t="n">
        <v>139.6969</v>
      </c>
      <c r="CM311" t="n">
        <v>129.73828</v>
      </c>
      <c r="CN311" t="n">
        <v>149.4352</v>
      </c>
      <c r="CO311" t="n">
        <v>132.1543</v>
      </c>
      <c r="CP311" t="n">
        <v>138.12754</v>
      </c>
      <c r="CQ311" t="n">
        <v>138.367</v>
      </c>
      <c r="EH311" t="n">
        <v>136.812</v>
      </c>
      <c r="FD311" t="n">
        <v>4.21</v>
      </c>
    </row>
    <row r="312">
      <c r="A312" t="inlineStr">
        <is>
          <t>2026-05-18</t>
        </is>
      </c>
      <c r="B312" t="inlineStr">
        <is>
          <t>Coagulation</t>
        </is>
      </c>
      <c r="C312" t="inlineStr">
        <is>
          <t>230126051801</t>
        </is>
      </c>
      <c r="D312" t="inlineStr">
        <is>
          <t>FIB</t>
        </is>
      </c>
      <c r="J312" t="n">
        <v>270.5788</v>
      </c>
      <c r="K312" t="n">
        <v>268.6658</v>
      </c>
      <c r="L312" t="n">
        <v>270.1962</v>
      </c>
      <c r="M312" t="n">
        <v>268.6658</v>
      </c>
      <c r="N312" t="n">
        <v>269.8136</v>
      </c>
      <c r="O312" t="n">
        <v>270.3875</v>
      </c>
      <c r="P312" t="n">
        <v>270.9614</v>
      </c>
      <c r="BH312" t="n">
        <v>269.896</v>
      </c>
      <c r="CD312" t="n">
        <v>0.31</v>
      </c>
      <c r="CJ312" t="n">
        <v>225.8146</v>
      </c>
      <c r="CK312" t="n">
        <v>230.7884</v>
      </c>
      <c r="CL312" t="n">
        <v>209.9367</v>
      </c>
      <c r="CM312" t="n">
        <v>-68.9787</v>
      </c>
      <c r="CN312" t="n">
        <v>204.5803</v>
      </c>
      <c r="CO312" t="n">
        <v>231.5536</v>
      </c>
      <c r="CP312" t="n">
        <v>203.0499</v>
      </c>
      <c r="CQ312" t="n">
        <v>227.1537</v>
      </c>
      <c r="EH312" t="n">
        <v>182.987</v>
      </c>
      <c r="FD312" t="n">
        <v>52.39</v>
      </c>
    </row>
    <row r="313">
      <c r="A313" t="inlineStr">
        <is>
          <t>2026-05-18</t>
        </is>
      </c>
      <c r="B313" t="inlineStr">
        <is>
          <t>Coagulation</t>
        </is>
      </c>
      <c r="C313" t="inlineStr">
        <is>
          <t>230126051801</t>
        </is>
      </c>
      <c r="D313" t="inlineStr">
        <is>
          <t>PT</t>
        </is>
      </c>
      <c r="J313" t="n">
        <v>16.205552</v>
      </c>
      <c r="K313" t="n">
        <v>16.427168</v>
      </c>
      <c r="L313" t="n">
        <v>16.507918</v>
      </c>
      <c r="M313" t="n">
        <v>16.16975</v>
      </c>
      <c r="N313" t="n">
        <v>16.745302</v>
      </c>
      <c r="O313" t="n">
        <v>16.087472</v>
      </c>
      <c r="P313" t="n">
        <v>15.328558</v>
      </c>
      <c r="BH313" t="n">
        <v>16.21</v>
      </c>
      <c r="CD313" t="n">
        <v>2.57</v>
      </c>
      <c r="CJ313" t="n">
        <v>17.496598</v>
      </c>
      <c r="CK313" t="n">
        <v>18.513728</v>
      </c>
      <c r="CL313" t="n">
        <v>19.32955</v>
      </c>
      <c r="CM313" t="n">
        <v>19.6216</v>
      </c>
      <c r="CN313" t="n">
        <v>17.450608</v>
      </c>
      <c r="CO313" t="n">
        <v>17.18635</v>
      </c>
      <c r="CP313" t="n">
        <v>18.007318</v>
      </c>
      <c r="EH313" t="n">
        <v>18.229</v>
      </c>
      <c r="FD313" t="n">
        <v>4.87</v>
      </c>
    </row>
    <row r="314">
      <c r="A314" t="inlineStr">
        <is>
          <t>2026-05-15</t>
        </is>
      </c>
      <c r="B314" t="inlineStr">
        <is>
          <t>Feline Pancreas-specific Lipase</t>
        </is>
      </c>
      <c r="C314" t="inlineStr">
        <is>
          <t>111026051501 &amp; 211026051501</t>
        </is>
      </c>
      <c r="D314" t="inlineStr">
        <is>
          <t>fPL</t>
        </is>
      </c>
      <c r="J314" t="n">
        <v>17.99042836642487</v>
      </c>
      <c r="K314" t="n">
        <v>17.29832936875233</v>
      </c>
      <c r="L314" t="n">
        <v>18.01492165621368</v>
      </c>
      <c r="M314" t="n">
        <v>16.36506333819166</v>
      </c>
      <c r="N314" t="n">
        <v>18.34900036843082</v>
      </c>
      <c r="O314" t="n">
        <v>17.33828434814487</v>
      </c>
      <c r="P314" t="n">
        <v>18.97006604470138</v>
      </c>
      <c r="Q314" t="n">
        <v>18.15155827391264</v>
      </c>
      <c r="R314" t="n">
        <v>17.41751347189944</v>
      </c>
      <c r="BH314" t="n">
        <v>15.422</v>
      </c>
      <c r="CD314" t="n">
        <v>13.62</v>
      </c>
      <c r="CJ314" t="n">
        <v>2.830729740424601</v>
      </c>
      <c r="CK314" t="n">
        <v>2.050331048115071</v>
      </c>
      <c r="CL314" t="n">
        <v>1.881807784374851</v>
      </c>
      <c r="CM314" t="n">
        <v>2.125201497203909</v>
      </c>
      <c r="CN314" t="n">
        <v>1.870485198334703</v>
      </c>
      <c r="CO314" t="n">
        <v>2.225199778180249</v>
      </c>
      <c r="EH314" t="n">
        <v>2.164</v>
      </c>
      <c r="FD314" t="n">
        <v>14.96</v>
      </c>
      <c r="FJ314" t="n">
        <v>2.580968928782096</v>
      </c>
      <c r="FK314" t="n">
        <v>2.507855312608268</v>
      </c>
      <c r="FL314" t="n">
        <v>1.939599940941895</v>
      </c>
      <c r="FM314" t="n">
        <v>2.291390483973076</v>
      </c>
      <c r="FN314" t="n">
        <v>1.889569310569764</v>
      </c>
      <c r="FO314" t="n">
        <v>2.327304383977033</v>
      </c>
      <c r="FP314" t="n">
        <v>2.168373380041598</v>
      </c>
      <c r="FQ314" t="n">
        <v>2.10293711623947</v>
      </c>
      <c r="FR314" t="n">
        <v>1.990731221333345</v>
      </c>
      <c r="FS314" t="n">
        <v>1.952185590713239</v>
      </c>
      <c r="FT314" t="n">
        <v>2.167993076062765</v>
      </c>
      <c r="HH314" t="n">
        <v>2.747</v>
      </c>
      <c r="ID314" t="n">
        <v>87.95999999999999</v>
      </c>
    </row>
    <row r="315">
      <c r="A315" t="inlineStr">
        <is>
          <t>2026-05-15</t>
        </is>
      </c>
      <c r="B315" t="inlineStr">
        <is>
          <t>Electrolyte 7 Panel 製程紀錄表</t>
        </is>
      </c>
      <c r="C315" t="inlineStr">
        <is>
          <t>1-0000028-26052101</t>
        </is>
      </c>
      <c r="D315" t="inlineStr">
        <is>
          <t>CK</t>
        </is>
      </c>
      <c r="F315" t="n">
        <v>20</v>
      </c>
      <c r="CF315" t="n">
        <v>20</v>
      </c>
      <c r="FF315" t="n">
        <v>20</v>
      </c>
      <c r="IF315" t="n">
        <v>20</v>
      </c>
    </row>
    <row r="316">
      <c r="A316" t="inlineStr">
        <is>
          <t>2026-05-15</t>
        </is>
      </c>
      <c r="B316" t="inlineStr">
        <is>
          <t>Electrolyte 7 Panel 製程紀錄表</t>
        </is>
      </c>
      <c r="C316" t="inlineStr">
        <is>
          <t>1-0000028-26052101</t>
        </is>
      </c>
      <c r="D316" t="inlineStr">
        <is>
          <t>Cl</t>
        </is>
      </c>
      <c r="F316" t="n">
        <v>5</v>
      </c>
      <c r="G316" t="n">
        <v>90</v>
      </c>
      <c r="H316" t="n">
        <v>540</v>
      </c>
      <c r="I316" t="n">
        <v>-360</v>
      </c>
      <c r="CF316" t="n">
        <v>5</v>
      </c>
      <c r="CG316" t="n">
        <v>91</v>
      </c>
      <c r="CH316" t="n">
        <v>546</v>
      </c>
      <c r="CI316" t="n">
        <v>-364</v>
      </c>
      <c r="FF316" t="n">
        <v>5</v>
      </c>
      <c r="FG316" t="n">
        <v>77</v>
      </c>
      <c r="FH316" t="n">
        <v>462</v>
      </c>
      <c r="FI316" t="n">
        <v>-308</v>
      </c>
      <c r="IF316" t="n">
        <v>5</v>
      </c>
      <c r="IG316" t="n">
        <v>118</v>
      </c>
      <c r="IH316" t="n">
        <v>708</v>
      </c>
      <c r="II316" t="n">
        <v>-472</v>
      </c>
    </row>
    <row r="317">
      <c r="A317" t="inlineStr">
        <is>
          <t>2026-05-15</t>
        </is>
      </c>
      <c r="B317" t="inlineStr">
        <is>
          <t>Electrolyte 7 Panel 製程紀錄表</t>
        </is>
      </c>
      <c r="C317" t="inlineStr">
        <is>
          <t>1-0000028-26052101</t>
        </is>
      </c>
      <c r="D317" t="inlineStr">
        <is>
          <t>K</t>
        </is>
      </c>
      <c r="G317" t="n">
        <v>3.9</v>
      </c>
      <c r="CG317" t="n">
        <v>6</v>
      </c>
      <c r="FG317" t="n">
        <v>2.2</v>
      </c>
      <c r="IG317" t="n">
        <v>8.4</v>
      </c>
    </row>
    <row r="318">
      <c r="A318" t="inlineStr">
        <is>
          <t>2026-05-15</t>
        </is>
      </c>
      <c r="B318" t="inlineStr">
        <is>
          <t>Electrolyte 7 Panel 製程紀錄表</t>
        </is>
      </c>
      <c r="C318" t="inlineStr">
        <is>
          <t>1-0000028-26052101</t>
        </is>
      </c>
      <c r="D318" t="inlineStr">
        <is>
          <t>LDH</t>
        </is>
      </c>
      <c r="F318" t="n">
        <v>15</v>
      </c>
      <c r="CF318" t="n">
        <v>15</v>
      </c>
      <c r="FF318" t="n">
        <v>15</v>
      </c>
      <c r="IF318" t="n">
        <v>15</v>
      </c>
    </row>
    <row r="319">
      <c r="A319" t="inlineStr">
        <is>
          <t>2026-05-15</t>
        </is>
      </c>
      <c r="B319" t="inlineStr">
        <is>
          <t>Electrolyte 7 Panel 製程紀錄表</t>
        </is>
      </c>
      <c r="C319" t="inlineStr">
        <is>
          <t>1-0000028-26052101</t>
        </is>
      </c>
      <c r="D319" t="inlineStr">
        <is>
          <t>Mg</t>
        </is>
      </c>
      <c r="F319" t="n">
        <v>15</v>
      </c>
      <c r="G319" t="n">
        <v>2.4</v>
      </c>
      <c r="H319" t="n">
        <v>38.4</v>
      </c>
      <c r="I319" t="n">
        <v>-33.6</v>
      </c>
      <c r="CF319" t="n">
        <v>15</v>
      </c>
      <c r="CG319" t="n">
        <v>4.4</v>
      </c>
      <c r="CH319" t="n">
        <v>70.40000000000001</v>
      </c>
      <c r="CI319" t="n">
        <v>-61.60000000000001</v>
      </c>
      <c r="FF319" t="n">
        <v>15</v>
      </c>
      <c r="FG319" t="n">
        <v>1</v>
      </c>
      <c r="FH319" t="n">
        <v>16</v>
      </c>
      <c r="FI319" t="n">
        <v>-14</v>
      </c>
      <c r="IF319" t="n">
        <v>15</v>
      </c>
      <c r="IG319" t="n">
        <v>4</v>
      </c>
      <c r="IH319" t="n">
        <v>64</v>
      </c>
      <c r="II319" t="n">
        <v>-56</v>
      </c>
    </row>
    <row r="320">
      <c r="A320" t="inlineStr">
        <is>
          <t>2026-05-15</t>
        </is>
      </c>
      <c r="B320" t="inlineStr">
        <is>
          <t>Electrolyte 7 Panel 製程紀錄表</t>
        </is>
      </c>
      <c r="C320" t="inlineStr">
        <is>
          <t>1-0000028-26052101</t>
        </is>
      </c>
      <c r="D320" t="inlineStr">
        <is>
          <t>Na</t>
        </is>
      </c>
      <c r="G320" t="n">
        <v>141</v>
      </c>
      <c r="CG320" t="n">
        <v>129</v>
      </c>
      <c r="FG320" t="n">
        <v>118</v>
      </c>
      <c r="IG320" t="n">
        <v>166</v>
      </c>
    </row>
    <row r="321">
      <c r="A321" t="inlineStr">
        <is>
          <t>2026-05-14</t>
        </is>
      </c>
      <c r="B321" t="inlineStr">
        <is>
          <t>Canine Cortisol</t>
        </is>
      </c>
      <c r="C321" t="inlineStr">
        <is>
          <t>210426051401</t>
        </is>
      </c>
      <c r="D321" t="inlineStr">
        <is>
          <t>cCORT</t>
        </is>
      </c>
      <c r="J321" t="n">
        <v>1.227874612925475</v>
      </c>
      <c r="K321" t="n">
        <v>1.151429017313462</v>
      </c>
      <c r="L321" t="n">
        <v>0.609452048106298</v>
      </c>
      <c r="M321" t="n">
        <v>0.9372651769095225</v>
      </c>
      <c r="N321" t="n">
        <v>1.17141376305574</v>
      </c>
      <c r="O321" t="n">
        <v>0.9663526993432369</v>
      </c>
      <c r="P321" t="n">
        <v>1.012238580492558</v>
      </c>
      <c r="Q321" t="n">
        <v>0.9065945516727276</v>
      </c>
      <c r="R321" t="n">
        <v>0.9257195582110427</v>
      </c>
      <c r="BH321" t="n">
        <v>0.973</v>
      </c>
      <c r="CD321" t="n">
        <v>19.24</v>
      </c>
      <c r="CJ321" t="n">
        <v>4.16485631023212</v>
      </c>
      <c r="CK321" t="n">
        <v>3.429317397252438</v>
      </c>
      <c r="CL321" t="n">
        <v>3.687536032141707</v>
      </c>
      <c r="CM321" t="n">
        <v>4.434797670793038</v>
      </c>
      <c r="CN321" t="n">
        <v>3.736075544430428</v>
      </c>
      <c r="CO321" t="n">
        <v>4.406827482915139</v>
      </c>
      <c r="CP321" t="n">
        <v>2.880518240801326</v>
      </c>
      <c r="CQ321" t="n">
        <v>3.692190658736795</v>
      </c>
      <c r="CR321" t="n">
        <v>3.059064853365791</v>
      </c>
      <c r="CS321" t="n">
        <v>0.6403645966119696</v>
      </c>
      <c r="CT321" t="n">
        <v>3.996429703078001</v>
      </c>
      <c r="CU321" t="n">
        <v>4.237938013780474</v>
      </c>
      <c r="EH321" t="n">
        <v>3.53</v>
      </c>
      <c r="FD321" t="n">
        <v>28.1</v>
      </c>
    </row>
    <row r="322">
      <c r="A322" t="inlineStr">
        <is>
          <t>2026-05-14</t>
        </is>
      </c>
      <c r="B322" t="inlineStr">
        <is>
          <t>Canine Progesterone</t>
        </is>
      </c>
      <c r="C322" t="inlineStr">
        <is>
          <t>210326051401</t>
        </is>
      </c>
      <c r="D322" t="inlineStr">
        <is>
          <t>cPROG</t>
        </is>
      </c>
      <c r="J322" t="n">
        <v>0.02003759940751996</v>
      </c>
      <c r="K322" t="n">
        <v>0.01832255642042122</v>
      </c>
      <c r="L322" t="n">
        <v>0.01989326425773255</v>
      </c>
      <c r="M322" t="n">
        <v>0.03319609055240447</v>
      </c>
      <c r="N322" t="n">
        <v>0.02160358227130879</v>
      </c>
      <c r="O322" t="n">
        <v>0.008119365302464002</v>
      </c>
      <c r="P322" t="n">
        <v>0.01181407677449851</v>
      </c>
      <c r="Q322" t="n">
        <v>0.022673382448217</v>
      </c>
      <c r="R322" t="n">
        <v>0.01018706004486133</v>
      </c>
      <c r="BH322" t="n">
        <v>0.017</v>
      </c>
      <c r="CD322" t="n">
        <v>40.73</v>
      </c>
      <c r="CJ322" t="n">
        <v>0.8130527054676505</v>
      </c>
      <c r="CK322" t="n">
        <v>0.989762353622692</v>
      </c>
      <c r="CL322" t="n">
        <v>0.8524982042459958</v>
      </c>
      <c r="CM322" t="n">
        <v>0.7800854087299658</v>
      </c>
      <c r="CN322" t="n">
        <v>1.072925970919973</v>
      </c>
      <c r="CO322" t="n">
        <v>0.739569227256914</v>
      </c>
      <c r="CP322" t="n">
        <v>0.5631150874572783</v>
      </c>
      <c r="CQ322" t="n">
        <v>1.022054524263326</v>
      </c>
      <c r="CR322" t="n">
        <v>0.8926091040108612</v>
      </c>
      <c r="CS322" t="n">
        <v>1.069646505335471</v>
      </c>
      <c r="CT322" t="n">
        <v>0.8665452689917778</v>
      </c>
      <c r="CU322" t="n">
        <v>1.023668163065959</v>
      </c>
      <c r="EH322" t="n">
        <v>0.89</v>
      </c>
      <c r="FD322" t="n">
        <v>16.54</v>
      </c>
    </row>
    <row r="323">
      <c r="A323" t="inlineStr">
        <is>
          <t>2026-05-13</t>
        </is>
      </c>
      <c r="B323" t="inlineStr">
        <is>
          <t>Canine Pancreas-specific Lipase</t>
        </is>
      </c>
      <c r="C323" t="inlineStr">
        <is>
          <t>110926051301 &amp; 210926051301</t>
        </is>
      </c>
      <c r="D323" t="inlineStr">
        <is>
          <t>cPL</t>
        </is>
      </c>
      <c r="J323" t="n">
        <v>105.3824454961171</v>
      </c>
      <c r="K323" t="n">
        <v>103.4332120336939</v>
      </c>
      <c r="L323" t="n">
        <v>176.2184747324265</v>
      </c>
      <c r="M323" t="n">
        <v>126.5052319023526</v>
      </c>
      <c r="N323" t="n">
        <v>141.3412497802111</v>
      </c>
      <c r="O323" t="n">
        <v>164.8484584006826</v>
      </c>
      <c r="P323" t="n">
        <v>125.2133986035581</v>
      </c>
      <c r="Q323" t="n">
        <v>-104.9477307756772</v>
      </c>
      <c r="R323" t="n">
        <v>127.9484673676142</v>
      </c>
      <c r="BH323" t="n">
        <v>140.503</v>
      </c>
      <c r="CD323" t="n">
        <v>37.14</v>
      </c>
      <c r="CJ323" t="n">
        <v>362.2029345667477</v>
      </c>
      <c r="CK323" t="n">
        <v>324.2303594503057</v>
      </c>
      <c r="EH323" t="n">
        <v>343.217</v>
      </c>
      <c r="FD323" t="n">
        <v>5.53</v>
      </c>
      <c r="FJ323" t="n">
        <v>332.0806078401351</v>
      </c>
      <c r="FK323" t="n">
        <v>353.8772511389635</v>
      </c>
      <c r="FL323" t="n">
        <v>512.5075750153369</v>
      </c>
      <c r="FM323" t="n">
        <v>267.6380877141564</v>
      </c>
      <c r="FN323" t="n">
        <v>316.7581831356625</v>
      </c>
      <c r="FO323" t="n">
        <v>332.1345717298727</v>
      </c>
      <c r="FP323" t="n">
        <v>370.3794617572707</v>
      </c>
      <c r="FQ323" t="n">
        <v>360.3377432894598</v>
      </c>
      <c r="FR323" t="n">
        <v>375.5699059799921</v>
      </c>
      <c r="FS323" t="n">
        <v>314.5364112237847</v>
      </c>
      <c r="FT323" t="n">
        <v>330.9171321972942</v>
      </c>
      <c r="HH323" t="n">
        <v>382.782</v>
      </c>
      <c r="ID323" t="n">
        <v>16.48</v>
      </c>
      <c r="IJ323" t="n">
        <v>314.4788271867213</v>
      </c>
      <c r="IK323" t="n">
        <v>294.3694233089292</v>
      </c>
      <c r="IL323" t="n">
        <v>324.9104179310239</v>
      </c>
      <c r="IM323" t="n">
        <v>344.0225229932113</v>
      </c>
      <c r="IN323" t="n">
        <v>298.9370285732472</v>
      </c>
      <c r="IO323" t="n">
        <v>305.063465357248</v>
      </c>
      <c r="IP323" t="n">
        <v>293.901549404482</v>
      </c>
      <c r="IQ323" t="n">
        <v>20.07421801480974</v>
      </c>
      <c r="IR323" t="n">
        <v>735.5874370768674</v>
      </c>
      <c r="IS323" t="n">
        <v>336.9821099490093</v>
      </c>
      <c r="KH323" t="n">
        <v>353.651</v>
      </c>
      <c r="LD323" t="n">
        <v>35.82</v>
      </c>
    </row>
    <row r="324">
      <c r="A324" t="inlineStr">
        <is>
          <t>2026-05-12</t>
        </is>
      </c>
      <c r="B324" t="inlineStr">
        <is>
          <t>Specific Test 1</t>
        </is>
      </c>
      <c r="C324" t="inlineStr">
        <is>
          <t>203126051201</t>
        </is>
      </c>
      <c r="D324" t="inlineStr">
        <is>
          <t>NH3</t>
        </is>
      </c>
      <c r="F324" t="n">
        <v>10</v>
      </c>
      <c r="J324" t="n">
        <v>0.09587665267185616</v>
      </c>
      <c r="K324" t="n">
        <v>0.0942163331748635</v>
      </c>
      <c r="L324" t="n">
        <v>0.1006849009937624</v>
      </c>
      <c r="M324" t="n">
        <v>0.09695039059180555</v>
      </c>
      <c r="N324" t="n">
        <v>0.09632455027024316</v>
      </c>
      <c r="BH324" t="n">
        <v>0.097</v>
      </c>
      <c r="CD324" t="n">
        <v>2.21</v>
      </c>
      <c r="CF324" t="n">
        <v>10</v>
      </c>
      <c r="CJ324" t="n">
        <v>0.2794133555513881</v>
      </c>
      <c r="CK324" t="n">
        <v>0.2751285850521708</v>
      </c>
      <c r="CL324" t="n">
        <v>0.279229738544803</v>
      </c>
      <c r="CM324" t="n">
        <v>0.2745607443844296</v>
      </c>
      <c r="CN324" t="n">
        <v>0.2768063714268467</v>
      </c>
      <c r="EH324" t="n">
        <v>0.277</v>
      </c>
      <c r="FD324" t="n">
        <v>0.73</v>
      </c>
      <c r="FF324" t="n">
        <v>10</v>
      </c>
      <c r="IF324" t="n">
        <v>10</v>
      </c>
    </row>
    <row r="325">
      <c r="A325" t="inlineStr">
        <is>
          <t>2026-05-12</t>
        </is>
      </c>
      <c r="B325" t="inlineStr">
        <is>
          <t>Optimum Wellness 37</t>
        </is>
      </c>
      <c r="C325" t="inlineStr">
        <is>
          <t>109326051201</t>
        </is>
      </c>
      <c r="D325" t="inlineStr">
        <is>
          <t>BA</t>
        </is>
      </c>
      <c r="J325" t="n">
        <v>5.156135758375534</v>
      </c>
      <c r="K325" t="n">
        <v>6.214152164062902</v>
      </c>
      <c r="L325" t="n">
        <v>4.303025533927283</v>
      </c>
      <c r="M325" t="n">
        <v>5.355560477287749</v>
      </c>
      <c r="N325" t="n">
        <v>3.113101145649767</v>
      </c>
      <c r="BH325" t="n">
        <v>4.828</v>
      </c>
      <c r="CD325" t="n">
        <v>21.77</v>
      </c>
      <c r="CJ325" t="n">
        <v>4.863200781128199</v>
      </c>
      <c r="CK325" t="n">
        <v>4.057279172093468</v>
      </c>
      <c r="CL325" t="n">
        <v>6.209819900965957</v>
      </c>
      <c r="CM325" t="n">
        <v>5.104628088777803</v>
      </c>
      <c r="CN325" t="n">
        <v>4.389748206233532</v>
      </c>
      <c r="EH325" t="n">
        <v>4.925</v>
      </c>
      <c r="FD325" t="n">
        <v>14.99</v>
      </c>
      <c r="FJ325" t="n">
        <v>13.89104895702895</v>
      </c>
      <c r="FK325" t="n">
        <v>14.76307335060616</v>
      </c>
      <c r="FL325" t="n">
        <v>14.22771701493907</v>
      </c>
      <c r="FM325" t="n">
        <v>15.53134238656495</v>
      </c>
      <c r="FN325" t="n">
        <v>14.93694176183603</v>
      </c>
      <c r="HH325" t="n">
        <v>14.67</v>
      </c>
      <c r="ID325" t="n">
        <v>3.89</v>
      </c>
      <c r="IJ325" t="n">
        <v>13.17547729084614</v>
      </c>
      <c r="IK325" t="n">
        <v>14.30102219416001</v>
      </c>
      <c r="IL325" t="n">
        <v>13.69694643490752</v>
      </c>
      <c r="IM325" t="n">
        <v>14.35936880119938</v>
      </c>
      <c r="IN325" t="n">
        <v>14.56527235334818</v>
      </c>
      <c r="KH325" t="n">
        <v>14.02</v>
      </c>
      <c r="LD325" t="n">
        <v>3.65</v>
      </c>
    </row>
    <row r="326">
      <c r="A326" t="inlineStr">
        <is>
          <t>2026-05-12</t>
        </is>
      </c>
      <c r="B326" t="inlineStr">
        <is>
          <t>Optimum Wellness 37</t>
        </is>
      </c>
      <c r="C326" t="inlineStr">
        <is>
          <t>109326051201</t>
        </is>
      </c>
      <c r="D326" t="inlineStr">
        <is>
          <t>Cl</t>
        </is>
      </c>
      <c r="F326" t="n">
        <v>5</v>
      </c>
      <c r="G326" t="n">
        <v>90</v>
      </c>
      <c r="H326" t="n">
        <v>540</v>
      </c>
      <c r="I326" t="n">
        <v>-360</v>
      </c>
      <c r="J326" t="n">
        <v>101.4432453722116</v>
      </c>
      <c r="K326" t="n">
        <v>104.1631673544982</v>
      </c>
      <c r="L326" t="n">
        <v>99.91984085512999</v>
      </c>
      <c r="M326" t="n">
        <v>102.1389029370597</v>
      </c>
      <c r="N326" t="n">
        <v>100.1456754939358</v>
      </c>
      <c r="BH326" t="n">
        <v>101.562</v>
      </c>
      <c r="BS326" t="n">
        <v>12.85</v>
      </c>
      <c r="CD326" t="n">
        <v>1.51</v>
      </c>
      <c r="CF326" t="n">
        <v>5</v>
      </c>
      <c r="CG326" t="n">
        <v>91</v>
      </c>
      <c r="CH326" t="n">
        <v>546</v>
      </c>
      <c r="CI326" t="n">
        <v>-364</v>
      </c>
      <c r="CJ326" t="n">
        <v>97.18006818113312</v>
      </c>
      <c r="CK326" t="n">
        <v>92.07619173188007</v>
      </c>
      <c r="CL326" t="n">
        <v>94.29823391188557</v>
      </c>
      <c r="CM326" t="n">
        <v>96.68563577192819</v>
      </c>
      <c r="CN326" t="n">
        <v>93.69989479878217</v>
      </c>
      <c r="EH326" t="n">
        <v>94.788</v>
      </c>
      <c r="ES326" t="n">
        <v>4.16</v>
      </c>
      <c r="FD326" t="n">
        <v>2.01</v>
      </c>
      <c r="FF326" t="n">
        <v>5</v>
      </c>
      <c r="FG326" t="n">
        <v>77</v>
      </c>
      <c r="FH326" t="n">
        <v>462</v>
      </c>
      <c r="FI326" t="n">
        <v>-308</v>
      </c>
      <c r="FJ326" t="n">
        <v>86.06874670727373</v>
      </c>
      <c r="FK326" t="n">
        <v>82.75713600047942</v>
      </c>
      <c r="FL326" t="n">
        <v>85.61549201847052</v>
      </c>
      <c r="FM326" t="n">
        <v>85.2379959023645</v>
      </c>
      <c r="FN326" t="n">
        <v>82.70180177973555</v>
      </c>
      <c r="HH326" t="n">
        <v>84.476</v>
      </c>
      <c r="HS326" t="n">
        <v>9.710000000000001</v>
      </c>
      <c r="ID326" t="n">
        <v>1.72</v>
      </c>
      <c r="IF326" t="n">
        <v>5</v>
      </c>
      <c r="IG326" t="n">
        <v>118</v>
      </c>
      <c r="IH326" t="n">
        <v>708</v>
      </c>
      <c r="II326" t="n">
        <v>-472</v>
      </c>
      <c r="IJ326" t="n">
        <v>126.6011989215839</v>
      </c>
      <c r="IK326" t="n">
        <v>126.7342829311829</v>
      </c>
      <c r="IL326" t="n">
        <v>128.8781025137574</v>
      </c>
      <c r="IM326" t="n">
        <v>130.1969061058657</v>
      </c>
      <c r="IN326" t="n">
        <v>123.4545890194079</v>
      </c>
      <c r="KH326" t="n">
        <v>127.173</v>
      </c>
      <c r="KS326" t="n">
        <v>7.77</v>
      </c>
      <c r="LD326" t="n">
        <v>1.81</v>
      </c>
    </row>
    <row r="327">
      <c r="A327" t="inlineStr">
        <is>
          <t>2026-05-12</t>
        </is>
      </c>
      <c r="B327" t="inlineStr">
        <is>
          <t>Optimum Wellness 37</t>
        </is>
      </c>
      <c r="C327" t="inlineStr">
        <is>
          <t>109326051201</t>
        </is>
      </c>
      <c r="D327" t="inlineStr">
        <is>
          <t>K</t>
        </is>
      </c>
      <c r="G327" t="n">
        <v>3.9</v>
      </c>
      <c r="J327" t="n">
        <v>4.307665024999195</v>
      </c>
      <c r="K327" t="n">
        <v>4.732154378601345</v>
      </c>
      <c r="L327" t="n">
        <v>4.36557630804396</v>
      </c>
      <c r="M327" t="n">
        <v>4.616997907231419</v>
      </c>
      <c r="N327" t="n">
        <v>4.350362694601694</v>
      </c>
      <c r="BH327" t="n">
        <v>4.475</v>
      </c>
      <c r="BS327" t="n">
        <v>14.73</v>
      </c>
      <c r="CD327" t="n">
        <v>3.76</v>
      </c>
      <c r="CG327" t="n">
        <v>6</v>
      </c>
      <c r="CJ327" t="n">
        <v>7.682525156280344</v>
      </c>
      <c r="CK327" t="n">
        <v>7.215725911691048</v>
      </c>
      <c r="CL327" t="n">
        <v>7.331381429382318</v>
      </c>
      <c r="CM327" t="n">
        <v>7.192962315525132</v>
      </c>
      <c r="CN327" t="n">
        <v>7.335870810156462</v>
      </c>
      <c r="EH327" t="n">
        <v>7.352</v>
      </c>
      <c r="ES327" t="n">
        <v>22.53</v>
      </c>
      <c r="FD327" t="n">
        <v>2.39</v>
      </c>
      <c r="FG327" t="n">
        <v>2.2</v>
      </c>
      <c r="FJ327" t="n">
        <v>3.061202552441205</v>
      </c>
      <c r="FK327" t="n">
        <v>3.170514397973355</v>
      </c>
      <c r="FL327" t="n">
        <v>2.750754484200132</v>
      </c>
      <c r="FM327" t="n">
        <v>2.944664939612564</v>
      </c>
      <c r="FN327" t="n">
        <v>2.854256954005733</v>
      </c>
      <c r="HH327" t="n">
        <v>2.956</v>
      </c>
      <c r="HS327" t="n">
        <v>34.38</v>
      </c>
      <c r="ID327" t="n">
        <v>5.01</v>
      </c>
      <c r="IG327" t="n">
        <v>8.4</v>
      </c>
      <c r="IJ327" t="n">
        <v>10.30714916127544</v>
      </c>
      <c r="IK327" t="n">
        <v>10.13667659715168</v>
      </c>
      <c r="IL327" t="n">
        <v>10.03571414796647</v>
      </c>
      <c r="IM327" t="n">
        <v>9.875195771280307</v>
      </c>
      <c r="IN327" t="n">
        <v>9.928353778952037</v>
      </c>
      <c r="KH327" t="n">
        <v>10.057</v>
      </c>
      <c r="KS327" t="n">
        <v>19.72</v>
      </c>
      <c r="LD327" t="n">
        <v>1.53</v>
      </c>
    </row>
    <row r="328">
      <c r="A328" t="inlineStr">
        <is>
          <t>2026-05-12</t>
        </is>
      </c>
      <c r="B328" t="inlineStr">
        <is>
          <t>Optimum Wellness 37</t>
        </is>
      </c>
      <c r="C328" t="inlineStr">
        <is>
          <t>109326051201</t>
        </is>
      </c>
      <c r="D328" t="inlineStr">
        <is>
          <t>Na</t>
        </is>
      </c>
      <c r="G328" t="n">
        <v>141</v>
      </c>
      <c r="J328" t="n">
        <v>148.3441046622401</v>
      </c>
      <c r="K328" t="n">
        <v>155.1132566881212</v>
      </c>
      <c r="L328" t="n">
        <v>41.64517743204402</v>
      </c>
      <c r="M328" t="n">
        <v>155.0138504219591</v>
      </c>
      <c r="N328" t="n">
        <v>150.188294275755</v>
      </c>
      <c r="BH328" t="n">
        <v>130.061</v>
      </c>
      <c r="BS328" t="n">
        <v>-7.76</v>
      </c>
      <c r="CD328" t="n">
        <v>34.05</v>
      </c>
      <c r="CG328" t="n">
        <v>129</v>
      </c>
      <c r="CJ328" t="n">
        <v>142.4300626809785</v>
      </c>
      <c r="CK328" t="n">
        <v>137.3833805419591</v>
      </c>
      <c r="CL328" t="n">
        <v>139.5989947265528</v>
      </c>
      <c r="CM328" t="n">
        <v>141.6006985731415</v>
      </c>
      <c r="CN328" t="n">
        <v>141.3417788065169</v>
      </c>
      <c r="EH328" t="n">
        <v>140.471</v>
      </c>
      <c r="ES328" t="n">
        <v>8.890000000000001</v>
      </c>
      <c r="FD328" t="n">
        <v>1.28</v>
      </c>
      <c r="FG328" t="n">
        <v>118</v>
      </c>
      <c r="FJ328" t="n">
        <v>127.5242288591265</v>
      </c>
      <c r="FK328" t="n">
        <v>126.9734437524254</v>
      </c>
      <c r="FL328" t="n">
        <v>41.21736116932698</v>
      </c>
      <c r="FM328" t="n">
        <v>127.854687302081</v>
      </c>
      <c r="FN328" t="n">
        <v>125.9072146825199</v>
      </c>
      <c r="HH328" t="n">
        <v>109.895</v>
      </c>
      <c r="HS328" t="n">
        <v>-6.87</v>
      </c>
      <c r="ID328" t="n">
        <v>31.25</v>
      </c>
      <c r="IG328" t="n">
        <v>166</v>
      </c>
      <c r="IJ328" t="n">
        <v>174.9625340636736</v>
      </c>
      <c r="IK328" t="n">
        <v>167.9567862818424</v>
      </c>
      <c r="IL328" t="n">
        <v>173.8700096186124</v>
      </c>
      <c r="IM328" t="n">
        <v>174.6540680807183</v>
      </c>
      <c r="IN328" t="n">
        <v>172.4564812079763</v>
      </c>
      <c r="KH328" t="n">
        <v>172.78</v>
      </c>
      <c r="KS328" t="n">
        <v>4.08</v>
      </c>
      <c r="LD328" t="n">
        <v>1.48</v>
      </c>
    </row>
    <row r="329">
      <c r="A329" t="inlineStr">
        <is>
          <t>2026-05-12</t>
        </is>
      </c>
      <c r="B329" t="inlineStr">
        <is>
          <t>Optimum Wellness 37</t>
        </is>
      </c>
      <c r="C329" t="inlineStr">
        <is>
          <t>109326051201</t>
        </is>
      </c>
      <c r="D329" t="inlineStr">
        <is>
          <t>P-LIPA</t>
        </is>
      </c>
      <c r="F329" t="n">
        <v>30</v>
      </c>
      <c r="J329" t="n">
        <v>74.68823828078372</v>
      </c>
      <c r="K329" t="n">
        <v>71.68310983736006</v>
      </c>
      <c r="L329" t="n">
        <v>70.44069437659545</v>
      </c>
      <c r="M329" t="n">
        <v>75.24353926433443</v>
      </c>
      <c r="N329" t="n">
        <v>71.67689051906882</v>
      </c>
      <c r="BH329" t="n">
        <v>72.746</v>
      </c>
      <c r="CD329" t="n">
        <v>2.58</v>
      </c>
      <c r="CF329" t="n">
        <v>30</v>
      </c>
      <c r="CJ329" t="n">
        <v>91.76602887672387</v>
      </c>
      <c r="CK329" t="n">
        <v>86.56323120932258</v>
      </c>
      <c r="CL329" t="n">
        <v>91.0339641301547</v>
      </c>
      <c r="CM329" t="n">
        <v>89.61809492069877</v>
      </c>
      <c r="CN329" t="n">
        <v>90.86733336825402</v>
      </c>
      <c r="EH329" t="n">
        <v>89.97</v>
      </c>
      <c r="FD329" t="n">
        <v>2.04</v>
      </c>
      <c r="FF329" t="n">
        <v>30</v>
      </c>
      <c r="FJ329" t="n">
        <v>40.10536582555601</v>
      </c>
      <c r="FK329" t="n">
        <v>40.10635308519713</v>
      </c>
      <c r="FL329" t="n">
        <v>41.5558021405616</v>
      </c>
      <c r="FM329" t="n">
        <v>41.8933820912273</v>
      </c>
      <c r="FN329" t="n">
        <v>40.00436973085075</v>
      </c>
      <c r="HH329" t="n">
        <v>40.733</v>
      </c>
      <c r="ID329" t="n">
        <v>2.01</v>
      </c>
      <c r="IF329" t="n">
        <v>30</v>
      </c>
      <c r="IJ329" t="n">
        <v>111.6104614517277</v>
      </c>
      <c r="IK329" t="n">
        <v>109.5063892086994</v>
      </c>
      <c r="IL329" t="n">
        <v>117.60194231632</v>
      </c>
      <c r="IM329" t="n">
        <v>114.3457967221771</v>
      </c>
      <c r="IN329" t="n">
        <v>112.898566838427</v>
      </c>
      <c r="KH329" t="n">
        <v>113.193</v>
      </c>
      <c r="LD329" t="n">
        <v>2.4</v>
      </c>
    </row>
    <row r="330">
      <c r="A330" t="inlineStr">
        <is>
          <t>2026-05-12</t>
        </is>
      </c>
      <c r="B330" t="inlineStr">
        <is>
          <t>Optimum Wellness 37</t>
        </is>
      </c>
      <c r="C330" t="inlineStr">
        <is>
          <t>109326051201</t>
        </is>
      </c>
      <c r="D330" t="inlineStr">
        <is>
          <t>TCO2</t>
        </is>
      </c>
      <c r="F330" t="n">
        <v>20</v>
      </c>
      <c r="G330" t="n">
        <v>32.5</v>
      </c>
      <c r="H330" t="n">
        <v>682.5</v>
      </c>
      <c r="I330" t="n">
        <v>-617.5</v>
      </c>
      <c r="J330" t="n">
        <v>33.8124946318727</v>
      </c>
      <c r="K330" t="n">
        <v>33.62587950609033</v>
      </c>
      <c r="L330" t="n">
        <v>32.7958557856696</v>
      </c>
      <c r="M330" t="n">
        <v>34.3836833914905</v>
      </c>
      <c r="N330" t="n">
        <v>33.94610624598099</v>
      </c>
      <c r="BH330" t="n">
        <v>33.713</v>
      </c>
      <c r="BS330" t="n">
        <v>3.73</v>
      </c>
      <c r="CD330" t="n">
        <v>1.55</v>
      </c>
      <c r="CF330" t="n">
        <v>20</v>
      </c>
      <c r="CG330" t="n">
        <v>21.2</v>
      </c>
      <c r="CH330" t="n">
        <v>445.2</v>
      </c>
      <c r="CI330" t="n">
        <v>-402.8</v>
      </c>
      <c r="CJ330" t="n">
        <v>23.2614529029999</v>
      </c>
      <c r="CK330" t="n">
        <v>22.44790558111274</v>
      </c>
      <c r="CL330" t="n">
        <v>23.78840499368351</v>
      </c>
      <c r="CM330" t="n">
        <v>24.17315869452991</v>
      </c>
      <c r="CN330" t="n">
        <v>25.11408112529304</v>
      </c>
      <c r="EH330" t="n">
        <v>23.757</v>
      </c>
      <c r="ES330" t="n">
        <v>12.06</v>
      </c>
      <c r="FD330" t="n">
        <v>3.75</v>
      </c>
      <c r="FF330" t="n">
        <v>20</v>
      </c>
      <c r="FG330" t="n">
        <v>17.3</v>
      </c>
      <c r="FH330" t="n">
        <v>363.3</v>
      </c>
      <c r="FI330" t="n">
        <v>-328.7</v>
      </c>
      <c r="FJ330" t="n">
        <v>24.21614561888236</v>
      </c>
      <c r="FK330" t="n">
        <v>21.78732734303515</v>
      </c>
      <c r="FL330" t="n">
        <v>22.55947347520054</v>
      </c>
      <c r="FM330" t="n">
        <v>24.07057591432583</v>
      </c>
      <c r="FN330" t="n">
        <v>25.94391880916185</v>
      </c>
      <c r="HH330" t="n">
        <v>23.715</v>
      </c>
      <c r="HS330" t="n">
        <v>37.08</v>
      </c>
      <c r="ID330" t="n">
        <v>6.08</v>
      </c>
      <c r="IF330" t="n">
        <v>20</v>
      </c>
      <c r="IG330" t="n">
        <v>26.7</v>
      </c>
      <c r="IH330" t="n">
        <v>560.6999999999999</v>
      </c>
      <c r="II330" t="n">
        <v>-507.3</v>
      </c>
      <c r="IJ330" t="n">
        <v>29.63850063907649</v>
      </c>
      <c r="IK330" t="n">
        <v>28.45658870198706</v>
      </c>
      <c r="IL330" t="n">
        <v>30.70385832982419</v>
      </c>
      <c r="IM330" t="n">
        <v>30.3460414489861</v>
      </c>
      <c r="IN330" t="n">
        <v>31.03033801489534</v>
      </c>
      <c r="KH330" t="n">
        <v>30.035</v>
      </c>
      <c r="KS330" t="n">
        <v>12.49</v>
      </c>
      <c r="LD330" t="n">
        <v>3.05</v>
      </c>
    </row>
    <row r="331">
      <c r="A331" t="inlineStr">
        <is>
          <t>2026-05-12</t>
        </is>
      </c>
      <c r="B331" t="inlineStr">
        <is>
          <t>Optimum Wellness 37</t>
        </is>
      </c>
      <c r="C331" t="inlineStr">
        <is>
          <t>109326051201</t>
        </is>
      </c>
      <c r="D331" t="inlineStr">
        <is>
          <t>TRIG</t>
        </is>
      </c>
      <c r="F331" t="n">
        <v>15</v>
      </c>
      <c r="J331" t="n">
        <v>186.9338221145132</v>
      </c>
      <c r="K331" t="n">
        <v>185.7804143855582</v>
      </c>
      <c r="L331" t="n">
        <v>188.1029923756882</v>
      </c>
      <c r="M331" t="n">
        <v>189.2844107114744</v>
      </c>
      <c r="N331" t="n">
        <v>184.014414347184</v>
      </c>
      <c r="BH331" t="n">
        <v>186.823</v>
      </c>
      <c r="CD331" t="n">
        <v>0.98</v>
      </c>
      <c r="CF331" t="n">
        <v>15</v>
      </c>
      <c r="CJ331" t="n">
        <v>102.6425244938657</v>
      </c>
      <c r="CK331" t="n">
        <v>100.5571292163209</v>
      </c>
      <c r="CL331" t="n">
        <v>99.07260402898937</v>
      </c>
      <c r="CM331" t="n">
        <v>100.6324136962564</v>
      </c>
      <c r="CN331" t="n">
        <v>101.0026049317746</v>
      </c>
      <c r="EH331" t="n">
        <v>100.781</v>
      </c>
      <c r="FD331" t="n">
        <v>1.13</v>
      </c>
      <c r="FF331" t="n">
        <v>15</v>
      </c>
      <c r="FJ331" t="n">
        <v>113.1631420728468</v>
      </c>
      <c r="FK331" t="n">
        <v>115.1910329288949</v>
      </c>
      <c r="FL331" t="n">
        <v>113.7601238214425</v>
      </c>
      <c r="FM331" t="n">
        <v>115.3808635762743</v>
      </c>
      <c r="FN331" t="n">
        <v>111.4809941757637</v>
      </c>
      <c r="HH331" t="n">
        <v>113.795</v>
      </c>
      <c r="ID331" t="n">
        <v>1.26</v>
      </c>
      <c r="IF331" t="n">
        <v>15</v>
      </c>
      <c r="IJ331" t="n">
        <v>219.7314050124364</v>
      </c>
      <c r="IK331" t="n">
        <v>220.441958947496</v>
      </c>
      <c r="IL331" t="n">
        <v>221.3482074820114</v>
      </c>
      <c r="IM331" t="n">
        <v>217.6732890460425</v>
      </c>
      <c r="IN331" t="n">
        <v>214.0921647535419</v>
      </c>
      <c r="KH331" t="n">
        <v>218.657</v>
      </c>
      <c r="LD331" t="n">
        <v>1.18</v>
      </c>
    </row>
    <row r="332">
      <c r="A332" t="inlineStr">
        <is>
          <t>2026-05-12</t>
        </is>
      </c>
      <c r="B332" t="inlineStr">
        <is>
          <t>Large Animal 25</t>
        </is>
      </c>
      <c r="C332" t="inlineStr">
        <is>
          <t>106226051201</t>
        </is>
      </c>
      <c r="D332" t="inlineStr">
        <is>
          <t>ALP</t>
        </is>
      </c>
      <c r="F332" t="n">
        <v>20</v>
      </c>
      <c r="G332" t="n">
        <v>136</v>
      </c>
      <c r="H332" t="n">
        <v>2856</v>
      </c>
      <c r="I332" t="n">
        <v>-2584</v>
      </c>
      <c r="J332" t="n">
        <v>151.7666460460243</v>
      </c>
      <c r="K332" t="n">
        <v>152.3777664087819</v>
      </c>
      <c r="L332" t="n">
        <v>152.8785430947616</v>
      </c>
      <c r="M332" t="n">
        <v>149.7341691560677</v>
      </c>
      <c r="N332" t="n">
        <v>149.5665168984867</v>
      </c>
      <c r="BH332" t="n">
        <v>151.265</v>
      </c>
      <c r="BS332" t="n">
        <v>11.22</v>
      </c>
      <c r="CD332" t="n">
        <v>0.9</v>
      </c>
      <c r="CF332" t="n">
        <v>20</v>
      </c>
      <c r="CG332" t="n">
        <v>456</v>
      </c>
      <c r="CH332" t="n">
        <v>9576</v>
      </c>
      <c r="CI332" t="n">
        <v>-8664</v>
      </c>
      <c r="CJ332" t="n">
        <v>478.0697617011444</v>
      </c>
      <c r="CK332" t="n">
        <v>479.558419222844</v>
      </c>
      <c r="CL332" t="n">
        <v>470.1296139282867</v>
      </c>
      <c r="CM332" t="n">
        <v>476.6763588537053</v>
      </c>
      <c r="CN332" t="n">
        <v>471.2615860772871</v>
      </c>
      <c r="EH332" t="n">
        <v>475.139</v>
      </c>
      <c r="ES332" t="n">
        <v>4.2</v>
      </c>
      <c r="FD332" t="n">
        <v>0.79</v>
      </c>
      <c r="FF332" t="n">
        <v>20</v>
      </c>
      <c r="FG332" t="n">
        <v>75</v>
      </c>
      <c r="FH332" t="n">
        <v>1575</v>
      </c>
      <c r="FI332" t="n">
        <v>-1425</v>
      </c>
      <c r="FJ332" t="n">
        <v>77.95382339212635</v>
      </c>
      <c r="FK332" t="n">
        <v>77.71877264832244</v>
      </c>
      <c r="FL332" t="n">
        <v>77.60234012564628</v>
      </c>
      <c r="FM332" t="n">
        <v>77.96000418037754</v>
      </c>
      <c r="FN332" t="n">
        <v>77.99361059090589</v>
      </c>
      <c r="HH332" t="n">
        <v>77.846</v>
      </c>
      <c r="HS332" t="n">
        <v>3.79</v>
      </c>
      <c r="ID332" t="n">
        <v>0.2</v>
      </c>
      <c r="IF332" t="n">
        <v>20</v>
      </c>
      <c r="IG332" t="n">
        <v>251</v>
      </c>
      <c r="IH332" t="n">
        <v>5271</v>
      </c>
      <c r="II332" t="n">
        <v>-4769</v>
      </c>
      <c r="IJ332" t="n">
        <v>237.3669801822732</v>
      </c>
      <c r="IK332" t="n">
        <v>241.5246505024035</v>
      </c>
      <c r="IL332" t="n">
        <v>241.3702665796681</v>
      </c>
      <c r="IM332" t="n">
        <v>235.1909269804064</v>
      </c>
      <c r="IN332" t="n">
        <v>239.6659964956114</v>
      </c>
      <c r="KH332" t="n">
        <v>239.024</v>
      </c>
      <c r="KS332" t="n">
        <v>-4.77</v>
      </c>
      <c r="LD332" t="n">
        <v>1.02</v>
      </c>
    </row>
    <row r="333">
      <c r="A333" t="inlineStr">
        <is>
          <t>2026-05-12</t>
        </is>
      </c>
      <c r="B333" t="inlineStr">
        <is>
          <t>Large Animal 25</t>
        </is>
      </c>
      <c r="C333" t="inlineStr">
        <is>
          <t>106226051201</t>
        </is>
      </c>
      <c r="D333" t="inlineStr">
        <is>
          <t>Ca</t>
        </is>
      </c>
      <c r="G333" t="n">
        <v>9.1</v>
      </c>
      <c r="J333" t="n">
        <v>9.612370924610342</v>
      </c>
      <c r="K333" t="n">
        <v>9.574522481921257</v>
      </c>
      <c r="L333" t="n">
        <v>9.836445075161453</v>
      </c>
      <c r="M333" t="n">
        <v>9.548865337522763</v>
      </c>
      <c r="N333" t="n">
        <v>9.605182718093719</v>
      </c>
      <c r="BH333" t="n">
        <v>9.635</v>
      </c>
      <c r="BS333" t="n">
        <v>5.88</v>
      </c>
      <c r="CD333" t="n">
        <v>1.07</v>
      </c>
      <c r="CG333" t="n">
        <v>12.4</v>
      </c>
      <c r="CJ333" t="n">
        <v>12.64385621375067</v>
      </c>
      <c r="CK333" t="n">
        <v>12.83448897898035</v>
      </c>
      <c r="CL333" t="n">
        <v>12.71067753226982</v>
      </c>
      <c r="CM333" t="n">
        <v>12.49155478768468</v>
      </c>
      <c r="CN333" t="n">
        <v>13.15914585012817</v>
      </c>
      <c r="EH333" t="n">
        <v>12.768</v>
      </c>
      <c r="ES333" t="n">
        <v>2.97</v>
      </c>
      <c r="FD333" t="n">
        <v>1.76</v>
      </c>
      <c r="FG333" t="n">
        <v>5.9</v>
      </c>
      <c r="FJ333" t="n">
        <v>5.999721115195382</v>
      </c>
      <c r="FK333" t="n">
        <v>5.907665820960509</v>
      </c>
      <c r="FL333" t="n">
        <v>6.278840618621438</v>
      </c>
      <c r="FM333" t="n">
        <v>5.793173803595162</v>
      </c>
      <c r="FN333" t="n">
        <v>5.851334700154108</v>
      </c>
      <c r="HH333" t="n">
        <v>5.966</v>
      </c>
      <c r="HS333" t="n">
        <v>1.12</v>
      </c>
      <c r="ID333" t="n">
        <v>2.86</v>
      </c>
      <c r="IG333" t="n">
        <v>12.7</v>
      </c>
      <c r="IJ333" t="n">
        <v>12.99496153609554</v>
      </c>
      <c r="IK333" t="n">
        <v>13.05487475415799</v>
      </c>
      <c r="IL333" t="n">
        <v>13.01131137037247</v>
      </c>
      <c r="IM333" t="n">
        <v>12.78566090960537</v>
      </c>
      <c r="IN333" t="n">
        <v>12.85379912258583</v>
      </c>
      <c r="KH333" t="n">
        <v>12.94</v>
      </c>
      <c r="KS333" t="n">
        <v>1.89</v>
      </c>
      <c r="LD333" t="n">
        <v>0.79</v>
      </c>
    </row>
    <row r="334">
      <c r="A334" t="inlineStr">
        <is>
          <t>2026-05-12</t>
        </is>
      </c>
      <c r="B334" t="inlineStr">
        <is>
          <t>Large Animal 25</t>
        </is>
      </c>
      <c r="C334" t="inlineStr">
        <is>
          <t>106226051201</t>
        </is>
      </c>
      <c r="D334" t="inlineStr">
        <is>
          <t>Cl</t>
        </is>
      </c>
      <c r="F334" t="n">
        <v>5</v>
      </c>
      <c r="G334" t="n">
        <v>90</v>
      </c>
      <c r="H334" t="n">
        <v>540</v>
      </c>
      <c r="I334" t="n">
        <v>-360</v>
      </c>
      <c r="J334" t="n">
        <v>94.0061302245505</v>
      </c>
      <c r="K334" t="n">
        <v>94.40241214236269</v>
      </c>
      <c r="L334" t="n">
        <v>90.7038871564007</v>
      </c>
      <c r="M334" t="n">
        <v>91.24335702321892</v>
      </c>
      <c r="N334" t="n">
        <v>88.15446742495718</v>
      </c>
      <c r="BH334" t="n">
        <v>91.702</v>
      </c>
      <c r="BS334" t="n">
        <v>1.89</v>
      </c>
      <c r="CD334" t="n">
        <v>2.51</v>
      </c>
      <c r="CF334" t="n">
        <v>5</v>
      </c>
      <c r="CG334" t="n">
        <v>91</v>
      </c>
      <c r="CH334" t="n">
        <v>546</v>
      </c>
      <c r="CI334" t="n">
        <v>-364</v>
      </c>
      <c r="CJ334" t="n">
        <v>86.62998891941575</v>
      </c>
      <c r="CK334" t="n">
        <v>84.35868940349513</v>
      </c>
      <c r="CL334" t="n">
        <v>86.2002529083116</v>
      </c>
      <c r="CM334" t="n">
        <v>83.96090185578376</v>
      </c>
      <c r="CN334" t="n">
        <v>84.31423316618657</v>
      </c>
      <c r="EH334" t="n">
        <v>85.093</v>
      </c>
      <c r="ES334" t="n">
        <v>-6.49</v>
      </c>
      <c r="FD334" t="n">
        <v>1.29</v>
      </c>
      <c r="FF334" t="n">
        <v>5</v>
      </c>
      <c r="FG334" t="n">
        <v>77</v>
      </c>
      <c r="FH334" t="n">
        <v>462</v>
      </c>
      <c r="FI334" t="n">
        <v>-308</v>
      </c>
      <c r="FJ334" t="n">
        <v>73.0435545397612</v>
      </c>
      <c r="FK334" t="n">
        <v>74.71423781854014</v>
      </c>
      <c r="FL334" t="n">
        <v>72.73453887279561</v>
      </c>
      <c r="FM334" t="n">
        <v>73.29315872368346</v>
      </c>
      <c r="FN334" t="n">
        <v>75.68683786653588</v>
      </c>
      <c r="HH334" t="n">
        <v>73.89400000000001</v>
      </c>
      <c r="HS334" t="n">
        <v>-4.03</v>
      </c>
      <c r="ID334" t="n">
        <v>1.52</v>
      </c>
      <c r="IF334" t="n">
        <v>5</v>
      </c>
      <c r="IG334" t="n">
        <v>118</v>
      </c>
      <c r="IH334" t="n">
        <v>708</v>
      </c>
      <c r="II334" t="n">
        <v>-472</v>
      </c>
      <c r="IJ334" t="n">
        <v>113.663646002779</v>
      </c>
      <c r="IK334" t="n">
        <v>117.916301819777</v>
      </c>
      <c r="IL334" t="n">
        <v>114.155132223933</v>
      </c>
      <c r="IM334" t="n">
        <v>113.3181399626106</v>
      </c>
      <c r="IN334" t="n">
        <v>118.0853184690031</v>
      </c>
      <c r="KH334" t="n">
        <v>115.428</v>
      </c>
      <c r="KS334" t="n">
        <v>-2.18</v>
      </c>
      <c r="LD334" t="n">
        <v>1.84</v>
      </c>
    </row>
    <row r="335">
      <c r="A335" t="inlineStr">
        <is>
          <t>2026-05-12</t>
        </is>
      </c>
      <c r="B335" t="inlineStr">
        <is>
          <t>Large Animal 25</t>
        </is>
      </c>
      <c r="C335" t="inlineStr">
        <is>
          <t>106226051201</t>
        </is>
      </c>
      <c r="D335" t="inlineStr">
        <is>
          <t>K</t>
        </is>
      </c>
      <c r="G335" t="n">
        <v>3.9</v>
      </c>
      <c r="J335" t="n">
        <v>3.434590145152807</v>
      </c>
      <c r="K335" t="n">
        <v>3.49546378626229</v>
      </c>
      <c r="L335" t="n">
        <v>3.498887105385309</v>
      </c>
      <c r="M335" t="n">
        <v>3.370821279079781</v>
      </c>
      <c r="N335" t="n">
        <v>3.207170934598687</v>
      </c>
      <c r="BH335" t="n">
        <v>3.401</v>
      </c>
      <c r="BS335" t="n">
        <v>-12.78</v>
      </c>
      <c r="CD335" t="n">
        <v>3.17</v>
      </c>
      <c r="CG335" t="n">
        <v>6</v>
      </c>
      <c r="CJ335" t="n">
        <v>5.846745157273986</v>
      </c>
      <c r="CK335" t="n">
        <v>5.71240684396357</v>
      </c>
      <c r="CL335" t="n">
        <v>5.787677560803967</v>
      </c>
      <c r="CM335" t="n">
        <v>5.765294571371372</v>
      </c>
      <c r="CN335" t="n">
        <v>5.793937143080693</v>
      </c>
      <c r="EH335" t="n">
        <v>5.781</v>
      </c>
      <c r="ES335" t="n">
        <v>-3.65</v>
      </c>
      <c r="FD335" t="n">
        <v>0.75</v>
      </c>
      <c r="FG335" t="n">
        <v>2.2</v>
      </c>
      <c r="FJ335" t="n">
        <v>2.131587250363523</v>
      </c>
      <c r="FK335" t="n">
        <v>2.276534049391049</v>
      </c>
      <c r="FL335" t="n">
        <v>2.179579309433628</v>
      </c>
      <c r="FM335" t="n">
        <v>2.222186235222074</v>
      </c>
      <c r="FN335" t="n">
        <v>2.173456009871332</v>
      </c>
      <c r="HH335" t="n">
        <v>2.197</v>
      </c>
      <c r="HS335" t="n">
        <v>-0.15</v>
      </c>
      <c r="ID335" t="n">
        <v>2.24</v>
      </c>
      <c r="IG335" t="n">
        <v>8.4</v>
      </c>
      <c r="IJ335" t="n">
        <v>7.986235190486797</v>
      </c>
      <c r="IK335" t="n">
        <v>7.795750636409668</v>
      </c>
      <c r="IL335" t="n">
        <v>7.864278262110398</v>
      </c>
      <c r="IM335" t="n">
        <v>7.505605948920524</v>
      </c>
      <c r="IN335" t="n">
        <v>7.622015301940893</v>
      </c>
      <c r="KH335" t="n">
        <v>7.755</v>
      </c>
      <c r="KS335" t="n">
        <v>-7.68</v>
      </c>
      <c r="LD335" t="n">
        <v>2.21</v>
      </c>
    </row>
    <row r="336">
      <c r="A336" t="inlineStr">
        <is>
          <t>2026-05-12</t>
        </is>
      </c>
      <c r="B336" t="inlineStr">
        <is>
          <t>Large Animal 25</t>
        </is>
      </c>
      <c r="C336" t="inlineStr">
        <is>
          <t>106226051201</t>
        </is>
      </c>
      <c r="D336" t="inlineStr">
        <is>
          <t>Mg</t>
        </is>
      </c>
      <c r="F336" t="n">
        <v>15</v>
      </c>
      <c r="G336" t="n">
        <v>2.4</v>
      </c>
      <c r="H336" t="n">
        <v>38.4</v>
      </c>
      <c r="I336" t="n">
        <v>-33.6</v>
      </c>
      <c r="J336" t="n">
        <v>2.676228650182559</v>
      </c>
      <c r="K336" t="n">
        <v>2.738526602943315</v>
      </c>
      <c r="L336" t="n">
        <v>2.569337448217344</v>
      </c>
      <c r="M336" t="n">
        <v>2.472991080479118</v>
      </c>
      <c r="N336" t="n">
        <v>2.581501238392647</v>
      </c>
      <c r="BH336" t="n">
        <v>2.608</v>
      </c>
      <c r="BS336" t="n">
        <v>8.65</v>
      </c>
      <c r="CD336" t="n">
        <v>3.52</v>
      </c>
      <c r="CF336" t="n">
        <v>15</v>
      </c>
      <c r="CG336" t="n">
        <v>4.4</v>
      </c>
      <c r="CH336" t="n">
        <v>70.40000000000001</v>
      </c>
      <c r="CI336" t="n">
        <v>-61.60000000000001</v>
      </c>
      <c r="CJ336" t="n">
        <v>5.411950548094156</v>
      </c>
      <c r="CK336" t="n">
        <v>5.329137156707729</v>
      </c>
      <c r="CL336" t="n">
        <v>5.102300938193884</v>
      </c>
      <c r="CM336" t="n">
        <v>5.225277336170429</v>
      </c>
      <c r="CN336" t="n">
        <v>5.068172092820211</v>
      </c>
      <c r="EH336" t="n">
        <v>5.227</v>
      </c>
      <c r="ES336" t="n">
        <v>18.8</v>
      </c>
      <c r="FD336" t="n">
        <v>2.5</v>
      </c>
      <c r="FF336" t="n">
        <v>15</v>
      </c>
      <c r="FG336" t="n">
        <v>1</v>
      </c>
      <c r="FH336" t="n">
        <v>16</v>
      </c>
      <c r="FI336" t="n">
        <v>-14</v>
      </c>
      <c r="FJ336" t="n">
        <v>1.181148470372975</v>
      </c>
      <c r="FK336" t="n">
        <v>1.314427695621234</v>
      </c>
      <c r="FL336" t="n">
        <v>1.256705585678896</v>
      </c>
      <c r="FM336" t="n">
        <v>1.273114034824447</v>
      </c>
      <c r="FN336" t="n">
        <v>1.29071128868792</v>
      </c>
      <c r="HH336" t="n">
        <v>1.263</v>
      </c>
      <c r="HS336" t="n">
        <v>26.32</v>
      </c>
      <c r="ID336" t="n">
        <v>3.58</v>
      </c>
      <c r="IF336" t="n">
        <v>15</v>
      </c>
      <c r="IG336" t="n">
        <v>4</v>
      </c>
      <c r="IH336" t="n">
        <v>64</v>
      </c>
      <c r="II336" t="n">
        <v>-56</v>
      </c>
      <c r="IJ336" t="n">
        <v>4.347982991558911</v>
      </c>
      <c r="IK336" t="n">
        <v>4.412256772863993</v>
      </c>
      <c r="IL336" t="n">
        <v>4.451015012831978</v>
      </c>
      <c r="IM336" t="n">
        <v>4.283201485880279</v>
      </c>
      <c r="IN336" t="n">
        <v>4.266781035316117</v>
      </c>
      <c r="KH336" t="n">
        <v>4.352</v>
      </c>
      <c r="KS336" t="n">
        <v>8.81</v>
      </c>
      <c r="LD336" t="n">
        <v>1.64</v>
      </c>
    </row>
    <row r="337">
      <c r="A337" t="inlineStr">
        <is>
          <t>2026-05-12</t>
        </is>
      </c>
      <c r="B337" t="inlineStr">
        <is>
          <t>Large Animal 25</t>
        </is>
      </c>
      <c r="C337" t="inlineStr">
        <is>
          <t>106226051201</t>
        </is>
      </c>
      <c r="D337" t="inlineStr">
        <is>
          <t>Na</t>
        </is>
      </c>
      <c r="G337" t="n">
        <v>141</v>
      </c>
      <c r="J337" t="n">
        <v>143.3753387893668</v>
      </c>
      <c r="K337" t="n">
        <v>144.292377911544</v>
      </c>
      <c r="L337" t="n">
        <v>142.5545888513026</v>
      </c>
      <c r="M337" t="n">
        <v>143.5137128276799</v>
      </c>
      <c r="N337" t="n">
        <v>144.6338515029419</v>
      </c>
      <c r="BH337" t="n">
        <v>143.674</v>
      </c>
      <c r="BS337" t="n">
        <v>1.9</v>
      </c>
      <c r="CD337" t="n">
        <v>0.51</v>
      </c>
      <c r="CG337" t="n">
        <v>129</v>
      </c>
      <c r="CJ337" t="n">
        <v>133.4814020836835</v>
      </c>
      <c r="CK337" t="n">
        <v>131.9173852423617</v>
      </c>
      <c r="CL337" t="n">
        <v>134.8648194610157</v>
      </c>
      <c r="CM337" t="n">
        <v>134.5013286154619</v>
      </c>
      <c r="CN337" t="n">
        <v>136.4511507727819</v>
      </c>
      <c r="EH337" t="n">
        <v>134.243</v>
      </c>
      <c r="ES337" t="n">
        <v>4.06</v>
      </c>
      <c r="FD337" t="n">
        <v>1.12</v>
      </c>
      <c r="FG337" t="n">
        <v>118</v>
      </c>
      <c r="FJ337" t="n">
        <v>123.6553268067913</v>
      </c>
      <c r="FK337" t="n">
        <v>123.7431186386718</v>
      </c>
      <c r="FL337" t="n">
        <v>122.9497056731641</v>
      </c>
      <c r="FM337" t="n">
        <v>123.157816108309</v>
      </c>
      <c r="FN337" t="n">
        <v>123.8835641567806</v>
      </c>
      <c r="HH337" t="n">
        <v>123.478</v>
      </c>
      <c r="HS337" t="n">
        <v>4.64</v>
      </c>
      <c r="ID337" t="n">
        <v>0.29</v>
      </c>
      <c r="IG337" t="n">
        <v>166</v>
      </c>
      <c r="IJ337" t="n">
        <v>167.6629596559465</v>
      </c>
      <c r="IK337" t="n">
        <v>163.2906684735424</v>
      </c>
      <c r="IL337" t="n">
        <v>161.0647963714793</v>
      </c>
      <c r="IM337" t="n">
        <v>158.9236863413757</v>
      </c>
      <c r="IN337" t="n">
        <v>160.228719640465</v>
      </c>
      <c r="KH337" t="n">
        <v>162.234</v>
      </c>
      <c r="KS337" t="n">
        <v>-2.27</v>
      </c>
      <c r="LD337" t="n">
        <v>1.89</v>
      </c>
    </row>
    <row r="338">
      <c r="A338" t="inlineStr">
        <is>
          <t>2026-05-12</t>
        </is>
      </c>
      <c r="B338" t="inlineStr">
        <is>
          <t>Large Animal 25</t>
        </is>
      </c>
      <c r="C338" t="inlineStr">
        <is>
          <t>106226051201</t>
        </is>
      </c>
      <c r="D338" t="inlineStr">
        <is>
          <t>PHOS</t>
        </is>
      </c>
      <c r="F338" t="n">
        <v>10</v>
      </c>
      <c r="G338" t="n">
        <v>3.3</v>
      </c>
      <c r="H338" t="n">
        <v>36.3</v>
      </c>
      <c r="I338" t="n">
        <v>-29.7</v>
      </c>
      <c r="J338" t="n">
        <v>3.171874867389899</v>
      </c>
      <c r="K338" t="n">
        <v>3.291545778916305</v>
      </c>
      <c r="L338" t="n">
        <v>3.383225995108098</v>
      </c>
      <c r="M338" t="n">
        <v>3.217266217301903</v>
      </c>
      <c r="N338" t="n">
        <v>3.18731576118951</v>
      </c>
      <c r="BH338" t="n">
        <v>3.25</v>
      </c>
      <c r="BS338" t="n">
        <v>-1.51</v>
      </c>
      <c r="CD338" t="n">
        <v>2.41</v>
      </c>
      <c r="CF338" t="n">
        <v>10</v>
      </c>
      <c r="CG338" t="n">
        <v>7.2</v>
      </c>
      <c r="CH338" t="n">
        <v>79.2</v>
      </c>
      <c r="CI338" t="n">
        <v>-64.8</v>
      </c>
      <c r="CJ338" t="n">
        <v>7.062693143413843</v>
      </c>
      <c r="CK338" t="n">
        <v>6.948122275423651</v>
      </c>
      <c r="CL338" t="n">
        <v>7.001470115448468</v>
      </c>
      <c r="CM338" t="n">
        <v>6.991440736199943</v>
      </c>
      <c r="CN338" t="n">
        <v>7.094179001090215</v>
      </c>
      <c r="EH338" t="n">
        <v>7.02</v>
      </c>
      <c r="ES338" t="n">
        <v>-2.51</v>
      </c>
      <c r="FD338" t="n">
        <v>0.74</v>
      </c>
      <c r="FF338" t="n">
        <v>10</v>
      </c>
      <c r="FG338" t="n">
        <v>1.9</v>
      </c>
      <c r="FH338" t="n">
        <v>20.9</v>
      </c>
      <c r="FI338" t="n">
        <v>-17.1</v>
      </c>
      <c r="FJ338" t="n">
        <v>1.878504121486778</v>
      </c>
      <c r="FK338" t="n">
        <v>1.999811338912467</v>
      </c>
      <c r="FL338" t="n">
        <v>1.926687531741247</v>
      </c>
      <c r="FM338" t="n">
        <v>1.866650809457955</v>
      </c>
      <c r="FN338" t="n">
        <v>1.886746017509752</v>
      </c>
      <c r="HH338" t="n">
        <v>1.912</v>
      </c>
      <c r="HS338" t="n">
        <v>0.61</v>
      </c>
      <c r="ID338" t="n">
        <v>2.53</v>
      </c>
      <c r="IF338" t="n">
        <v>10</v>
      </c>
      <c r="IG338" t="n">
        <v>7.2</v>
      </c>
      <c r="IH338" t="n">
        <v>79.2</v>
      </c>
      <c r="II338" t="n">
        <v>-64.8</v>
      </c>
      <c r="IJ338" t="n">
        <v>7.218466948684497</v>
      </c>
      <c r="IK338" t="n">
        <v>7.212608152696196</v>
      </c>
      <c r="IL338" t="n">
        <v>7.06286939119228</v>
      </c>
      <c r="IM338" t="n">
        <v>7.027028398876162</v>
      </c>
      <c r="IN338" t="n">
        <v>7.063090391666684</v>
      </c>
      <c r="KH338" t="n">
        <v>7.117</v>
      </c>
      <c r="KS338" t="n">
        <v>-1.16</v>
      </c>
      <c r="LD338" t="n">
        <v>1.15</v>
      </c>
    </row>
    <row r="339">
      <c r="A339" t="inlineStr">
        <is>
          <t>2026-05-08</t>
        </is>
      </c>
      <c r="B339" t="inlineStr">
        <is>
          <t>Critical Care 26</t>
        </is>
      </c>
      <c r="C339" t="inlineStr">
        <is>
          <t>105826050801 &amp; 205826050801</t>
        </is>
      </c>
      <c r="D339" t="inlineStr">
        <is>
          <t>CK</t>
        </is>
      </c>
      <c r="F339" t="n">
        <v>20</v>
      </c>
      <c r="J339" t="n">
        <v>145.5384695124341</v>
      </c>
      <c r="K339" t="n">
        <v>138.4194898757353</v>
      </c>
      <c r="L339" t="n">
        <v>139.604434679041</v>
      </c>
      <c r="M339" t="n">
        <v>148.0306411000068</v>
      </c>
      <c r="N339" t="n">
        <v>145.5479417916312</v>
      </c>
      <c r="O339" t="n">
        <v>140.1932989224882</v>
      </c>
      <c r="BH339" t="n">
        <v>142.889</v>
      </c>
      <c r="CD339" t="n">
        <v>2.53</v>
      </c>
      <c r="CF339" t="n">
        <v>20</v>
      </c>
      <c r="CJ339" t="n">
        <v>550.0764186479423</v>
      </c>
      <c r="CK339" t="n">
        <v>517.1053640118704</v>
      </c>
      <c r="CL339" t="n">
        <v>522.3889319539433</v>
      </c>
      <c r="CM339" t="n">
        <v>555.7432840299441</v>
      </c>
      <c r="CN339" t="n">
        <v>511.2338597675734</v>
      </c>
      <c r="CO339" t="n">
        <v>521.0406289976904</v>
      </c>
      <c r="EH339" t="n">
        <v>529.598</v>
      </c>
      <c r="FD339" t="n">
        <v>3.2</v>
      </c>
      <c r="FF339" t="n">
        <v>20</v>
      </c>
      <c r="FJ339" t="n">
        <v>63.28228993346877</v>
      </c>
      <c r="FK339" t="n">
        <v>64.81825518760111</v>
      </c>
      <c r="FL339" t="n">
        <v>68.45776002224216</v>
      </c>
      <c r="FM339" t="n">
        <v>65.71741887133574</v>
      </c>
      <c r="FN339" t="n">
        <v>63.7413377571758</v>
      </c>
      <c r="HH339" t="n">
        <v>65.203</v>
      </c>
      <c r="ID339" t="n">
        <v>2.81</v>
      </c>
      <c r="IF339" t="n">
        <v>20</v>
      </c>
      <c r="IJ339" t="n">
        <v>708.5861238282471</v>
      </c>
      <c r="IK339" t="n">
        <v>652.3262475386191</v>
      </c>
      <c r="IL339" t="n">
        <v>694.3065696211152</v>
      </c>
      <c r="IM339" t="n">
        <v>644.6813444742622</v>
      </c>
      <c r="IN339" t="n">
        <v>658.0685465398305</v>
      </c>
      <c r="KH339" t="n">
        <v>671.5940000000001</v>
      </c>
      <c r="LD339" t="n">
        <v>3.74</v>
      </c>
    </row>
    <row r="340">
      <c r="A340" t="inlineStr">
        <is>
          <t>2026-05-08</t>
        </is>
      </c>
      <c r="B340" t="inlineStr">
        <is>
          <t>Critical Care 26</t>
        </is>
      </c>
      <c r="C340" t="inlineStr">
        <is>
          <t>105826050801 &amp; 205826050801</t>
        </is>
      </c>
      <c r="D340" t="inlineStr">
        <is>
          <t>Ca</t>
        </is>
      </c>
      <c r="G340" t="n">
        <v>9.1</v>
      </c>
      <c r="J340" t="n">
        <v>9.255049889842326</v>
      </c>
      <c r="K340" t="n">
        <v>9.176580292019569</v>
      </c>
      <c r="L340" t="n">
        <v>8.82996287905295</v>
      </c>
      <c r="M340" t="n">
        <v>9.136561965269873</v>
      </c>
      <c r="N340" t="n">
        <v>9.171844401359596</v>
      </c>
      <c r="O340" t="n">
        <v>9.602413644594954</v>
      </c>
      <c r="BH340" t="n">
        <v>9.195</v>
      </c>
      <c r="BS340" t="n">
        <v>1.05</v>
      </c>
      <c r="CD340" t="n">
        <v>2.46</v>
      </c>
      <c r="CG340" t="n">
        <v>12.4</v>
      </c>
      <c r="CJ340" t="n">
        <v>11.89733230641771</v>
      </c>
      <c r="CK340" t="n">
        <v>11.78703397661045</v>
      </c>
      <c r="CL340" t="n">
        <v>12.02086368901605</v>
      </c>
      <c r="CM340" t="n">
        <v>11.76594410230453</v>
      </c>
      <c r="CN340" t="n">
        <v>11.82197049893722</v>
      </c>
      <c r="CO340" t="n">
        <v>12.47786523597074</v>
      </c>
      <c r="EH340" t="n">
        <v>11.962</v>
      </c>
      <c r="ES340" t="n">
        <v>-3.53</v>
      </c>
      <c r="FD340" t="n">
        <v>2.05</v>
      </c>
      <c r="FG340" t="n">
        <v>5.9</v>
      </c>
      <c r="FJ340" t="n">
        <v>5.388914776378694</v>
      </c>
      <c r="FK340" t="n">
        <v>5.473519946466125</v>
      </c>
      <c r="FL340" t="n">
        <v>5.651094563132859</v>
      </c>
      <c r="FM340" t="n">
        <v>5.278288282061385</v>
      </c>
      <c r="FN340" t="n">
        <v>5.418245471020492</v>
      </c>
      <c r="HH340" t="n">
        <v>5.442</v>
      </c>
      <c r="HS340" t="n">
        <v>-7.76</v>
      </c>
      <c r="ID340" t="n">
        <v>2.25</v>
      </c>
      <c r="IG340" t="n">
        <v>12.7</v>
      </c>
      <c r="IJ340" t="n">
        <v>11.54207096149295</v>
      </c>
      <c r="IK340" t="n">
        <v>11.55975042503837</v>
      </c>
      <c r="IL340" t="n">
        <v>11.59685610121862</v>
      </c>
      <c r="IM340" t="n">
        <v>11.29717171379633</v>
      </c>
      <c r="IN340" t="n">
        <v>11.86035210617632</v>
      </c>
      <c r="KH340" t="n">
        <v>11.571</v>
      </c>
      <c r="KS340" t="n">
        <v>-8.890000000000001</v>
      </c>
      <c r="LD340" t="n">
        <v>1.55</v>
      </c>
    </row>
    <row r="341">
      <c r="A341" t="inlineStr">
        <is>
          <t>2026-05-08</t>
        </is>
      </c>
      <c r="B341" t="inlineStr">
        <is>
          <t>Critical Care 26</t>
        </is>
      </c>
      <c r="C341" t="inlineStr">
        <is>
          <t>105826050801 &amp; 205826050801</t>
        </is>
      </c>
      <c r="D341" t="inlineStr">
        <is>
          <t>Cl</t>
        </is>
      </c>
      <c r="F341" t="n">
        <v>5</v>
      </c>
      <c r="G341" t="n">
        <v>90</v>
      </c>
      <c r="H341" t="n">
        <v>540</v>
      </c>
      <c r="I341" t="n">
        <v>-360</v>
      </c>
      <c r="J341" t="n">
        <v>95.81405403432373</v>
      </c>
      <c r="K341" t="n">
        <v>93.15339603784892</v>
      </c>
      <c r="L341" t="n">
        <v>92.9770491778508</v>
      </c>
      <c r="M341" t="n">
        <v>93.86536747792007</v>
      </c>
      <c r="N341" t="n">
        <v>96.08368132629352</v>
      </c>
      <c r="O341" t="n">
        <v>96.27924601766796</v>
      </c>
      <c r="BH341" t="n">
        <v>94.69499999999999</v>
      </c>
      <c r="BS341" t="n">
        <v>5.22</v>
      </c>
      <c r="CD341" t="n">
        <v>1.48</v>
      </c>
      <c r="CF341" t="n">
        <v>5</v>
      </c>
      <c r="CG341" t="n">
        <v>91</v>
      </c>
      <c r="CH341" t="n">
        <v>546</v>
      </c>
      <c r="CI341" t="n">
        <v>-364</v>
      </c>
      <c r="CJ341" t="n">
        <v>86.72821759566563</v>
      </c>
      <c r="CK341" t="n">
        <v>86.34891643996809</v>
      </c>
      <c r="CL341" t="n">
        <v>85.51771985353332</v>
      </c>
      <c r="CM341" t="n">
        <v>85.15455288541625</v>
      </c>
      <c r="CN341" t="n">
        <v>86.30997870154957</v>
      </c>
      <c r="CO341" t="n">
        <v>87.41172530347077</v>
      </c>
      <c r="EH341" t="n">
        <v>86.245</v>
      </c>
      <c r="ES341" t="n">
        <v>-5.23</v>
      </c>
      <c r="FD341" t="n">
        <v>0.86</v>
      </c>
      <c r="FF341" t="n">
        <v>5</v>
      </c>
      <c r="FG341" t="n">
        <v>77</v>
      </c>
      <c r="FH341" t="n">
        <v>462</v>
      </c>
      <c r="FI341" t="n">
        <v>-308</v>
      </c>
      <c r="FJ341" t="n">
        <v>78.31592235135258</v>
      </c>
      <c r="FK341" t="n">
        <v>78.11664406084023</v>
      </c>
      <c r="FL341" t="n">
        <v>78.8765018250906</v>
      </c>
      <c r="FM341" t="n">
        <v>78.20448478250231</v>
      </c>
      <c r="FN341" t="n">
        <v>77.05321876384062</v>
      </c>
      <c r="HH341" t="n">
        <v>78.113</v>
      </c>
      <c r="HS341" t="n">
        <v>1.45</v>
      </c>
      <c r="ID341" t="n">
        <v>0.76</v>
      </c>
      <c r="IF341" t="n">
        <v>5</v>
      </c>
      <c r="IG341" t="n">
        <v>118</v>
      </c>
      <c r="IH341" t="n">
        <v>708</v>
      </c>
      <c r="II341" t="n">
        <v>-472</v>
      </c>
      <c r="IJ341" t="n">
        <v>115.443862791596</v>
      </c>
      <c r="IK341" t="n">
        <v>114.6604618976402</v>
      </c>
      <c r="IL341" t="n">
        <v>113.5706860750535</v>
      </c>
      <c r="IM341" t="n">
        <v>115.3915106706237</v>
      </c>
      <c r="IN341" t="n">
        <v>114.248993074426</v>
      </c>
      <c r="KH341" t="n">
        <v>114.663</v>
      </c>
      <c r="KS341" t="n">
        <v>-2.83</v>
      </c>
      <c r="LD341" t="n">
        <v>0.62</v>
      </c>
    </row>
    <row r="342">
      <c r="A342" t="inlineStr">
        <is>
          <t>2026-05-08</t>
        </is>
      </c>
      <c r="B342" t="inlineStr">
        <is>
          <t>Critical Care 26</t>
        </is>
      </c>
      <c r="C342" t="inlineStr">
        <is>
          <t>105826050801 &amp; 205826050801</t>
        </is>
      </c>
      <c r="D342" t="inlineStr">
        <is>
          <t>K</t>
        </is>
      </c>
      <c r="G342" t="n">
        <v>3.9</v>
      </c>
      <c r="J342" t="n">
        <v>3.738637373383527</v>
      </c>
      <c r="K342" t="n">
        <v>3.783264723674917</v>
      </c>
      <c r="L342" t="n">
        <v>3.773998721013851</v>
      </c>
      <c r="M342" t="n">
        <v>3.914073894841061</v>
      </c>
      <c r="N342" t="n">
        <v>3.771875909612326</v>
      </c>
      <c r="O342" t="n">
        <v>3.8944342111516</v>
      </c>
      <c r="BH342" t="n">
        <v>3.813</v>
      </c>
      <c r="BS342" t="n">
        <v>-2.24</v>
      </c>
      <c r="CD342" t="n">
        <v>1.74</v>
      </c>
      <c r="CG342" t="n">
        <v>6</v>
      </c>
      <c r="CJ342" t="n">
        <v>5.993680324963892</v>
      </c>
      <c r="CK342" t="n">
        <v>6.329431298556288</v>
      </c>
      <c r="CL342" t="n">
        <v>6.130537200795845</v>
      </c>
      <c r="CM342" t="n">
        <v>6.217854568089717</v>
      </c>
      <c r="CN342" t="n">
        <v>6.278470913762981</v>
      </c>
      <c r="CO342" t="n">
        <v>6.063618471851174</v>
      </c>
      <c r="EH342" t="n">
        <v>6.169</v>
      </c>
      <c r="ES342" t="n">
        <v>2.82</v>
      </c>
      <c r="FD342" t="n">
        <v>1.91</v>
      </c>
      <c r="FG342" t="n">
        <v>2.2</v>
      </c>
      <c r="FJ342" t="n">
        <v>2.279605245735393</v>
      </c>
      <c r="FK342" t="n">
        <v>2.373897700716666</v>
      </c>
      <c r="FL342" t="n">
        <v>2.135967383451575</v>
      </c>
      <c r="FM342" t="n">
        <v>2.341751826577439</v>
      </c>
      <c r="FN342" t="n">
        <v>2.146379134016819</v>
      </c>
      <c r="HH342" t="n">
        <v>2.256</v>
      </c>
      <c r="HS342" t="n">
        <v>2.52</v>
      </c>
      <c r="ID342" t="n">
        <v>4.35</v>
      </c>
      <c r="IG342" t="n">
        <v>8.4</v>
      </c>
      <c r="IJ342" t="n">
        <v>8.430059417549256</v>
      </c>
      <c r="IK342" t="n">
        <v>8.552071523838176</v>
      </c>
      <c r="IL342" t="n">
        <v>8.469927389921722</v>
      </c>
      <c r="IM342" t="n">
        <v>8.378773120061844</v>
      </c>
      <c r="IN342" t="n">
        <v>8.310522403904972</v>
      </c>
      <c r="KH342" t="n">
        <v>8.428000000000001</v>
      </c>
      <c r="KS342" t="n">
        <v>0.34</v>
      </c>
      <c r="LD342" t="n">
        <v>0.97</v>
      </c>
    </row>
    <row r="343">
      <c r="A343" t="inlineStr">
        <is>
          <t>2026-05-08</t>
        </is>
      </c>
      <c r="B343" t="inlineStr">
        <is>
          <t>Critical Care 26</t>
        </is>
      </c>
      <c r="C343" t="inlineStr">
        <is>
          <t>105826050801 &amp; 205826050801</t>
        </is>
      </c>
      <c r="D343" t="inlineStr">
        <is>
          <t>LAC</t>
        </is>
      </c>
      <c r="F343" t="n">
        <v>15</v>
      </c>
      <c r="G343" t="n">
        <v>4.399999999999999</v>
      </c>
      <c r="H343" t="n">
        <v>70.39999999999999</v>
      </c>
      <c r="I343" t="n">
        <v>-61.59999999999999</v>
      </c>
      <c r="J343" t="n">
        <v>4.973799176491107</v>
      </c>
      <c r="K343" t="n">
        <v>4.547324328767711</v>
      </c>
      <c r="L343" t="n">
        <v>4.574508965446007</v>
      </c>
      <c r="M343" t="n">
        <v>4.962665570296964</v>
      </c>
      <c r="N343" t="n">
        <v>4.703718730209178</v>
      </c>
      <c r="O343" t="n">
        <v>5.060539658161592</v>
      </c>
      <c r="BH343" t="n">
        <v>4.804</v>
      </c>
      <c r="BS343" t="n">
        <v>9.18</v>
      </c>
      <c r="CD343" t="n">
        <v>4.24</v>
      </c>
      <c r="CF343" t="n">
        <v>15</v>
      </c>
      <c r="CG343" t="n">
        <v>1.15</v>
      </c>
      <c r="CH343" t="n">
        <v>18.4</v>
      </c>
      <c r="CI343" t="n">
        <v>-16.1</v>
      </c>
      <c r="CJ343" t="n">
        <v>1.196255187198949</v>
      </c>
      <c r="CK343" t="n">
        <v>1.190687319138843</v>
      </c>
      <c r="CL343" t="n">
        <v>1.173715336540344</v>
      </c>
      <c r="CM343" t="n">
        <v>1.183619244125534</v>
      </c>
      <c r="CN343" t="n">
        <v>1.198489412495073</v>
      </c>
      <c r="CO343" t="n">
        <v>1.163323905186872</v>
      </c>
      <c r="EH343" t="n">
        <v>1.184</v>
      </c>
      <c r="ES343" t="n">
        <v>2.99</v>
      </c>
      <c r="FD343" t="n">
        <v>1.06</v>
      </c>
      <c r="FF343" t="n">
        <v>15</v>
      </c>
      <c r="FG343" t="n">
        <v>1.45</v>
      </c>
      <c r="FH343" t="n">
        <v>23.2</v>
      </c>
      <c r="FI343" t="n">
        <v>-20.3</v>
      </c>
      <c r="FJ343" t="n">
        <v>1.431877816133647</v>
      </c>
      <c r="FK343" t="n">
        <v>1.425155487683302</v>
      </c>
      <c r="FL343" t="n">
        <v>1.460603006811978</v>
      </c>
      <c r="FM343" t="n">
        <v>1.436582009429052</v>
      </c>
      <c r="FN343" t="n">
        <v>1.442689425067413</v>
      </c>
      <c r="HH343" t="n">
        <v>1.439</v>
      </c>
      <c r="HS343" t="n">
        <v>-0.73</v>
      </c>
      <c r="ID343" t="n">
        <v>0.84</v>
      </c>
      <c r="IF343" t="n">
        <v>15</v>
      </c>
      <c r="IG343" t="n">
        <v>5.899999999999999</v>
      </c>
      <c r="IH343" t="n">
        <v>94.39999999999999</v>
      </c>
      <c r="II343" t="n">
        <v>-82.59999999999999</v>
      </c>
      <c r="IJ343" t="n">
        <v>6.786349570037637</v>
      </c>
      <c r="IK343" t="n">
        <v>6.996076159893721</v>
      </c>
      <c r="IL343" t="n">
        <v>6.581501097109435</v>
      </c>
      <c r="IM343" t="n">
        <v>6.746567983191706</v>
      </c>
      <c r="IN343" t="n">
        <v>6.902270553264989</v>
      </c>
      <c r="KH343" t="n">
        <v>6.803</v>
      </c>
      <c r="KS343" t="n">
        <v>15.3</v>
      </c>
      <c r="LD343" t="n">
        <v>2.08</v>
      </c>
    </row>
    <row r="344">
      <c r="A344" t="inlineStr">
        <is>
          <t>2026-05-08</t>
        </is>
      </c>
      <c r="B344" t="inlineStr">
        <is>
          <t>Critical Care 26</t>
        </is>
      </c>
      <c r="C344" t="inlineStr">
        <is>
          <t>105826050801 &amp; 205826050801</t>
        </is>
      </c>
      <c r="D344" t="inlineStr">
        <is>
          <t>Na</t>
        </is>
      </c>
      <c r="G344" t="n">
        <v>141</v>
      </c>
      <c r="J344" t="n">
        <v>147.1323730106084</v>
      </c>
      <c r="K344" t="n">
        <v>149.2985339281765</v>
      </c>
      <c r="L344" t="n">
        <v>149.5442949807764</v>
      </c>
      <c r="M344" t="n">
        <v>150.587942387669</v>
      </c>
      <c r="N344" t="n">
        <v>151.4926400289625</v>
      </c>
      <c r="O344" t="n">
        <v>154.616592665824</v>
      </c>
      <c r="BH344" t="n">
        <v>150.445</v>
      </c>
      <c r="BS344" t="n">
        <v>6.7</v>
      </c>
      <c r="CD344" t="n">
        <v>1.53</v>
      </c>
      <c r="CG344" t="n">
        <v>129</v>
      </c>
      <c r="CJ344" t="n">
        <v>136.8196909761323</v>
      </c>
      <c r="CK344" t="n">
        <v>138.9138749413398</v>
      </c>
      <c r="CL344" t="n">
        <v>137.2189091728333</v>
      </c>
      <c r="CM344" t="n">
        <v>137.6658558782396</v>
      </c>
      <c r="CN344" t="n">
        <v>137.0663635110801</v>
      </c>
      <c r="CO344" t="n">
        <v>139.4826817780513</v>
      </c>
      <c r="EH344" t="n">
        <v>137.861</v>
      </c>
      <c r="ES344" t="n">
        <v>6.87</v>
      </c>
      <c r="FD344" t="n">
        <v>0.72</v>
      </c>
      <c r="FG344" t="n">
        <v>118</v>
      </c>
      <c r="FJ344" t="n">
        <v>125.5326899373835</v>
      </c>
      <c r="FK344" t="n">
        <v>124.9012746296587</v>
      </c>
      <c r="FL344" t="n">
        <v>124.4367572146634</v>
      </c>
      <c r="FM344" t="n">
        <v>125.116711675291</v>
      </c>
      <c r="FN344" t="n">
        <v>126.6951635233929</v>
      </c>
      <c r="HH344" t="n">
        <v>125.337</v>
      </c>
      <c r="HS344" t="n">
        <v>6.22</v>
      </c>
      <c r="ID344" t="n">
        <v>0.61</v>
      </c>
      <c r="IG344" t="n">
        <v>166</v>
      </c>
      <c r="IJ344" t="n">
        <v>165.5251747714271</v>
      </c>
      <c r="IK344" t="n">
        <v>165.7915734772015</v>
      </c>
      <c r="IL344" t="n">
        <v>164.4398349762563</v>
      </c>
      <c r="IM344" t="n">
        <v>164.4514993409351</v>
      </c>
      <c r="IN344" t="n">
        <v>165.7294722947353</v>
      </c>
      <c r="KH344" t="n">
        <v>165.188</v>
      </c>
      <c r="KS344" t="n">
        <v>-0.49</v>
      </c>
      <c r="LD344" t="n">
        <v>0.37</v>
      </c>
    </row>
    <row r="345">
      <c r="A345" t="inlineStr">
        <is>
          <t>2026-05-08</t>
        </is>
      </c>
      <c r="B345" t="inlineStr">
        <is>
          <t>Critical Care 26</t>
        </is>
      </c>
      <c r="C345" t="inlineStr">
        <is>
          <t>105826050801 &amp; 205826050801</t>
        </is>
      </c>
      <c r="D345" t="inlineStr">
        <is>
          <t>TCO2</t>
        </is>
      </c>
      <c r="F345" t="n">
        <v>20</v>
      </c>
      <c r="G345" t="n">
        <v>32.5</v>
      </c>
      <c r="H345" t="n">
        <v>682.5</v>
      </c>
      <c r="I345" t="n">
        <v>-617.5</v>
      </c>
      <c r="J345" t="n">
        <v>29.11911759866893</v>
      </c>
      <c r="K345" t="n">
        <v>35.77013582548674</v>
      </c>
      <c r="L345" t="n">
        <v>33.16194244520025</v>
      </c>
      <c r="M345" t="n">
        <v>31.81385437637968</v>
      </c>
      <c r="N345" t="n">
        <v>30.98065759286954</v>
      </c>
      <c r="O345" t="n">
        <v>33.7502459855106</v>
      </c>
      <c r="BH345" t="n">
        <v>32.433</v>
      </c>
      <c r="BS345" t="n">
        <v>-0.21</v>
      </c>
      <c r="CD345" t="n">
        <v>6.53</v>
      </c>
      <c r="CF345" t="n">
        <v>20</v>
      </c>
      <c r="CG345" t="n">
        <v>21.2</v>
      </c>
      <c r="CH345" t="n">
        <v>445.2</v>
      </c>
      <c r="CI345" t="n">
        <v>-402.8</v>
      </c>
      <c r="CJ345" t="n">
        <v>22.15358774618606</v>
      </c>
      <c r="CK345" t="n">
        <v>19.82747245741226</v>
      </c>
      <c r="CL345" t="n">
        <v>24.66901749752222</v>
      </c>
      <c r="CM345" t="n">
        <v>17.43139618624875</v>
      </c>
      <c r="CN345" t="n">
        <v>19.08220156158301</v>
      </c>
      <c r="CO345" t="n">
        <v>18.55831763859141</v>
      </c>
      <c r="EH345" t="n">
        <v>20.287</v>
      </c>
      <c r="ES345" t="n">
        <v>-4.31</v>
      </c>
      <c r="FD345" t="n">
        <v>11.99</v>
      </c>
      <c r="FF345" t="n">
        <v>20</v>
      </c>
      <c r="FG345" t="n">
        <v>17.3</v>
      </c>
      <c r="FH345" t="n">
        <v>363.3</v>
      </c>
      <c r="FI345" t="n">
        <v>-328.7</v>
      </c>
      <c r="FJ345" t="n">
        <v>17.89335800895934</v>
      </c>
      <c r="FK345" t="n">
        <v>20.07933880827168</v>
      </c>
      <c r="FL345" t="n">
        <v>20.26037441482659</v>
      </c>
      <c r="FM345" t="n">
        <v>21.00870048513782</v>
      </c>
      <c r="FN345" t="n">
        <v>20.42390634038164</v>
      </c>
      <c r="HH345" t="n">
        <v>19.933</v>
      </c>
      <c r="HS345" t="n">
        <v>15.22</v>
      </c>
      <c r="ID345" t="n">
        <v>5.35</v>
      </c>
      <c r="IF345" t="n">
        <v>20</v>
      </c>
      <c r="IG345" t="n">
        <v>26.7</v>
      </c>
      <c r="IH345" t="n">
        <v>560.6999999999999</v>
      </c>
      <c r="II345" t="n">
        <v>-507.3</v>
      </c>
      <c r="IJ345" t="n">
        <v>24.5755841104293</v>
      </c>
      <c r="IK345" t="n">
        <v>26.9348670200806</v>
      </c>
      <c r="IL345" t="n">
        <v>24.90667195281571</v>
      </c>
      <c r="IM345" t="n">
        <v>28.65758990645328</v>
      </c>
      <c r="IN345" t="n">
        <v>30.08062897881554</v>
      </c>
      <c r="KH345" t="n">
        <v>27.031</v>
      </c>
      <c r="KS345" t="n">
        <v>1.24</v>
      </c>
      <c r="LD345" t="n">
        <v>7.85</v>
      </c>
    </row>
    <row r="346">
      <c r="A346" t="inlineStr">
        <is>
          <t>2026-05-08</t>
        </is>
      </c>
      <c r="B346" t="inlineStr">
        <is>
          <t>Specific Test 5</t>
        </is>
      </c>
      <c r="C346" t="inlineStr">
        <is>
          <t>103526050801 &amp; 203526050801</t>
        </is>
      </c>
      <c r="D346" t="inlineStr">
        <is>
          <t>CHOL</t>
        </is>
      </c>
      <c r="F346" t="n">
        <v>10</v>
      </c>
      <c r="G346" t="n">
        <v>228</v>
      </c>
      <c r="H346" t="n">
        <v>2508</v>
      </c>
      <c r="I346" t="n">
        <v>-2052</v>
      </c>
      <c r="J346" t="n">
        <v>231.4672582345559</v>
      </c>
      <c r="K346" t="n">
        <v>232.3738851713168</v>
      </c>
      <c r="L346" t="n">
        <v>230.3184805607542</v>
      </c>
      <c r="M346" t="n">
        <v>244.8835658490999</v>
      </c>
      <c r="N346" t="n">
        <v>240.7829678595327</v>
      </c>
      <c r="O346" t="n">
        <v>240.302681614273</v>
      </c>
      <c r="P346" t="n">
        <v>245.1385634372907</v>
      </c>
      <c r="BH346" t="n">
        <v>237.895</v>
      </c>
      <c r="BS346" t="n">
        <v>4.34</v>
      </c>
      <c r="CD346" t="n">
        <v>2.49</v>
      </c>
      <c r="CF346" t="n">
        <v>10</v>
      </c>
      <c r="CG346" t="n">
        <v>99</v>
      </c>
      <c r="CH346" t="n">
        <v>1089</v>
      </c>
      <c r="CI346" t="n">
        <v>-891</v>
      </c>
      <c r="CJ346" t="n">
        <v>101.348330112946</v>
      </c>
      <c r="CK346" t="n">
        <v>101.5647423343607</v>
      </c>
      <c r="CL346" t="n">
        <v>101.362602289236</v>
      </c>
      <c r="CM346" t="n">
        <v>101.6810257674811</v>
      </c>
      <c r="CN346" t="n">
        <v>100.8432724711857</v>
      </c>
      <c r="CO346" t="n">
        <v>100.7076671486828</v>
      </c>
      <c r="CP346" t="n">
        <v>100.2805221287896</v>
      </c>
      <c r="EH346" t="n">
        <v>101.113</v>
      </c>
      <c r="ES346" t="n">
        <v>2.13</v>
      </c>
      <c r="FD346" t="n">
        <v>0.47</v>
      </c>
      <c r="FF346" t="n">
        <v>10</v>
      </c>
      <c r="FG346" t="n">
        <v>115</v>
      </c>
      <c r="FH346" t="n">
        <v>1265</v>
      </c>
      <c r="FI346" t="n">
        <v>-1035</v>
      </c>
      <c r="FJ346" t="n">
        <v>113.6971251969638</v>
      </c>
      <c r="FK346" t="n">
        <v>114.0179075946941</v>
      </c>
      <c r="FL346" t="n">
        <v>115.6017346768121</v>
      </c>
      <c r="FM346" t="n">
        <v>117.4558316011747</v>
      </c>
      <c r="FN346" t="n">
        <v>115.6655905075948</v>
      </c>
      <c r="FO346" t="n">
        <v>116.5802113865343</v>
      </c>
      <c r="HH346" t="n">
        <v>115.503</v>
      </c>
      <c r="HS346" t="n">
        <v>0.44</v>
      </c>
      <c r="ID346" t="n">
        <v>1.14</v>
      </c>
      <c r="IF346" t="n">
        <v>10</v>
      </c>
      <c r="IG346" t="n">
        <v>269</v>
      </c>
      <c r="IH346" t="n">
        <v>2959</v>
      </c>
      <c r="II346" t="n">
        <v>-2421</v>
      </c>
      <c r="IJ346" t="n">
        <v>273.2941306244488</v>
      </c>
      <c r="IK346" t="n">
        <v>273.355161525934</v>
      </c>
      <c r="IL346" t="n">
        <v>277.6472384585463</v>
      </c>
      <c r="IM346" t="n">
        <v>278.8498879189241</v>
      </c>
      <c r="IN346" t="n">
        <v>273.0365966256094</v>
      </c>
      <c r="IO346" t="n">
        <v>274.7099191086645</v>
      </c>
      <c r="KH346" t="n">
        <v>275.149</v>
      </c>
      <c r="KS346" t="n">
        <v>2.29</v>
      </c>
      <c r="LD346" t="n">
        <v>0.83</v>
      </c>
    </row>
    <row r="347">
      <c r="A347" t="inlineStr">
        <is>
          <t>2026-05-08</t>
        </is>
      </c>
      <c r="B347" t="inlineStr">
        <is>
          <t>Specific Test 5</t>
        </is>
      </c>
      <c r="C347" t="inlineStr">
        <is>
          <t>103526050801 &amp; 203526050801</t>
        </is>
      </c>
      <c r="D347" t="inlineStr">
        <is>
          <t>GLU</t>
        </is>
      </c>
      <c r="F347" t="n">
        <v>8</v>
      </c>
      <c r="G347" t="n">
        <v>90.16</v>
      </c>
      <c r="H347" t="n">
        <v>811.4399999999999</v>
      </c>
      <c r="I347" t="n">
        <v>-631.12</v>
      </c>
      <c r="J347" t="n">
        <v>93.42991026584315</v>
      </c>
      <c r="K347" t="n">
        <v>94.21468280749707</v>
      </c>
      <c r="L347" t="n">
        <v>93.79552506175494</v>
      </c>
      <c r="M347" t="n">
        <v>97.85874679473037</v>
      </c>
      <c r="N347" t="n">
        <v>96.72656436590762</v>
      </c>
      <c r="O347" t="n">
        <v>97.07756289024438</v>
      </c>
      <c r="P347" t="n">
        <v>97.18434953529514</v>
      </c>
      <c r="BH347" t="n">
        <v>95.755</v>
      </c>
      <c r="BS347" t="n">
        <v>6.21</v>
      </c>
      <c r="CD347" t="n">
        <v>1.8</v>
      </c>
      <c r="CF347" t="n">
        <v>8</v>
      </c>
      <c r="CG347" t="n">
        <v>293.02</v>
      </c>
      <c r="CH347" t="n">
        <v>2637.18</v>
      </c>
      <c r="CI347" t="n">
        <v>-2051.14</v>
      </c>
      <c r="CJ347" t="n">
        <v>305.2566518845609</v>
      </c>
      <c r="CK347" t="n">
        <v>308.1143561084596</v>
      </c>
      <c r="CL347" t="n">
        <v>304.3177152063881</v>
      </c>
      <c r="CM347" t="n">
        <v>304.9471948219137</v>
      </c>
      <c r="CN347" t="n">
        <v>303.8346057979776</v>
      </c>
      <c r="CO347" t="n">
        <v>307.9522297288885</v>
      </c>
      <c r="CP347" t="n">
        <v>305.8741535143421</v>
      </c>
      <c r="EH347" t="n">
        <v>305.757</v>
      </c>
      <c r="ES347" t="n">
        <v>4.35</v>
      </c>
      <c r="FD347" t="n">
        <v>0.51</v>
      </c>
      <c r="FF347" t="n">
        <v>8</v>
      </c>
      <c r="FG347" t="n">
        <v>65.66</v>
      </c>
      <c r="FH347" t="n">
        <v>590.9399999999999</v>
      </c>
      <c r="FI347" t="n">
        <v>-459.62</v>
      </c>
      <c r="FJ347" t="n">
        <v>68.52359411767004</v>
      </c>
      <c r="FK347" t="n">
        <v>68.712756746022</v>
      </c>
      <c r="FL347" t="n">
        <v>68.99003462326776</v>
      </c>
      <c r="FM347" t="n">
        <v>69.2805426494147</v>
      </c>
      <c r="FN347" t="n">
        <v>70.08357299463387</v>
      </c>
      <c r="FO347" t="n">
        <v>69.27754502623591</v>
      </c>
      <c r="HH347" t="n">
        <v>69.145</v>
      </c>
      <c r="HS347" t="n">
        <v>5.31</v>
      </c>
      <c r="ID347" t="n">
        <v>0.73</v>
      </c>
      <c r="IF347" t="n">
        <v>8</v>
      </c>
      <c r="IG347" t="n">
        <v>359.66</v>
      </c>
      <c r="IH347" t="n">
        <v>3236.94</v>
      </c>
      <c r="II347" t="n">
        <v>-2517.62</v>
      </c>
      <c r="IJ347" t="n">
        <v>368.0083418475951</v>
      </c>
      <c r="IK347" t="n">
        <v>368.9452672062749</v>
      </c>
      <c r="IL347" t="n">
        <v>370.4073621563359</v>
      </c>
      <c r="IM347" t="n">
        <v>374.1107720665458</v>
      </c>
      <c r="IN347" t="n">
        <v>366.4550988140042</v>
      </c>
      <c r="IO347" t="n">
        <v>373.1601631880638</v>
      </c>
      <c r="KH347" t="n">
        <v>370.181</v>
      </c>
      <c r="KS347" t="n">
        <v>2.93</v>
      </c>
      <c r="LD347" t="n">
        <v>0.74</v>
      </c>
    </row>
    <row r="348">
      <c r="A348" t="inlineStr">
        <is>
          <t>2026-05-08</t>
        </is>
      </c>
      <c r="B348" t="inlineStr">
        <is>
          <t>Specific Test 5</t>
        </is>
      </c>
      <c r="C348" t="inlineStr">
        <is>
          <t>103526050801 &amp; 203526050801</t>
        </is>
      </c>
      <c r="D348" t="inlineStr">
        <is>
          <t>TRIG</t>
        </is>
      </c>
      <c r="F348" t="n">
        <v>15</v>
      </c>
      <c r="J348" t="n">
        <v>184.0169321497018</v>
      </c>
      <c r="K348" t="n">
        <v>180.7161507850836</v>
      </c>
      <c r="L348" t="n">
        <v>179.3145414044097</v>
      </c>
      <c r="M348" t="n">
        <v>191.5222361615011</v>
      </c>
      <c r="N348" t="n">
        <v>185.9306517137506</v>
      </c>
      <c r="O348" t="n">
        <v>185.3065665682696</v>
      </c>
      <c r="P348" t="n">
        <v>187.1111619619847</v>
      </c>
      <c r="BH348" t="n">
        <v>184.845</v>
      </c>
      <c r="CD348" t="n">
        <v>2.04</v>
      </c>
      <c r="CF348" t="n">
        <v>15</v>
      </c>
      <c r="CJ348" t="n">
        <v>101.8666120166078</v>
      </c>
      <c r="CK348" t="n">
        <v>104.8457671474575</v>
      </c>
      <c r="CL348" t="n">
        <v>99.48540648479195</v>
      </c>
      <c r="CM348" t="n">
        <v>99.39587810661719</v>
      </c>
      <c r="CN348" t="n">
        <v>97.43821671156209</v>
      </c>
      <c r="CO348" t="n">
        <v>98.0632179165159</v>
      </c>
      <c r="CP348" t="n">
        <v>97.73540105709937</v>
      </c>
      <c r="EH348" t="n">
        <v>99.833</v>
      </c>
      <c r="FD348" t="n">
        <v>2.48</v>
      </c>
      <c r="FF348" t="n">
        <v>15</v>
      </c>
      <c r="FJ348" t="n">
        <v>111.4483299780431</v>
      </c>
      <c r="FK348" t="n">
        <v>110.3087656482434</v>
      </c>
      <c r="FL348" t="n">
        <v>113.8036075027192</v>
      </c>
      <c r="FM348" t="n">
        <v>113.4894625035651</v>
      </c>
      <c r="FN348" t="n">
        <v>112.2686285530566</v>
      </c>
      <c r="FO348" t="n">
        <v>112.8289929398436</v>
      </c>
      <c r="HH348" t="n">
        <v>112.358</v>
      </c>
      <c r="ID348" t="n">
        <v>1.07</v>
      </c>
      <c r="IF348" t="n">
        <v>15</v>
      </c>
      <c r="IJ348" t="n">
        <v>233.2591653038127</v>
      </c>
      <c r="IK348" t="n">
        <v>232.7632593460114</v>
      </c>
      <c r="IL348" t="n">
        <v>239.3179594065178</v>
      </c>
      <c r="IM348" t="n">
        <v>236.1594029369336</v>
      </c>
      <c r="IN348" t="n">
        <v>230.2130804213659</v>
      </c>
      <c r="IO348" t="n">
        <v>235.6657400641274</v>
      </c>
      <c r="KH348" t="n">
        <v>234.563</v>
      </c>
      <c r="LD348" t="n">
        <v>1.23</v>
      </c>
    </row>
    <row r="349">
      <c r="A349" t="inlineStr">
        <is>
          <t>2026-05-08</t>
        </is>
      </c>
      <c r="B349" t="inlineStr">
        <is>
          <t>Diabetes 10</t>
        </is>
      </c>
      <c r="C349" t="inlineStr">
        <is>
          <t>100526050801 &amp; 200526050801</t>
        </is>
      </c>
      <c r="D349" t="inlineStr">
        <is>
          <t>ALB</t>
        </is>
      </c>
      <c r="F349" t="n">
        <v>8</v>
      </c>
      <c r="G349" t="n">
        <v>4.2</v>
      </c>
      <c r="H349" t="n">
        <v>37.8</v>
      </c>
      <c r="I349" t="n">
        <v>-29.4</v>
      </c>
      <c r="J349" t="n">
        <v>4.307984093386045</v>
      </c>
      <c r="K349" t="n">
        <v>4.146448463762633</v>
      </c>
      <c r="L349" t="n">
        <v>4.081667908458813</v>
      </c>
      <c r="M349" t="n">
        <v>4.099616932205491</v>
      </c>
      <c r="N349" t="n">
        <v>3.98269386604022</v>
      </c>
      <c r="O349" t="n">
        <v>4.070794319283626</v>
      </c>
      <c r="P349" t="n">
        <v>3.974881018078143</v>
      </c>
      <c r="Q349" t="n">
        <v>4.020373811366635</v>
      </c>
      <c r="BH349" t="n">
        <v>4.086</v>
      </c>
      <c r="BS349" t="n">
        <v>-2.72</v>
      </c>
      <c r="CD349" t="n">
        <v>2.46</v>
      </c>
      <c r="CF349" t="n">
        <v>8</v>
      </c>
      <c r="CG349" t="n">
        <v>2.7</v>
      </c>
      <c r="CH349" t="n">
        <v>24.3</v>
      </c>
      <c r="CI349" t="n">
        <v>-18.9</v>
      </c>
      <c r="CJ349" t="n">
        <v>2.607799047226793</v>
      </c>
      <c r="CK349" t="n">
        <v>2.639179564692542</v>
      </c>
      <c r="CL349" t="n">
        <v>2.734306918556171</v>
      </c>
      <c r="CM349" t="n">
        <v>2.712104442746605</v>
      </c>
      <c r="CN349" t="n">
        <v>2.768408533490775</v>
      </c>
      <c r="CO349" t="n">
        <v>2.764772690521526</v>
      </c>
      <c r="CP349" t="n">
        <v>2.757441810720622</v>
      </c>
      <c r="EH349" t="n">
        <v>2.712</v>
      </c>
      <c r="ES349" t="n">
        <v>0.44</v>
      </c>
      <c r="FD349" t="n">
        <v>2.19</v>
      </c>
      <c r="FF349" t="n">
        <v>8</v>
      </c>
      <c r="FG349" t="n">
        <v>2.6</v>
      </c>
      <c r="FH349" t="n">
        <v>23.4</v>
      </c>
      <c r="FI349" t="n">
        <v>-18.2</v>
      </c>
      <c r="FJ349" t="n">
        <v>2.48768915470847</v>
      </c>
      <c r="FK349" t="n">
        <v>2.431427327590527</v>
      </c>
      <c r="FL349" t="n">
        <v>2.559440008859254</v>
      </c>
      <c r="FM349" t="n">
        <v>2.50620081730395</v>
      </c>
      <c r="FN349" t="n">
        <v>2.499797250875031</v>
      </c>
      <c r="FO349" t="n">
        <v>2.55072553458557</v>
      </c>
      <c r="FP349" t="n">
        <v>2.525024591407357</v>
      </c>
      <c r="HH349" t="n">
        <v>2.509</v>
      </c>
      <c r="HS349" t="n">
        <v>-3.51</v>
      </c>
      <c r="ID349" t="n">
        <v>1.59</v>
      </c>
      <c r="IF349" t="n">
        <v>8</v>
      </c>
      <c r="IG349" t="n">
        <v>4.2</v>
      </c>
      <c r="IH349" t="n">
        <v>37.8</v>
      </c>
      <c r="II349" t="n">
        <v>-29.4</v>
      </c>
      <c r="IJ349" t="n">
        <v>3.94846835126307</v>
      </c>
      <c r="IK349" t="n">
        <v>3.941857694620774</v>
      </c>
      <c r="IL349" t="n">
        <v>4.038575421882238</v>
      </c>
      <c r="IM349" t="n">
        <v>3.967209192656987</v>
      </c>
      <c r="IN349" t="n">
        <v>3.898292147263527</v>
      </c>
      <c r="IO349" t="n">
        <v>3.93569025237623</v>
      </c>
      <c r="IP349" t="n">
        <v>4.00218422651671</v>
      </c>
      <c r="IQ349" t="n">
        <v>4.094431263902196</v>
      </c>
      <c r="KH349" t="n">
        <v>3.978</v>
      </c>
      <c r="KS349" t="n">
        <v>-5.28</v>
      </c>
      <c r="LD349" t="n">
        <v>1.49</v>
      </c>
    </row>
    <row r="350">
      <c r="A350" t="inlineStr">
        <is>
          <t>2026-05-08</t>
        </is>
      </c>
      <c r="B350" t="inlineStr">
        <is>
          <t>Diabetes 10</t>
        </is>
      </c>
      <c r="C350" t="inlineStr">
        <is>
          <t>100526050801 &amp; 200526050801</t>
        </is>
      </c>
      <c r="D350" t="inlineStr">
        <is>
          <t>AMY</t>
        </is>
      </c>
      <c r="F350" t="n">
        <v>10</v>
      </c>
      <c r="G350" t="n">
        <v>78</v>
      </c>
      <c r="H350" t="n">
        <v>858</v>
      </c>
      <c r="I350" t="n">
        <v>-702</v>
      </c>
      <c r="J350" t="n">
        <v>78.35766827153907</v>
      </c>
      <c r="K350" t="n">
        <v>77.05794620892577</v>
      </c>
      <c r="L350" t="n">
        <v>77.70158774308177</v>
      </c>
      <c r="M350" t="n">
        <v>79.5121070749383</v>
      </c>
      <c r="N350" t="n">
        <v>79.73444511393593</v>
      </c>
      <c r="O350" t="n">
        <v>76.61628383692175</v>
      </c>
      <c r="P350" t="n">
        <v>78.10239788005049</v>
      </c>
      <c r="Q350" t="n">
        <v>75.59202095192447</v>
      </c>
      <c r="BH350" t="n">
        <v>77.834</v>
      </c>
      <c r="BS350" t="n">
        <v>-0.21</v>
      </c>
      <c r="CD350" t="n">
        <v>1.69</v>
      </c>
      <c r="CF350" t="n">
        <v>10</v>
      </c>
      <c r="CG350" t="n">
        <v>404</v>
      </c>
      <c r="CH350" t="n">
        <v>4444</v>
      </c>
      <c r="CI350" t="n">
        <v>-3636</v>
      </c>
      <c r="CJ350" t="n">
        <v>415.0396106086097</v>
      </c>
      <c r="CK350" t="n">
        <v>399.0263386412765</v>
      </c>
      <c r="CL350" t="n">
        <v>419.6848249237181</v>
      </c>
      <c r="CM350" t="n">
        <v>422.8672305622609</v>
      </c>
      <c r="CN350" t="n">
        <v>438.1819996689542</v>
      </c>
      <c r="CO350" t="n">
        <v>418.9167883104981</v>
      </c>
      <c r="CP350" t="n">
        <v>416.0626289006921</v>
      </c>
      <c r="EH350" t="n">
        <v>418.54</v>
      </c>
      <c r="ES350" t="n">
        <v>3.6</v>
      </c>
      <c r="FD350" t="n">
        <v>2.56</v>
      </c>
      <c r="FF350" t="n">
        <v>10</v>
      </c>
      <c r="FG350" t="n">
        <v>63</v>
      </c>
      <c r="FH350" t="n">
        <v>693</v>
      </c>
      <c r="FI350" t="n">
        <v>-567</v>
      </c>
      <c r="FJ350" t="n">
        <v>64.56866463274473</v>
      </c>
      <c r="FK350" t="n">
        <v>65.1678119269845</v>
      </c>
      <c r="FL350" t="n">
        <v>64.25179725868021</v>
      </c>
      <c r="FM350" t="n">
        <v>64.32611284691851</v>
      </c>
      <c r="FN350" t="n">
        <v>63.90146342613448</v>
      </c>
      <c r="FO350" t="n">
        <v>63.19308061228931</v>
      </c>
      <c r="FP350" t="n">
        <v>64.15322896320704</v>
      </c>
      <c r="HH350" t="n">
        <v>64.223</v>
      </c>
      <c r="HS350" t="n">
        <v>1.94</v>
      </c>
      <c r="ID350" t="n">
        <v>0.87</v>
      </c>
      <c r="IF350" t="n">
        <v>10</v>
      </c>
      <c r="IG350" t="n">
        <v>297</v>
      </c>
      <c r="IH350" t="n">
        <v>3267</v>
      </c>
      <c r="II350" t="n">
        <v>-2673</v>
      </c>
      <c r="IJ350" t="n">
        <v>308.005346750477</v>
      </c>
      <c r="IK350" t="n">
        <v>302.0389370833249</v>
      </c>
      <c r="IL350" t="n">
        <v>306.8838561093285</v>
      </c>
      <c r="IM350" t="n">
        <v>299.380075595929</v>
      </c>
      <c r="IN350" t="n">
        <v>303.9928906027596</v>
      </c>
      <c r="IO350" t="n">
        <v>302.1729312986715</v>
      </c>
      <c r="IP350" t="n">
        <v>299.2160026338877</v>
      </c>
      <c r="IQ350" t="n">
        <v>299.8460038104708</v>
      </c>
      <c r="KH350" t="n">
        <v>302.692</v>
      </c>
      <c r="KS350" t="n">
        <v>1.92</v>
      </c>
      <c r="LD350" t="n">
        <v>1.04</v>
      </c>
    </row>
    <row r="351">
      <c r="A351" t="inlineStr">
        <is>
          <t>2026-05-08</t>
        </is>
      </c>
      <c r="B351" t="inlineStr">
        <is>
          <t>Diabetes 10</t>
        </is>
      </c>
      <c r="C351" t="inlineStr">
        <is>
          <t>100526050801 &amp; 200526050801</t>
        </is>
      </c>
      <c r="D351" t="inlineStr">
        <is>
          <t>CHOL</t>
        </is>
      </c>
      <c r="F351" t="n">
        <v>10</v>
      </c>
      <c r="G351" t="n">
        <v>228</v>
      </c>
      <c r="H351" t="n">
        <v>2508</v>
      </c>
      <c r="I351" t="n">
        <v>-2052</v>
      </c>
      <c r="J351" t="n">
        <v>244.1342339256795</v>
      </c>
      <c r="K351" t="n">
        <v>240.9248022220453</v>
      </c>
      <c r="L351" t="n">
        <v>239.2716015499126</v>
      </c>
      <c r="M351" t="n">
        <v>241.6842969346713</v>
      </c>
      <c r="N351" t="n">
        <v>239.0687904958451</v>
      </c>
      <c r="O351" t="n">
        <v>238.8456592234738</v>
      </c>
      <c r="P351" t="n">
        <v>240.2687512393481</v>
      </c>
      <c r="Q351" t="n">
        <v>233.864245725613</v>
      </c>
      <c r="BH351" t="n">
        <v>239.758</v>
      </c>
      <c r="BS351" t="n">
        <v>5.16</v>
      </c>
      <c r="CD351" t="n">
        <v>1.15</v>
      </c>
      <c r="CF351" t="n">
        <v>10</v>
      </c>
      <c r="CG351" t="n">
        <v>99</v>
      </c>
      <c r="CH351" t="n">
        <v>1089</v>
      </c>
      <c r="CI351" t="n">
        <v>-891</v>
      </c>
      <c r="CJ351" t="n">
        <v>99.76769022094118</v>
      </c>
      <c r="CK351" t="n">
        <v>98.1232291817783</v>
      </c>
      <c r="CL351" t="n">
        <v>102.9670440190432</v>
      </c>
      <c r="CM351" t="n">
        <v>103.562425447678</v>
      </c>
      <c r="CN351" t="n">
        <v>105.9110161195412</v>
      </c>
      <c r="CO351" t="n">
        <v>104.0374906825339</v>
      </c>
      <c r="CP351" t="n">
        <v>102.9985561029967</v>
      </c>
      <c r="EH351" t="n">
        <v>102.481</v>
      </c>
      <c r="ES351" t="n">
        <v>3.52</v>
      </c>
      <c r="FD351" t="n">
        <v>2.4</v>
      </c>
      <c r="FF351" t="n">
        <v>10</v>
      </c>
      <c r="FG351" t="n">
        <v>115</v>
      </c>
      <c r="FH351" t="n">
        <v>1265</v>
      </c>
      <c r="FI351" t="n">
        <v>-1035</v>
      </c>
      <c r="FJ351" t="n">
        <v>115.8928551845597</v>
      </c>
      <c r="FK351" t="n">
        <v>113.0122126350585</v>
      </c>
      <c r="FL351" t="n">
        <v>117.0743805227624</v>
      </c>
      <c r="FM351" t="n">
        <v>115.2660614383199</v>
      </c>
      <c r="FN351" t="n">
        <v>115.2718654548181</v>
      </c>
      <c r="FO351" t="n">
        <v>115.1432809169861</v>
      </c>
      <c r="FP351" t="n">
        <v>114.9826518257489</v>
      </c>
      <c r="HH351" t="n">
        <v>115.235</v>
      </c>
      <c r="HS351" t="n">
        <v>0.2</v>
      </c>
      <c r="ID351" t="n">
        <v>0.97</v>
      </c>
      <c r="IF351" t="n">
        <v>10</v>
      </c>
      <c r="IG351" t="n">
        <v>269</v>
      </c>
      <c r="IH351" t="n">
        <v>2959</v>
      </c>
      <c r="II351" t="n">
        <v>-2421</v>
      </c>
      <c r="IJ351" t="n">
        <v>268.5776657359899</v>
      </c>
      <c r="IK351" t="n">
        <v>268.7846142133186</v>
      </c>
      <c r="IL351" t="n">
        <v>270.0502013816408</v>
      </c>
      <c r="IM351" t="n">
        <v>268.0071682682866</v>
      </c>
      <c r="IN351" t="n">
        <v>269.0767196706468</v>
      </c>
      <c r="IO351" t="n">
        <v>270.6323250476271</v>
      </c>
      <c r="IP351" t="n">
        <v>270.4094947403987</v>
      </c>
      <c r="IQ351" t="n">
        <v>268.7149641046262</v>
      </c>
      <c r="KH351" t="n">
        <v>269.282</v>
      </c>
      <c r="KS351" t="n">
        <v>0.1</v>
      </c>
      <c r="LD351" t="n">
        <v>0.33</v>
      </c>
    </row>
    <row r="352">
      <c r="A352" t="inlineStr">
        <is>
          <t>2026-05-08</t>
        </is>
      </c>
      <c r="B352" t="inlineStr">
        <is>
          <t>Diabetes 10</t>
        </is>
      </c>
      <c r="C352" t="inlineStr">
        <is>
          <t>100526050801 &amp; 200526050801</t>
        </is>
      </c>
      <c r="D352" t="inlineStr">
        <is>
          <t>FRU</t>
        </is>
      </c>
      <c r="F352" t="n">
        <v>10</v>
      </c>
      <c r="J352" t="n">
        <v>202.1580888596736</v>
      </c>
      <c r="K352" t="n">
        <v>206.2465480636598</v>
      </c>
      <c r="L352" t="n">
        <v>205.9851254946012</v>
      </c>
      <c r="M352" t="n">
        <v>204.6505157476241</v>
      </c>
      <c r="N352" t="n">
        <v>208.2783585242099</v>
      </c>
      <c r="O352" t="n">
        <v>205.3846999131958</v>
      </c>
      <c r="P352" t="n">
        <v>205.6369242860638</v>
      </c>
      <c r="Q352" t="n">
        <v>199.7520230183726</v>
      </c>
      <c r="BH352" t="n">
        <v>204.762</v>
      </c>
      <c r="CD352" t="n">
        <v>1.21</v>
      </c>
      <c r="CF352" t="n">
        <v>10</v>
      </c>
      <c r="CJ352" t="n">
        <v>257.0832884465855</v>
      </c>
      <c r="CK352" t="n">
        <v>254.8681259515525</v>
      </c>
      <c r="CL352" t="n">
        <v>262.6034675020985</v>
      </c>
      <c r="CM352" t="n">
        <v>263.8913963853308</v>
      </c>
      <c r="CN352" t="n">
        <v>264.4214120019002</v>
      </c>
      <c r="CO352" t="n">
        <v>264.2421917802514</v>
      </c>
      <c r="CP352" t="n">
        <v>259.5332568616223</v>
      </c>
      <c r="EH352" t="n">
        <v>260.949</v>
      </c>
      <c r="FD352" t="n">
        <v>1.36</v>
      </c>
      <c r="FF352" t="n">
        <v>10</v>
      </c>
      <c r="FJ352" t="n">
        <v>143.5976186785502</v>
      </c>
      <c r="FK352" t="n">
        <v>142.6726921366192</v>
      </c>
      <c r="FL352" t="n">
        <v>141.8413341597879</v>
      </c>
      <c r="FM352" t="n">
        <v>140.8726795816729</v>
      </c>
      <c r="FN352" t="n">
        <v>141.6134914577758</v>
      </c>
      <c r="FO352" t="n">
        <v>141.833489931957</v>
      </c>
      <c r="FP352" t="n">
        <v>144.3644127572489</v>
      </c>
      <c r="HH352" t="n">
        <v>142.399</v>
      </c>
      <c r="ID352" t="n">
        <v>0.79</v>
      </c>
      <c r="IF352" t="n">
        <v>10</v>
      </c>
      <c r="IJ352" t="n">
        <v>242.8592352562922</v>
      </c>
      <c r="IK352" t="n">
        <v>244.1341961552706</v>
      </c>
      <c r="IL352" t="n">
        <v>244.4024907957035</v>
      </c>
      <c r="IM352" t="n">
        <v>246.7911985407859</v>
      </c>
      <c r="IN352" t="n">
        <v>244.3077826451165</v>
      </c>
      <c r="IO352" t="n">
        <v>244.1240729399447</v>
      </c>
      <c r="IP352" t="n">
        <v>239.7416489630216</v>
      </c>
      <c r="IQ352" t="n">
        <v>243.2506718749961</v>
      </c>
      <c r="KH352" t="n">
        <v>243.701</v>
      </c>
      <c r="LD352" t="n">
        <v>0.76</v>
      </c>
    </row>
    <row r="353">
      <c r="A353" t="inlineStr">
        <is>
          <t>2026-05-08</t>
        </is>
      </c>
      <c r="B353" t="inlineStr">
        <is>
          <t>Diabetes 10</t>
        </is>
      </c>
      <c r="C353" t="inlineStr">
        <is>
          <t>100526050801 &amp; 200526050801</t>
        </is>
      </c>
      <c r="D353" t="inlineStr">
        <is>
          <t>GLU</t>
        </is>
      </c>
      <c r="F353" t="n">
        <v>8</v>
      </c>
      <c r="G353" t="n">
        <v>90.16</v>
      </c>
      <c r="H353" t="n">
        <v>811.4399999999999</v>
      </c>
      <c r="I353" t="n">
        <v>-631.12</v>
      </c>
      <c r="J353" t="n">
        <v>96.41177194114208</v>
      </c>
      <c r="K353" t="n">
        <v>94.24290157867233</v>
      </c>
      <c r="L353" t="n">
        <v>93.05630199118291</v>
      </c>
      <c r="M353" t="n">
        <v>94.79465678461159</v>
      </c>
      <c r="N353" t="n">
        <v>93.46536037818056</v>
      </c>
      <c r="O353" t="n">
        <v>93.41077420235882</v>
      </c>
      <c r="P353" t="n">
        <v>93.35286319743149</v>
      </c>
      <c r="Q353" t="n">
        <v>91.60815235655974</v>
      </c>
      <c r="BH353" t="n">
        <v>93.79300000000001</v>
      </c>
      <c r="BS353" t="n">
        <v>4.03</v>
      </c>
      <c r="CD353" t="n">
        <v>1.4</v>
      </c>
      <c r="CF353" t="n">
        <v>8</v>
      </c>
      <c r="CG353" t="n">
        <v>293.02</v>
      </c>
      <c r="CH353" t="n">
        <v>2637.18</v>
      </c>
      <c r="CI353" t="n">
        <v>-2051.14</v>
      </c>
      <c r="CJ353" t="n">
        <v>305.0975244375826</v>
      </c>
      <c r="CK353" t="n">
        <v>301.2993401883073</v>
      </c>
      <c r="CL353" t="n">
        <v>314.4132051746303</v>
      </c>
      <c r="CM353" t="n">
        <v>315.6548094416302</v>
      </c>
      <c r="CN353" t="n">
        <v>318.9971580798355</v>
      </c>
      <c r="CO353" t="n">
        <v>316.5106120064788</v>
      </c>
      <c r="CP353" t="n">
        <v>313.1750316968401</v>
      </c>
      <c r="EH353" t="n">
        <v>312.164</v>
      </c>
      <c r="ES353" t="n">
        <v>6.53</v>
      </c>
      <c r="FD353" t="n">
        <v>1.92</v>
      </c>
      <c r="FF353" t="n">
        <v>8</v>
      </c>
      <c r="FG353" t="n">
        <v>65.66</v>
      </c>
      <c r="FH353" t="n">
        <v>590.9399999999999</v>
      </c>
      <c r="FI353" t="n">
        <v>-459.62</v>
      </c>
      <c r="FJ353" t="n">
        <v>70.57648307111504</v>
      </c>
      <c r="FK353" t="n">
        <v>66.88863138783846</v>
      </c>
      <c r="FL353" t="n">
        <v>69.9981209546323</v>
      </c>
      <c r="FM353" t="n">
        <v>69.0248294043201</v>
      </c>
      <c r="FN353" t="n">
        <v>69.12616927236606</v>
      </c>
      <c r="FO353" t="n">
        <v>68.35215777646582</v>
      </c>
      <c r="FP353" t="n">
        <v>68.60495664935506</v>
      </c>
      <c r="HH353" t="n">
        <v>68.93899999999999</v>
      </c>
      <c r="HS353" t="n">
        <v>4.99</v>
      </c>
      <c r="ID353" t="n">
        <v>1.6</v>
      </c>
      <c r="IF353" t="n">
        <v>8</v>
      </c>
      <c r="IG353" t="n">
        <v>359.66</v>
      </c>
      <c r="IH353" t="n">
        <v>3236.94</v>
      </c>
      <c r="II353" t="n">
        <v>-2517.62</v>
      </c>
      <c r="IJ353" t="n">
        <v>368.6430250889923</v>
      </c>
      <c r="IK353" t="n">
        <v>367.4224675676849</v>
      </c>
      <c r="IL353" t="n">
        <v>373.1194625445585</v>
      </c>
      <c r="IM353" t="n">
        <v>368.9442131234974</v>
      </c>
      <c r="IN353" t="n">
        <v>364.9617137443301</v>
      </c>
      <c r="IO353" t="n">
        <v>367.4528555173136</v>
      </c>
      <c r="IP353" t="n">
        <v>367.1863882618463</v>
      </c>
      <c r="IQ353" t="n">
        <v>368.4864410853988</v>
      </c>
      <c r="KH353" t="n">
        <v>368.277</v>
      </c>
      <c r="KS353" t="n">
        <v>2.4</v>
      </c>
      <c r="LD353" t="n">
        <v>0.59</v>
      </c>
    </row>
    <row r="354">
      <c r="A354" t="inlineStr">
        <is>
          <t>2026-05-08</t>
        </is>
      </c>
      <c r="B354" t="inlineStr">
        <is>
          <t>Diabetes 10</t>
        </is>
      </c>
      <c r="C354" t="inlineStr">
        <is>
          <t>100526050801 &amp; 200526050801</t>
        </is>
      </c>
      <c r="D354" t="inlineStr">
        <is>
          <t>P-LIPA</t>
        </is>
      </c>
      <c r="F354" t="n">
        <v>30</v>
      </c>
      <c r="J354" t="n">
        <v>73.94794141819041</v>
      </c>
      <c r="K354" t="n">
        <v>73.3447817122422</v>
      </c>
      <c r="L354" t="n">
        <v>74.20868973949845</v>
      </c>
      <c r="M354" t="n">
        <v>73.01594570542868</v>
      </c>
      <c r="N354" t="n">
        <v>71.03565995837694</v>
      </c>
      <c r="O354" t="n">
        <v>74.16465961683286</v>
      </c>
      <c r="P354" t="n">
        <v>71.93517163194176</v>
      </c>
      <c r="Q354" t="n">
        <v>72.05759675967296</v>
      </c>
      <c r="BH354" t="n">
        <v>72.964</v>
      </c>
      <c r="CD354" t="n">
        <v>1.51</v>
      </c>
      <c r="CF354" t="n">
        <v>30</v>
      </c>
      <c r="CJ354" t="n">
        <v>86.28563000550896</v>
      </c>
      <c r="CK354" t="n">
        <v>89.37260827577704</v>
      </c>
      <c r="CL354" t="n">
        <v>91.39697393402955</v>
      </c>
      <c r="CM354" t="n">
        <v>92.77959297773269</v>
      </c>
      <c r="CN354" t="n">
        <v>89.48081221947018</v>
      </c>
      <c r="CO354" t="n">
        <v>94.09333092238656</v>
      </c>
      <c r="CP354" t="n">
        <v>90.64216472205263</v>
      </c>
      <c r="EH354" t="n">
        <v>90.57899999999999</v>
      </c>
      <c r="FD354" t="n">
        <v>2.6</v>
      </c>
      <c r="FF354" t="n">
        <v>30</v>
      </c>
      <c r="FJ354" t="n">
        <v>42.78319208601818</v>
      </c>
      <c r="FK354" t="n">
        <v>41.35174399053122</v>
      </c>
      <c r="FL354" t="n">
        <v>41.14478528078402</v>
      </c>
      <c r="FM354" t="n">
        <v>42.38734153031812</v>
      </c>
      <c r="FN354" t="n">
        <v>40.62325787408458</v>
      </c>
      <c r="FO354" t="n">
        <v>41.97292586659775</v>
      </c>
      <c r="FP354" t="n">
        <v>42.2916714310451</v>
      </c>
      <c r="HH354" t="n">
        <v>41.794</v>
      </c>
      <c r="ID354" t="n">
        <v>1.72</v>
      </c>
      <c r="IF354" t="n">
        <v>30</v>
      </c>
      <c r="IJ354" t="n">
        <v>108.4235484722863</v>
      </c>
      <c r="IK354" t="n">
        <v>108.3218657720796</v>
      </c>
      <c r="IL354" t="n">
        <v>116.4789909370904</v>
      </c>
      <c r="IM354" t="n">
        <v>114.9884446645668</v>
      </c>
      <c r="IN354" t="n">
        <v>110.509233086681</v>
      </c>
      <c r="IO354" t="n">
        <v>115.8743200427016</v>
      </c>
      <c r="IP354" t="n">
        <v>113.4968835718696</v>
      </c>
      <c r="IQ354" t="n">
        <v>112.8917534267632</v>
      </c>
      <c r="KH354" t="n">
        <v>112.623</v>
      </c>
      <c r="LD354" t="n">
        <v>2.67</v>
      </c>
    </row>
    <row r="355">
      <c r="A355" t="inlineStr">
        <is>
          <t>2026-05-08</t>
        </is>
      </c>
      <c r="B355" t="inlineStr">
        <is>
          <t>Diabetes 10</t>
        </is>
      </c>
      <c r="C355" t="inlineStr">
        <is>
          <t>100526050801 &amp; 200526050801</t>
        </is>
      </c>
      <c r="D355" t="inlineStr">
        <is>
          <t>TP</t>
        </is>
      </c>
      <c r="F355" t="n">
        <v>8</v>
      </c>
      <c r="G355" t="n">
        <v>6.4</v>
      </c>
      <c r="H355" t="n">
        <v>57.6</v>
      </c>
      <c r="I355" t="n">
        <v>-44.8</v>
      </c>
      <c r="J355" t="n">
        <v>6.683242592180804</v>
      </c>
      <c r="K355" t="n">
        <v>6.63854732211194</v>
      </c>
      <c r="L355" t="n">
        <v>6.652006343591673</v>
      </c>
      <c r="M355" t="n">
        <v>6.726470071553956</v>
      </c>
      <c r="N355" t="n">
        <v>6.640335121329016</v>
      </c>
      <c r="O355" t="n">
        <v>6.658121877948409</v>
      </c>
      <c r="P355" t="n">
        <v>6.634274275224916</v>
      </c>
      <c r="Q355" t="n">
        <v>6.488217155504035</v>
      </c>
      <c r="BH355" t="n">
        <v>6.64</v>
      </c>
      <c r="BS355" t="n">
        <v>3.75</v>
      </c>
      <c r="CD355" t="n">
        <v>0.97</v>
      </c>
      <c r="CF355" t="n">
        <v>8</v>
      </c>
      <c r="CG355" t="n">
        <v>4.1</v>
      </c>
      <c r="CH355" t="n">
        <v>36.9</v>
      </c>
      <c r="CI355" t="n">
        <v>-28.7</v>
      </c>
      <c r="CJ355" t="n">
        <v>4.244856230445384</v>
      </c>
      <c r="CK355" t="n">
        <v>4.172381176209126</v>
      </c>
      <c r="CL355" t="n">
        <v>4.469913774661006</v>
      </c>
      <c r="CM355" t="n">
        <v>4.503867597408157</v>
      </c>
      <c r="CN355" t="n">
        <v>4.580272079974695</v>
      </c>
      <c r="CO355" t="n">
        <v>4.582806379457693</v>
      </c>
      <c r="CP355" t="n">
        <v>4.436138583334747</v>
      </c>
      <c r="EH355" t="n">
        <v>4.427</v>
      </c>
      <c r="ES355" t="n">
        <v>7.98</v>
      </c>
      <c r="FD355" t="n">
        <v>3.35</v>
      </c>
      <c r="FF355" t="n">
        <v>8</v>
      </c>
      <c r="FG355" t="n">
        <v>4.2</v>
      </c>
      <c r="FH355" t="n">
        <v>37.8</v>
      </c>
      <c r="FI355" t="n">
        <v>-29.4</v>
      </c>
      <c r="FJ355" t="n">
        <v>4.159478165805326</v>
      </c>
      <c r="FK355" t="n">
        <v>4.109518760000891</v>
      </c>
      <c r="FL355" t="n">
        <v>4.188728533957845</v>
      </c>
      <c r="FM355" t="n">
        <v>4.142148809605761</v>
      </c>
      <c r="FN355" t="n">
        <v>4.066059143495974</v>
      </c>
      <c r="FO355" t="n">
        <v>4.121279639355884</v>
      </c>
      <c r="FP355" t="n">
        <v>4.101908111240109</v>
      </c>
      <c r="HH355" t="n">
        <v>4.127</v>
      </c>
      <c r="HS355" t="n">
        <v>-1.74</v>
      </c>
      <c r="ID355" t="n">
        <v>0.91</v>
      </c>
      <c r="IF355" t="n">
        <v>8</v>
      </c>
      <c r="IG355" t="n">
        <v>7.5</v>
      </c>
      <c r="IH355" t="n">
        <v>67.5</v>
      </c>
      <c r="II355" t="n">
        <v>-52.5</v>
      </c>
      <c r="IJ355" t="n">
        <v>7.50661827531413</v>
      </c>
      <c r="IK355" t="n">
        <v>7.566875017219013</v>
      </c>
      <c r="IL355" t="n">
        <v>7.60176710106804</v>
      </c>
      <c r="IM355" t="n">
        <v>7.43918084351909</v>
      </c>
      <c r="IN355" t="n">
        <v>7.472503206481843</v>
      </c>
      <c r="IO355" t="n">
        <v>7.537045938588811</v>
      </c>
      <c r="IP355" t="n">
        <v>7.568793049428722</v>
      </c>
      <c r="IQ355" t="n">
        <v>7.504141162858328</v>
      </c>
      <c r="KH355" t="n">
        <v>7.525</v>
      </c>
      <c r="KS355" t="n">
        <v>0.33</v>
      </c>
      <c r="LD355" t="n">
        <v>0.67</v>
      </c>
    </row>
    <row r="356">
      <c r="A356" t="inlineStr">
        <is>
          <t>2026-05-08</t>
        </is>
      </c>
      <c r="B356" t="inlineStr">
        <is>
          <t>Diabetes 10</t>
        </is>
      </c>
      <c r="C356" t="inlineStr">
        <is>
          <t>100526050801 &amp; 200526050801</t>
        </is>
      </c>
      <c r="D356" t="inlineStr">
        <is>
          <t>TRIG</t>
        </is>
      </c>
      <c r="F356" t="n">
        <v>15</v>
      </c>
      <c r="J356" t="n">
        <v>185.6780748436944</v>
      </c>
      <c r="K356" t="n">
        <v>184.4876137051982</v>
      </c>
      <c r="L356" t="n">
        <v>182.2882511449269</v>
      </c>
      <c r="M356" t="n">
        <v>186.9624514195359</v>
      </c>
      <c r="N356" t="n">
        <v>187.3916725953896</v>
      </c>
      <c r="O356" t="n">
        <v>186.6652559716402</v>
      </c>
      <c r="P356" t="n">
        <v>186.977407790909</v>
      </c>
      <c r="Q356" t="n">
        <v>182.1284518366653</v>
      </c>
      <c r="BH356" t="n">
        <v>185.322</v>
      </c>
      <c r="CD356" t="n">
        <v>1.07</v>
      </c>
      <c r="CF356" t="n">
        <v>15</v>
      </c>
      <c r="CJ356" t="n">
        <v>97.36186893667006</v>
      </c>
      <c r="CK356" t="n">
        <v>94.22142045767161</v>
      </c>
      <c r="CL356" t="n">
        <v>103.8883955965163</v>
      </c>
      <c r="CM356" t="n">
        <v>105.256852856393</v>
      </c>
      <c r="CN356" t="n">
        <v>108.60610628901</v>
      </c>
      <c r="CO356" t="n">
        <v>105.3971713800069</v>
      </c>
      <c r="CP356" t="n">
        <v>103.7016816030516</v>
      </c>
      <c r="EH356" t="n">
        <v>102.633</v>
      </c>
      <c r="FD356" t="n">
        <v>4.53</v>
      </c>
      <c r="FF356" t="n">
        <v>15</v>
      </c>
      <c r="FJ356" t="n">
        <v>111.5912911203228</v>
      </c>
      <c r="FK356" t="n">
        <v>110.2916454892311</v>
      </c>
      <c r="FL356" t="n">
        <v>112.2169943842009</v>
      </c>
      <c r="FM356" t="n">
        <v>110.7794122282172</v>
      </c>
      <c r="FN356" t="n">
        <v>112.7832042005552</v>
      </c>
      <c r="FO356" t="n">
        <v>109.7373744564185</v>
      </c>
      <c r="FP356" t="n">
        <v>108.9327051938988</v>
      </c>
      <c r="HH356" t="n">
        <v>110.905</v>
      </c>
      <c r="ID356" t="n">
        <v>1.15</v>
      </c>
      <c r="IF356" t="n">
        <v>15</v>
      </c>
      <c r="IJ356" t="n">
        <v>233.0420659875202</v>
      </c>
      <c r="IK356" t="n">
        <v>227.9029230032144</v>
      </c>
      <c r="IL356" t="n">
        <v>229.1599148209041</v>
      </c>
      <c r="IM356" t="n">
        <v>228.9266178705955</v>
      </c>
      <c r="IN356" t="n">
        <v>232.492838554957</v>
      </c>
      <c r="IO356" t="n">
        <v>230.0832793015959</v>
      </c>
      <c r="IP356" t="n">
        <v>230.9175651254036</v>
      </c>
      <c r="IQ356" t="n">
        <v>228.1684501825033</v>
      </c>
      <c r="KH356" t="n">
        <v>230.087</v>
      </c>
      <c r="LD356" t="n">
        <v>0.78</v>
      </c>
    </row>
    <row r="357">
      <c r="A357" t="inlineStr">
        <is>
          <t>2026-05-07</t>
        </is>
      </c>
      <c r="B357" t="inlineStr">
        <is>
          <t>Optimum Wellness 37</t>
        </is>
      </c>
      <c r="C357" t="inlineStr">
        <is>
          <t>109326050701 &amp; 209326050701</t>
        </is>
      </c>
      <c r="D357" t="inlineStr">
        <is>
          <t>BA</t>
        </is>
      </c>
      <c r="J357" t="n">
        <v>4.487855627558092</v>
      </c>
      <c r="K357" t="n">
        <v>4.684269435437306</v>
      </c>
      <c r="L357" t="n">
        <v>4.23046498848627</v>
      </c>
      <c r="M357" t="n">
        <v>4.644184605711992</v>
      </c>
      <c r="N357" t="n">
        <v>5.52434450822811</v>
      </c>
      <c r="O357" t="n">
        <v>4.246029141566853</v>
      </c>
      <c r="P357" t="n">
        <v>5.003574153393201</v>
      </c>
      <c r="BH357" t="n">
        <v>4.689</v>
      </c>
      <c r="CD357" t="n">
        <v>9</v>
      </c>
      <c r="CJ357" t="n">
        <v>4.551861419887761</v>
      </c>
      <c r="CK357" t="n">
        <v>4.126996226365309</v>
      </c>
      <c r="CL357" t="n">
        <v>4.956143109430414</v>
      </c>
      <c r="CM357" t="n">
        <v>5.467444152177025</v>
      </c>
      <c r="CN357" t="n">
        <v>4.524902426466085</v>
      </c>
      <c r="CO357" t="n">
        <v>7.939007616287009</v>
      </c>
      <c r="CP357" t="n">
        <v>4.243772441794361</v>
      </c>
      <c r="CQ357" t="n">
        <v>4.302894536036117</v>
      </c>
      <c r="CR357" t="n">
        <v>4.002955439657768</v>
      </c>
      <c r="CS357" t="n">
        <v>4.487441586854708</v>
      </c>
      <c r="CT357" t="n">
        <v>4.629483943469641</v>
      </c>
      <c r="EH357" t="n">
        <v>4.839</v>
      </c>
      <c r="FD357" t="n">
        <v>21.78</v>
      </c>
      <c r="FJ357" t="n">
        <v>13.78956836701764</v>
      </c>
      <c r="FK357" t="n">
        <v>14.58416981692474</v>
      </c>
      <c r="FL357" t="n">
        <v>13.51943222033076</v>
      </c>
      <c r="FM357" t="n">
        <v>13.69113534604234</v>
      </c>
      <c r="FN357" t="n">
        <v>14.28255388589069</v>
      </c>
      <c r="FO357" t="n">
        <v>14.09201187022427</v>
      </c>
      <c r="HH357" t="n">
        <v>13.993</v>
      </c>
      <c r="ID357" t="n">
        <v>2.61</v>
      </c>
      <c r="IJ357" t="n">
        <v>13.06971515653474</v>
      </c>
      <c r="IK357" t="n">
        <v>12.90039366889022</v>
      </c>
      <c r="IL357" t="n">
        <v>13.06372601394253</v>
      </c>
      <c r="IM357" t="n">
        <v>17.6828804983786</v>
      </c>
      <c r="IN357" t="n">
        <v>11.81342292088964</v>
      </c>
      <c r="IO357" t="n">
        <v>13.18351749307177</v>
      </c>
      <c r="IP357" t="n">
        <v>12.65278678403818</v>
      </c>
      <c r="IQ357" t="n">
        <v>13.12816571330423</v>
      </c>
      <c r="IR357" t="n">
        <v>13.04106257490491</v>
      </c>
      <c r="IS357" t="n">
        <v>13.62486077191597</v>
      </c>
      <c r="KH357" t="n">
        <v>13.416</v>
      </c>
      <c r="LD357" t="n">
        <v>11.1</v>
      </c>
    </row>
    <row r="358">
      <c r="A358" t="inlineStr">
        <is>
          <t>2026-05-07</t>
        </is>
      </c>
      <c r="B358" t="inlineStr">
        <is>
          <t>Optimum Wellness 37</t>
        </is>
      </c>
      <c r="C358" t="inlineStr">
        <is>
          <t>109326050701 &amp; 209326050701</t>
        </is>
      </c>
      <c r="D358" t="inlineStr">
        <is>
          <t>Cl</t>
        </is>
      </c>
      <c r="F358" t="n">
        <v>5</v>
      </c>
      <c r="G358" t="n">
        <v>90</v>
      </c>
      <c r="H358" t="n">
        <v>540</v>
      </c>
      <c r="I358" t="n">
        <v>-360</v>
      </c>
      <c r="J358" t="n">
        <v>100.4410693008407</v>
      </c>
      <c r="K358" t="n">
        <v>101.9165828735655</v>
      </c>
      <c r="L358" t="n">
        <v>102.9495718940333</v>
      </c>
      <c r="M358" t="n">
        <v>104.2674623105528</v>
      </c>
      <c r="N358" t="n">
        <v>103.0663023251813</v>
      </c>
      <c r="O358" t="n">
        <v>102.3444780504185</v>
      </c>
      <c r="P358" t="n">
        <v>98.56148154412301</v>
      </c>
      <c r="BH358" t="n">
        <v>101.935</v>
      </c>
      <c r="BS358" t="n">
        <v>13.26</v>
      </c>
      <c r="CD358" t="n">
        <v>1.72</v>
      </c>
      <c r="CF358" t="n">
        <v>5</v>
      </c>
      <c r="CG358" t="n">
        <v>91</v>
      </c>
      <c r="CH358" t="n">
        <v>546</v>
      </c>
      <c r="CI358" t="n">
        <v>-364</v>
      </c>
      <c r="CJ358" t="n">
        <v>88.58301629034943</v>
      </c>
      <c r="CK358" t="n">
        <v>92.04578933961434</v>
      </c>
      <c r="CL358" t="n">
        <v>91.41646794106688</v>
      </c>
      <c r="CM358" t="n">
        <v>89.23725503739817</v>
      </c>
      <c r="CN358" t="n">
        <v>89.58814011495372</v>
      </c>
      <c r="CO358" t="n">
        <v>90.84763293608287</v>
      </c>
      <c r="CP358" t="n">
        <v>93.52738646609535</v>
      </c>
      <c r="CQ358" t="n">
        <v>93.58813134081683</v>
      </c>
      <c r="CR358" t="n">
        <v>97.06909128048119</v>
      </c>
      <c r="CS358" t="n">
        <v>93.81019817471554</v>
      </c>
      <c r="CT358" t="n">
        <v>92.7707783879284</v>
      </c>
      <c r="EH358" t="n">
        <v>92.044</v>
      </c>
      <c r="ES358" t="n">
        <v>1.15</v>
      </c>
      <c r="FD358" t="n">
        <v>2.56</v>
      </c>
      <c r="FF358" t="n">
        <v>5</v>
      </c>
      <c r="FG358" t="n">
        <v>77</v>
      </c>
      <c r="FH358" t="n">
        <v>462</v>
      </c>
      <c r="FI358" t="n">
        <v>-308</v>
      </c>
      <c r="FJ358" t="n">
        <v>82.1554397950504</v>
      </c>
      <c r="FK358" t="n">
        <v>82.23644136621792</v>
      </c>
      <c r="FL358" t="n">
        <v>83.87431319173021</v>
      </c>
      <c r="FM358" t="n">
        <v>82.55575325897613</v>
      </c>
      <c r="FN358" t="n">
        <v>81.52926254666073</v>
      </c>
      <c r="FO358" t="n">
        <v>82.64609504969434</v>
      </c>
      <c r="HH358" t="n">
        <v>82.5</v>
      </c>
      <c r="HS358" t="n">
        <v>7.14</v>
      </c>
      <c r="ID358" t="n">
        <v>0.86</v>
      </c>
      <c r="IF358" t="n">
        <v>5</v>
      </c>
      <c r="IG358" t="n">
        <v>118</v>
      </c>
      <c r="IH358" t="n">
        <v>708</v>
      </c>
      <c r="II358" t="n">
        <v>-472</v>
      </c>
      <c r="IJ358" t="n">
        <v>126.7683961381472</v>
      </c>
      <c r="IK358" t="n">
        <v>124.5091011195643</v>
      </c>
      <c r="IL358" t="n">
        <v>125.2166774082468</v>
      </c>
      <c r="IM358" t="n">
        <v>123.0518847618684</v>
      </c>
      <c r="IN358" t="n">
        <v>125.5334470700319</v>
      </c>
      <c r="IO358" t="n">
        <v>126.2475347634964</v>
      </c>
      <c r="IP358" t="n">
        <v>126.4853177391238</v>
      </c>
      <c r="IQ358" t="n">
        <v>125.0362759448602</v>
      </c>
      <c r="IR358" t="n">
        <v>125.6826278180855</v>
      </c>
      <c r="IS358" t="n">
        <v>128.80618172345</v>
      </c>
      <c r="KH358" t="n">
        <v>125.734</v>
      </c>
      <c r="KS358" t="n">
        <v>6.55</v>
      </c>
      <c r="LD358" t="n">
        <v>1.15</v>
      </c>
    </row>
    <row r="359">
      <c r="A359" t="inlineStr">
        <is>
          <t>2026-05-07</t>
        </is>
      </c>
      <c r="B359" t="inlineStr">
        <is>
          <t>Optimum Wellness 37</t>
        </is>
      </c>
      <c r="C359" t="inlineStr">
        <is>
          <t>109326050701 &amp; 209326050701</t>
        </is>
      </c>
      <c r="D359" t="inlineStr">
        <is>
          <t>K</t>
        </is>
      </c>
      <c r="G359" t="n">
        <v>3.9</v>
      </c>
      <c r="J359" t="n">
        <v>4.583796404318345</v>
      </c>
      <c r="K359" t="n">
        <v>4.417234418943069</v>
      </c>
      <c r="L359" t="n">
        <v>4.43259688530516</v>
      </c>
      <c r="M359" t="n">
        <v>4.299843471347968</v>
      </c>
      <c r="N359" t="n">
        <v>4.3967883218559</v>
      </c>
      <c r="O359" t="n">
        <v>4.383349008653692</v>
      </c>
      <c r="P359" t="n">
        <v>4.345361432261815</v>
      </c>
      <c r="BH359" t="n">
        <v>4.408</v>
      </c>
      <c r="BS359" t="n">
        <v>13.04</v>
      </c>
      <c r="CD359" t="n">
        <v>1.88</v>
      </c>
      <c r="CG359" t="n">
        <v>6</v>
      </c>
      <c r="CJ359" t="n">
        <v>7.35883178345519</v>
      </c>
      <c r="CK359" t="n">
        <v>7.264150666452433</v>
      </c>
      <c r="CL359" t="n">
        <v>7.10588328443522</v>
      </c>
      <c r="CM359" t="n">
        <v>7.06233468735794</v>
      </c>
      <c r="CN359" t="n">
        <v>7.195524733493028</v>
      </c>
      <c r="CO359" t="n">
        <v>7.08264355920634</v>
      </c>
      <c r="CP359" t="n">
        <v>6.89050122318574</v>
      </c>
      <c r="CQ359" t="n">
        <v>7.235706856381356</v>
      </c>
      <c r="CR359" t="n">
        <v>7.102089442585492</v>
      </c>
      <c r="CS359" t="n">
        <v>7.060023658517081</v>
      </c>
      <c r="CT359" t="n">
        <v>6.993099199800633</v>
      </c>
      <c r="EH359" t="n">
        <v>7.123</v>
      </c>
      <c r="ES359" t="n">
        <v>18.71</v>
      </c>
      <c r="FD359" t="n">
        <v>1.77</v>
      </c>
      <c r="FG359" t="n">
        <v>2.2</v>
      </c>
      <c r="FJ359" t="n">
        <v>2.718156171378018</v>
      </c>
      <c r="FK359" t="n">
        <v>2.956076742108078</v>
      </c>
      <c r="FL359" t="n">
        <v>2.604228956150158</v>
      </c>
      <c r="FM359" t="n">
        <v>2.653873225904957</v>
      </c>
      <c r="FN359" t="n">
        <v>2.904806011479645</v>
      </c>
      <c r="FO359" t="n">
        <v>2.739420512856044</v>
      </c>
      <c r="HH359" t="n">
        <v>2.763</v>
      </c>
      <c r="HS359" t="n">
        <v>25.58</v>
      </c>
      <c r="ID359" t="n">
        <v>4.6</v>
      </c>
      <c r="IG359" t="n">
        <v>8.4</v>
      </c>
      <c r="IJ359" t="n">
        <v>10.00354679653013</v>
      </c>
      <c r="IK359" t="n">
        <v>9.824771623118934</v>
      </c>
      <c r="IL359" t="n">
        <v>9.747747700538778</v>
      </c>
      <c r="IM359" t="n">
        <v>9.603442788008177</v>
      </c>
      <c r="IN359" t="n">
        <v>9.925841015616562</v>
      </c>
      <c r="IO359" t="n">
        <v>9.859173090931904</v>
      </c>
      <c r="IP359" t="n">
        <v>10.05616813316642</v>
      </c>
      <c r="IQ359" t="n">
        <v>9.440208152184159</v>
      </c>
      <c r="IR359" t="n">
        <v>9.785876547087017</v>
      </c>
      <c r="IS359" t="n">
        <v>9.886050741707077</v>
      </c>
      <c r="KH359" t="n">
        <v>9.813000000000001</v>
      </c>
      <c r="KS359" t="n">
        <v>16.82</v>
      </c>
      <c r="LD359" t="n">
        <v>1.78</v>
      </c>
    </row>
    <row r="360">
      <c r="A360" t="inlineStr">
        <is>
          <t>2026-05-07</t>
        </is>
      </c>
      <c r="B360" t="inlineStr">
        <is>
          <t>Optimum Wellness 37</t>
        </is>
      </c>
      <c r="C360" t="inlineStr">
        <is>
          <t>109326050701 &amp; 209326050701</t>
        </is>
      </c>
      <c r="D360" t="inlineStr">
        <is>
          <t>Na</t>
        </is>
      </c>
      <c r="G360" t="n">
        <v>141</v>
      </c>
      <c r="J360" t="n">
        <v>147.3740678347885</v>
      </c>
      <c r="K360" t="n">
        <v>150.1264837241237</v>
      </c>
      <c r="L360" t="n">
        <v>148.8990821648938</v>
      </c>
      <c r="M360" t="n">
        <v>152.0837744442193</v>
      </c>
      <c r="N360" t="n">
        <v>148.0926878665743</v>
      </c>
      <c r="O360" t="n">
        <v>149.0315838044519</v>
      </c>
      <c r="P360" t="n">
        <v>149.7315949702593</v>
      </c>
      <c r="BH360" t="n">
        <v>149.334</v>
      </c>
      <c r="BS360" t="n">
        <v>5.91</v>
      </c>
      <c r="CD360" t="n">
        <v>0.95</v>
      </c>
      <c r="CG360" t="n">
        <v>129</v>
      </c>
      <c r="CJ360" t="n">
        <v>136.5640241724144</v>
      </c>
      <c r="CK360" t="n">
        <v>135.0244324014734</v>
      </c>
      <c r="CL360" t="n">
        <v>137.2300089103865</v>
      </c>
      <c r="CM360" t="n">
        <v>138.6228353492994</v>
      </c>
      <c r="CN360" t="n">
        <v>137.1169398973018</v>
      </c>
      <c r="CO360" t="n">
        <v>137.9584981547341</v>
      </c>
      <c r="CP360" t="n">
        <v>137.1462779193024</v>
      </c>
      <c r="CQ360" t="n">
        <v>138.3766548697676</v>
      </c>
      <c r="CR360" t="n">
        <v>138.9925715484187</v>
      </c>
      <c r="CS360" t="n">
        <v>138.1392225576872</v>
      </c>
      <c r="CT360" t="n">
        <v>137.8065190180398</v>
      </c>
      <c r="EH360" t="n">
        <v>137.543</v>
      </c>
      <c r="ES360" t="n">
        <v>6.62</v>
      </c>
      <c r="FD360" t="n">
        <v>0.77</v>
      </c>
      <c r="FG360" t="n">
        <v>118</v>
      </c>
      <c r="FJ360" t="n">
        <v>125.454009155101</v>
      </c>
      <c r="FK360" t="n">
        <v>124.7236200579175</v>
      </c>
      <c r="FL360" t="n">
        <v>124.570118693435</v>
      </c>
      <c r="FM360" t="n">
        <v>124.3928145748949</v>
      </c>
      <c r="FN360" t="n">
        <v>124.4636354070074</v>
      </c>
      <c r="FO360" t="n">
        <v>124.4843479406071</v>
      </c>
      <c r="HH360" t="n">
        <v>124.681</v>
      </c>
      <c r="HS360" t="n">
        <v>5.66</v>
      </c>
      <c r="ID360" t="n">
        <v>0.29</v>
      </c>
      <c r="IG360" t="n">
        <v>166</v>
      </c>
      <c r="IJ360" t="n">
        <v>165.6598723501062</v>
      </c>
      <c r="IK360" t="n">
        <v>164.5718739353653</v>
      </c>
      <c r="IL360" t="n">
        <v>165.5295913153386</v>
      </c>
      <c r="IM360" t="n">
        <v>166.1268952287287</v>
      </c>
      <c r="IN360" t="n">
        <v>167.4159886593801</v>
      </c>
      <c r="IO360" t="n">
        <v>167.9676224236416</v>
      </c>
      <c r="IP360" t="n">
        <v>168.9997760074101</v>
      </c>
      <c r="IQ360" t="n">
        <v>165.1438814977391</v>
      </c>
      <c r="IR360" t="n">
        <v>166.1523227210445</v>
      </c>
      <c r="IS360" t="n">
        <v>167.4862321288157</v>
      </c>
      <c r="KH360" t="n">
        <v>166.505</v>
      </c>
      <c r="KS360" t="n">
        <v>0.3</v>
      </c>
      <c r="LD360" t="n">
        <v>0.8</v>
      </c>
    </row>
    <row r="361">
      <c r="A361" t="inlineStr">
        <is>
          <t>2026-05-07</t>
        </is>
      </c>
      <c r="B361" t="inlineStr">
        <is>
          <t>Optimum Wellness 37</t>
        </is>
      </c>
      <c r="C361" t="inlineStr">
        <is>
          <t>109326050701 &amp; 209326050701</t>
        </is>
      </c>
      <c r="D361" t="inlineStr">
        <is>
          <t>P-LIPA</t>
        </is>
      </c>
      <c r="F361" t="n">
        <v>30</v>
      </c>
      <c r="J361" t="n">
        <v>69.35546017404801</v>
      </c>
      <c r="K361" t="n">
        <v>72.50450887410928</v>
      </c>
      <c r="L361" t="n">
        <v>70.02486306053569</v>
      </c>
      <c r="M361" t="n">
        <v>70.56526555771134</v>
      </c>
      <c r="N361" t="n">
        <v>68.13573495116098</v>
      </c>
      <c r="O361" t="n">
        <v>71.5666259252862</v>
      </c>
      <c r="P361" t="n">
        <v>69.40368146532361</v>
      </c>
      <c r="BH361" t="n">
        <v>70.22199999999999</v>
      </c>
      <c r="CD361" t="n">
        <v>1.94</v>
      </c>
      <c r="CF361" t="n">
        <v>30</v>
      </c>
      <c r="CJ361" t="n">
        <v>83.2000286397821</v>
      </c>
      <c r="CK361" t="n">
        <v>84.6961209619412</v>
      </c>
      <c r="CL361" t="n">
        <v>88.30029412886422</v>
      </c>
      <c r="CM361" t="n">
        <v>85.85993453722426</v>
      </c>
      <c r="CN361" t="n">
        <v>86.35555090616035</v>
      </c>
      <c r="CO361" t="n">
        <v>87.46192142784443</v>
      </c>
      <c r="CP361" t="n">
        <v>86.74405556942195</v>
      </c>
      <c r="CQ361" t="n">
        <v>87.20811596765434</v>
      </c>
      <c r="CR361" t="n">
        <v>83.41733466736387</v>
      </c>
      <c r="CS361" t="n">
        <v>88.81282293957202</v>
      </c>
      <c r="CT361" t="n">
        <v>88.03639203392792</v>
      </c>
      <c r="EH361" t="n">
        <v>86.372</v>
      </c>
      <c r="FD361" t="n">
        <v>2.1</v>
      </c>
      <c r="FF361" t="n">
        <v>30</v>
      </c>
      <c r="FJ361" t="n">
        <v>40.18195669154945</v>
      </c>
      <c r="FK361" t="n">
        <v>43.27324386404113</v>
      </c>
      <c r="FL361" t="n">
        <v>40.61597378098217</v>
      </c>
      <c r="FM361" t="n">
        <v>39.39790970136066</v>
      </c>
      <c r="FN361" t="n">
        <v>40.62959463940909</v>
      </c>
      <c r="FO361" t="n">
        <v>40.6560919470959</v>
      </c>
      <c r="HH361" t="n">
        <v>40.792</v>
      </c>
      <c r="ID361" t="n">
        <v>2.93</v>
      </c>
      <c r="IF361" t="n">
        <v>30</v>
      </c>
      <c r="IJ361" t="n">
        <v>106.9004594461936</v>
      </c>
      <c r="IK361" t="n">
        <v>108.291092131781</v>
      </c>
      <c r="IL361" t="n">
        <v>114.3638011652085</v>
      </c>
      <c r="IM361" t="n">
        <v>113.203939775324</v>
      </c>
      <c r="IN361" t="n">
        <v>108.1247040437924</v>
      </c>
      <c r="IO361" t="n">
        <v>111.7189521070367</v>
      </c>
      <c r="IP361" t="n">
        <v>109.736157322363</v>
      </c>
      <c r="IQ361" t="n">
        <v>106.4589448835863</v>
      </c>
      <c r="IR361" t="n">
        <v>114.9406217364159</v>
      </c>
      <c r="IS361" t="n">
        <v>112.1044633731663</v>
      </c>
      <c r="KH361" t="n">
        <v>110.584</v>
      </c>
      <c r="LD361" t="n">
        <v>2.66</v>
      </c>
    </row>
    <row r="362">
      <c r="A362" t="inlineStr">
        <is>
          <t>2026-05-07</t>
        </is>
      </c>
      <c r="B362" t="inlineStr">
        <is>
          <t>Optimum Wellness 37</t>
        </is>
      </c>
      <c r="C362" t="inlineStr">
        <is>
          <t>109326050701 &amp; 209326050701</t>
        </is>
      </c>
      <c r="D362" t="inlineStr">
        <is>
          <t>TCO2</t>
        </is>
      </c>
      <c r="F362" t="n">
        <v>20</v>
      </c>
      <c r="G362" t="n">
        <v>32.5</v>
      </c>
      <c r="H362" t="n">
        <v>682.5</v>
      </c>
      <c r="I362" t="n">
        <v>-617.5</v>
      </c>
      <c r="J362" t="n">
        <v>31.78894266764113</v>
      </c>
      <c r="K362" t="n">
        <v>33.09060095628682</v>
      </c>
      <c r="L362" t="n">
        <v>32.59270688662932</v>
      </c>
      <c r="M362" t="n">
        <v>32.43004389125228</v>
      </c>
      <c r="N362" t="n">
        <v>30.14112118473793</v>
      </c>
      <c r="O362" t="n">
        <v>33.08137194682855</v>
      </c>
      <c r="P362" t="n">
        <v>32.22505356041489</v>
      </c>
      <c r="BH362" t="n">
        <v>32.193</v>
      </c>
      <c r="BS362" t="n">
        <v>-0.95</v>
      </c>
      <c r="CD362" t="n">
        <v>2.92</v>
      </c>
      <c r="CF362" t="n">
        <v>20</v>
      </c>
      <c r="CG362" t="n">
        <v>21.2</v>
      </c>
      <c r="CH362" t="n">
        <v>445.2</v>
      </c>
      <c r="CI362" t="n">
        <v>-402.8</v>
      </c>
      <c r="CJ362" t="n">
        <v>21.5609066057313</v>
      </c>
      <c r="CK362" t="n">
        <v>19.54423842811263</v>
      </c>
      <c r="CL362" t="n">
        <v>23.06616783210429</v>
      </c>
      <c r="CM362" t="n">
        <v>21.21302120277003</v>
      </c>
      <c r="CN362" t="n">
        <v>19.59425522746</v>
      </c>
      <c r="CO362" t="n">
        <v>22.63028754948164</v>
      </c>
      <c r="CP362" t="n">
        <v>22.18598543807844</v>
      </c>
      <c r="CQ362" t="n">
        <v>23.26338681997192</v>
      </c>
      <c r="CR362" t="n">
        <v>20.74430817226549</v>
      </c>
      <c r="CS362" t="n">
        <v>21.69832501676824</v>
      </c>
      <c r="CT362" t="n">
        <v>22.04966282203589</v>
      </c>
      <c r="EH362" t="n">
        <v>21.596</v>
      </c>
      <c r="ES362" t="n">
        <v>1.87</v>
      </c>
      <c r="FD362" t="n">
        <v>5.53</v>
      </c>
      <c r="FF362" t="n">
        <v>20</v>
      </c>
      <c r="FG362" t="n">
        <v>17.3</v>
      </c>
      <c r="FH362" t="n">
        <v>363.3</v>
      </c>
      <c r="FI362" t="n">
        <v>-328.7</v>
      </c>
      <c r="FJ362" t="n">
        <v>20.45702142246071</v>
      </c>
      <c r="FK362" t="n">
        <v>18.52998033807972</v>
      </c>
      <c r="FL362" t="n">
        <v>20.52168478941342</v>
      </c>
      <c r="FM362" t="n">
        <v>19.86995365860898</v>
      </c>
      <c r="FN362" t="n">
        <v>21.93971923469629</v>
      </c>
      <c r="FO362" t="n">
        <v>22.55185438530669</v>
      </c>
      <c r="HH362" t="n">
        <v>20.645</v>
      </c>
      <c r="HS362" t="n">
        <v>19.34</v>
      </c>
      <c r="ID362" t="n">
        <v>6.39</v>
      </c>
      <c r="IF362" t="n">
        <v>20</v>
      </c>
      <c r="IG362" t="n">
        <v>26.7</v>
      </c>
      <c r="IH362" t="n">
        <v>560.6999999999999</v>
      </c>
      <c r="II362" t="n">
        <v>-507.3</v>
      </c>
      <c r="IJ362" t="n">
        <v>29.67326889284872</v>
      </c>
      <c r="IK362" t="n">
        <v>27.2068929021161</v>
      </c>
      <c r="IL362" t="n">
        <v>28.01353267139019</v>
      </c>
      <c r="IM362" t="n">
        <v>27.15043801253398</v>
      </c>
      <c r="IN362" t="n">
        <v>26.54922387326311</v>
      </c>
      <c r="IO362" t="n">
        <v>29.22201506770444</v>
      </c>
      <c r="IP362" t="n">
        <v>28.3349922324764</v>
      </c>
      <c r="IQ362" t="n">
        <v>26.10641268005762</v>
      </c>
      <c r="IR362" t="n">
        <v>31.78032223262702</v>
      </c>
      <c r="IS362" t="n">
        <v>31.09750651725152</v>
      </c>
      <c r="KH362" t="n">
        <v>28.513</v>
      </c>
      <c r="KS362" t="n">
        <v>6.79</v>
      </c>
      <c r="LD362" t="n">
        <v>6.34</v>
      </c>
    </row>
    <row r="363">
      <c r="A363" t="inlineStr">
        <is>
          <t>2026-05-07</t>
        </is>
      </c>
      <c r="B363" t="inlineStr">
        <is>
          <t>Optimum Wellness 37</t>
        </is>
      </c>
      <c r="C363" t="inlineStr">
        <is>
          <t>109326050701 &amp; 209326050701</t>
        </is>
      </c>
      <c r="D363" t="inlineStr">
        <is>
          <t>TRIG</t>
        </is>
      </c>
      <c r="F363" t="n">
        <v>15</v>
      </c>
      <c r="J363" t="n">
        <v>186.3478549679916</v>
      </c>
      <c r="K363" t="n">
        <v>188.7739846368468</v>
      </c>
      <c r="L363" t="n">
        <v>188.9730871235953</v>
      </c>
      <c r="M363" t="n">
        <v>191.1107233268463</v>
      </c>
      <c r="N363" t="n">
        <v>189.5716147612216</v>
      </c>
      <c r="O363" t="n">
        <v>187.8542426257704</v>
      </c>
      <c r="P363" t="n">
        <v>190.4997646697689</v>
      </c>
      <c r="BH363" t="n">
        <v>189.019</v>
      </c>
      <c r="CD363" t="n">
        <v>0.79</v>
      </c>
      <c r="CF363" t="n">
        <v>15</v>
      </c>
      <c r="CJ363" t="n">
        <v>99.13373459925371</v>
      </c>
      <c r="CK363" t="n">
        <v>101.7737146763512</v>
      </c>
      <c r="CL363" t="n">
        <v>98.55433692958802</v>
      </c>
      <c r="CM363" t="n">
        <v>97.90939729907497</v>
      </c>
      <c r="CN363" t="n">
        <v>103.1516684129811</v>
      </c>
      <c r="CO363" t="n">
        <v>101.2229713959527</v>
      </c>
      <c r="CP363" t="n">
        <v>102.1313435085109</v>
      </c>
      <c r="CQ363" t="n">
        <v>102.4872394607047</v>
      </c>
      <c r="CR363" t="n">
        <v>103.1873811456644</v>
      </c>
      <c r="CS363" t="n">
        <v>99.58575756617221</v>
      </c>
      <c r="CT363" t="n">
        <v>98.18984651620887</v>
      </c>
      <c r="EH363" t="n">
        <v>100.666</v>
      </c>
      <c r="FD363" t="n">
        <v>1.92</v>
      </c>
      <c r="FF363" t="n">
        <v>15</v>
      </c>
      <c r="FJ363" t="n">
        <v>114.1099497180209</v>
      </c>
      <c r="FK363" t="n">
        <v>111.8558383562836</v>
      </c>
      <c r="FL363" t="n">
        <v>113.038695759254</v>
      </c>
      <c r="FM363" t="n">
        <v>116.4781566140447</v>
      </c>
      <c r="FN363" t="n">
        <v>112.289606671969</v>
      </c>
      <c r="FO363" t="n">
        <v>114.5442892146762</v>
      </c>
      <c r="HH363" t="n">
        <v>113.719</v>
      </c>
      <c r="ID363" t="n">
        <v>1.36</v>
      </c>
      <c r="IF363" t="n">
        <v>15</v>
      </c>
      <c r="IJ363" t="n">
        <v>217.7286193639691</v>
      </c>
      <c r="IK363" t="n">
        <v>221.9446312300077</v>
      </c>
      <c r="IL363" t="n">
        <v>217.9974703989544</v>
      </c>
      <c r="IM363" t="n">
        <v>216.7962031282439</v>
      </c>
      <c r="IN363" t="n">
        <v>223.3925974234481</v>
      </c>
      <c r="IO363" t="n">
        <v>233.7350834804196</v>
      </c>
      <c r="IP363" t="n">
        <v>220.6348854663558</v>
      </c>
      <c r="IQ363" t="n">
        <v>223.5728718457109</v>
      </c>
      <c r="IR363" t="n">
        <v>217.3128262623275</v>
      </c>
      <c r="IS363" t="n">
        <v>219.933403401961</v>
      </c>
      <c r="KH363" t="n">
        <v>221.305</v>
      </c>
      <c r="LD363" t="n">
        <v>2.15</v>
      </c>
    </row>
    <row r="364">
      <c r="A364" t="inlineStr">
        <is>
          <t>2026-05-06</t>
        </is>
      </c>
      <c r="B364" t="inlineStr">
        <is>
          <t>General Chem 26</t>
        </is>
      </c>
      <c r="C364" t="inlineStr">
        <is>
          <t>205426050601</t>
        </is>
      </c>
      <c r="D364" t="inlineStr">
        <is>
          <t>AMY</t>
        </is>
      </c>
      <c r="F364" t="n">
        <v>10</v>
      </c>
      <c r="G364" t="n">
        <v>78</v>
      </c>
      <c r="H364" t="n">
        <v>858</v>
      </c>
      <c r="I364" t="n">
        <v>-702</v>
      </c>
      <c r="J364" t="n">
        <v>76.89726069016658</v>
      </c>
      <c r="K364" t="n">
        <v>77.35845023167246</v>
      </c>
      <c r="L364" t="n">
        <v>74.78367958897826</v>
      </c>
      <c r="M364" t="n">
        <v>76.41581193178357</v>
      </c>
      <c r="N364" t="n">
        <v>76.86098281461595</v>
      </c>
      <c r="O364" t="n">
        <v>76.4867631140724</v>
      </c>
      <c r="P364" t="n">
        <v>75.41383285268398</v>
      </c>
      <c r="Q364" t="n">
        <v>74.09399270881877</v>
      </c>
      <c r="R364" t="n">
        <v>77.06485675010231</v>
      </c>
      <c r="BH364" t="n">
        <v>76.395</v>
      </c>
      <c r="BS364" t="n">
        <v>-2.06</v>
      </c>
      <c r="CD364" t="n">
        <v>1.41</v>
      </c>
      <c r="CF364" t="n">
        <v>10</v>
      </c>
      <c r="CG364" t="n">
        <v>404</v>
      </c>
      <c r="CH364" t="n">
        <v>4444</v>
      </c>
      <c r="CI364" t="n">
        <v>-3636</v>
      </c>
      <c r="CJ364" t="n">
        <v>415.0230167788905</v>
      </c>
      <c r="CK364" t="n">
        <v>427.2284498274465</v>
      </c>
      <c r="CL364" t="n">
        <v>409.5397044656463</v>
      </c>
      <c r="CM364" t="n">
        <v>405.330419730261</v>
      </c>
      <c r="CN364" t="n">
        <v>399.3931528896407</v>
      </c>
      <c r="CO364" t="n">
        <v>417.6048318289609</v>
      </c>
      <c r="CP364" t="n">
        <v>411.2185314414946</v>
      </c>
      <c r="CQ364" t="n">
        <v>412.8983397734526</v>
      </c>
      <c r="CR364" t="n">
        <v>426.4197604649515</v>
      </c>
      <c r="CS364" t="n">
        <v>418.3551063136272</v>
      </c>
      <c r="CT364" t="n">
        <v>410.1953909929082</v>
      </c>
      <c r="CU364" t="n">
        <v>407.3140953644375</v>
      </c>
      <c r="CV364" t="n">
        <v>407.3485412849459</v>
      </c>
      <c r="EH364" t="n">
        <v>412.913</v>
      </c>
      <c r="ES364" t="n">
        <v>2.21</v>
      </c>
      <c r="FD364" t="n">
        <v>1.86</v>
      </c>
      <c r="FF364" t="n">
        <v>10</v>
      </c>
      <c r="FG364" t="n">
        <v>63</v>
      </c>
      <c r="FH364" t="n">
        <v>693</v>
      </c>
      <c r="FI364" t="n">
        <v>-567</v>
      </c>
      <c r="FJ364" t="n">
        <v>63.41315501639194</v>
      </c>
      <c r="FK364" t="n">
        <v>63.82795066952348</v>
      </c>
      <c r="FL364" t="n">
        <v>62.65219734550443</v>
      </c>
      <c r="FM364" t="n">
        <v>62.96045986956946</v>
      </c>
      <c r="FN364" t="n">
        <v>63.81019715003919</v>
      </c>
      <c r="FO364" t="n">
        <v>62.72815497973444</v>
      </c>
      <c r="FP364" t="n">
        <v>63.26312138594521</v>
      </c>
      <c r="FQ364" t="n">
        <v>63.45892869257433</v>
      </c>
      <c r="FR364" t="n">
        <v>63.37357025336159</v>
      </c>
      <c r="FS364" t="n">
        <v>62.91379948614475</v>
      </c>
      <c r="FT364" t="n">
        <v>63.07920605500097</v>
      </c>
      <c r="HH364" t="n">
        <v>63.226</v>
      </c>
      <c r="HS364" t="n">
        <v>0.36</v>
      </c>
      <c r="ID364" t="n">
        <v>0.6</v>
      </c>
      <c r="IF364" t="n">
        <v>10</v>
      </c>
      <c r="IG364" t="n">
        <v>297</v>
      </c>
      <c r="IH364" t="n">
        <v>3267</v>
      </c>
      <c r="II364" t="n">
        <v>-2673</v>
      </c>
      <c r="IJ364" t="n">
        <v>304.7159357051314</v>
      </c>
      <c r="IK364" t="n">
        <v>302.2933494940476</v>
      </c>
      <c r="IL364" t="n">
        <v>308.703668998405</v>
      </c>
      <c r="IM364" t="n">
        <v>304.2606260874393</v>
      </c>
      <c r="IN364" t="n">
        <v>300.8689103754272</v>
      </c>
      <c r="IO364" t="n">
        <v>303.1684919623881</v>
      </c>
      <c r="IP364" t="n">
        <v>299.9151234123852</v>
      </c>
      <c r="IQ364" t="n">
        <v>307.6325342795695</v>
      </c>
      <c r="IR364" t="n">
        <v>310.981363922624</v>
      </c>
      <c r="IS364" t="n">
        <v>302.5813302582818</v>
      </c>
      <c r="KH364" t="n">
        <v>304.21</v>
      </c>
      <c r="KS364" t="n">
        <v>2.43</v>
      </c>
      <c r="LD364" t="n">
        <v>1.07</v>
      </c>
    </row>
    <row r="365">
      <c r="A365" t="inlineStr">
        <is>
          <t>2026-05-06</t>
        </is>
      </c>
      <c r="B365" t="inlineStr">
        <is>
          <t>General Chem 26</t>
        </is>
      </c>
      <c r="C365" t="inlineStr">
        <is>
          <t>205426050601</t>
        </is>
      </c>
      <c r="D365" t="inlineStr">
        <is>
          <t>AST</t>
        </is>
      </c>
      <c r="F365" t="n">
        <v>15</v>
      </c>
      <c r="G365" t="n">
        <v>44</v>
      </c>
      <c r="H365" t="n">
        <v>704</v>
      </c>
      <c r="I365" t="n">
        <v>-616</v>
      </c>
      <c r="J365" t="n">
        <v>44.44371961673412</v>
      </c>
      <c r="K365" t="n">
        <v>47.23598512867674</v>
      </c>
      <c r="L365" t="n">
        <v>44.03484174169984</v>
      </c>
      <c r="M365" t="n">
        <v>47.26913963148307</v>
      </c>
      <c r="N365" t="n">
        <v>44.71672366091373</v>
      </c>
      <c r="O365" t="n">
        <v>46.72453776328751</v>
      </c>
      <c r="P365" t="n">
        <v>43.84379418518055</v>
      </c>
      <c r="Q365" t="n">
        <v>44.3049435617621</v>
      </c>
      <c r="R365" t="n">
        <v>47.12888749228053</v>
      </c>
      <c r="BH365" t="n">
        <v>45.795</v>
      </c>
      <c r="BS365" t="n">
        <v>4.08</v>
      </c>
      <c r="CD365" t="n">
        <v>3.53</v>
      </c>
      <c r="CF365" t="n">
        <v>15</v>
      </c>
      <c r="CG365" t="n">
        <v>221</v>
      </c>
      <c r="CH365" t="n">
        <v>3536</v>
      </c>
      <c r="CI365" t="n">
        <v>-3094</v>
      </c>
      <c r="CJ365" t="n">
        <v>234.3349029977201</v>
      </c>
      <c r="CK365" t="n">
        <v>239.1556863504851</v>
      </c>
      <c r="CL365" t="n">
        <v>229.7536453626053</v>
      </c>
      <c r="CM365" t="n">
        <v>228.6778294369067</v>
      </c>
      <c r="CN365" t="n">
        <v>220.8935950444155</v>
      </c>
      <c r="CO365" t="n">
        <v>234.618700912087</v>
      </c>
      <c r="CP365" t="n">
        <v>228.1859090538524</v>
      </c>
      <c r="CQ365" t="n">
        <v>230.9814204599296</v>
      </c>
      <c r="CR365" t="n">
        <v>243.0213678988599</v>
      </c>
      <c r="CS365" t="n">
        <v>238.3621391741844</v>
      </c>
      <c r="CT365" t="n">
        <v>227.1932728928506</v>
      </c>
      <c r="CU365" t="n">
        <v>223.52448293661</v>
      </c>
      <c r="CV365" t="n">
        <v>225.9103844942645</v>
      </c>
      <c r="EH365" t="n">
        <v>231.124</v>
      </c>
      <c r="ES365" t="n">
        <v>4.58</v>
      </c>
      <c r="FD365" t="n">
        <v>2.69</v>
      </c>
      <c r="FF365" t="n">
        <v>15</v>
      </c>
      <c r="FG365" t="n">
        <v>45</v>
      </c>
      <c r="FH365" t="n">
        <v>720</v>
      </c>
      <c r="FI365" t="n">
        <v>-630</v>
      </c>
      <c r="FJ365" t="n">
        <v>47.3564617288952</v>
      </c>
      <c r="FK365" t="n">
        <v>46.17272810947134</v>
      </c>
      <c r="FL365" t="n">
        <v>45.30607588070431</v>
      </c>
      <c r="FM365" t="n">
        <v>43.97843303681687</v>
      </c>
      <c r="FN365" t="n">
        <v>47.96746841744964</v>
      </c>
      <c r="FO365" t="n">
        <v>46.7476521463112</v>
      </c>
      <c r="FP365" t="n">
        <v>48.67305596149183</v>
      </c>
      <c r="FQ365" t="n">
        <v>48.5646814580707</v>
      </c>
      <c r="FR365" t="n">
        <v>47.37249173504843</v>
      </c>
      <c r="FS365" t="n">
        <v>47.85484147036802</v>
      </c>
      <c r="FT365" t="n">
        <v>46.29493626357394</v>
      </c>
      <c r="HH365" t="n">
        <v>46.935</v>
      </c>
      <c r="HS365" t="n">
        <v>4.3</v>
      </c>
      <c r="ID365" t="n">
        <v>2.9</v>
      </c>
      <c r="IF365" t="n">
        <v>15</v>
      </c>
      <c r="IG365" t="n">
        <v>282</v>
      </c>
      <c r="IH365" t="n">
        <v>4512</v>
      </c>
      <c r="II365" t="n">
        <v>-3948</v>
      </c>
      <c r="IJ365" t="n">
        <v>291.5060070214602</v>
      </c>
      <c r="IK365" t="n">
        <v>286.3916744002348</v>
      </c>
      <c r="IL365" t="n">
        <v>290.7125643367762</v>
      </c>
      <c r="IM365" t="n">
        <v>292.2626411546493</v>
      </c>
      <c r="IN365" t="n">
        <v>284.7418298718246</v>
      </c>
      <c r="IO365" t="n">
        <v>291.552820767836</v>
      </c>
      <c r="IP365" t="n">
        <v>284.2262159372043</v>
      </c>
      <c r="IQ365" t="n">
        <v>296.0322068823884</v>
      </c>
      <c r="IR365" t="n">
        <v>297.4870782603133</v>
      </c>
      <c r="IS365" t="n">
        <v>283.0160074762254</v>
      </c>
      <c r="KH365" t="n">
        <v>288.049</v>
      </c>
      <c r="KS365" t="n">
        <v>2.14</v>
      </c>
      <c r="LD365" t="n">
        <v>2.03</v>
      </c>
    </row>
    <row r="366">
      <c r="A366" t="inlineStr">
        <is>
          <t>2026-05-06</t>
        </is>
      </c>
      <c r="B366" t="inlineStr">
        <is>
          <t>General Chem 26</t>
        </is>
      </c>
      <c r="C366" t="inlineStr">
        <is>
          <t>205426050601</t>
        </is>
      </c>
      <c r="D366" t="inlineStr">
        <is>
          <t>CHOL</t>
        </is>
      </c>
      <c r="F366" t="n">
        <v>10</v>
      </c>
      <c r="G366" t="n">
        <v>228</v>
      </c>
      <c r="H366" t="n">
        <v>2508</v>
      </c>
      <c r="I366" t="n">
        <v>-2052</v>
      </c>
      <c r="J366" t="n">
        <v>235.5398226832513</v>
      </c>
      <c r="K366" t="n">
        <v>238.2919164987534</v>
      </c>
      <c r="L366" t="n">
        <v>233.8055176572053</v>
      </c>
      <c r="M366" t="n">
        <v>237.1915264661177</v>
      </c>
      <c r="N366" t="n">
        <v>234.0965681912417</v>
      </c>
      <c r="O366" t="n">
        <v>236.4656173240744</v>
      </c>
      <c r="P366" t="n">
        <v>230.7912070691546</v>
      </c>
      <c r="Q366" t="n">
        <v>233.7164395590177</v>
      </c>
      <c r="R366" t="n">
        <v>232.8485657229433</v>
      </c>
      <c r="BH366" t="n">
        <v>234.857</v>
      </c>
      <c r="BS366" t="n">
        <v>3.01</v>
      </c>
      <c r="CD366" t="n">
        <v>0.82</v>
      </c>
      <c r="CF366" t="n">
        <v>10</v>
      </c>
      <c r="CG366" t="n">
        <v>99</v>
      </c>
      <c r="CH366" t="n">
        <v>1089</v>
      </c>
      <c r="CI366" t="n">
        <v>-891</v>
      </c>
      <c r="CJ366" t="n">
        <v>100.6616580726599</v>
      </c>
      <c r="CK366" t="n">
        <v>101.8339270285243</v>
      </c>
      <c r="CL366" t="n">
        <v>101.8018260044741</v>
      </c>
      <c r="CM366" t="n">
        <v>102.1161654992586</v>
      </c>
      <c r="CN366" t="n">
        <v>99.35767505758494</v>
      </c>
      <c r="CO366" t="n">
        <v>102.1716563891948</v>
      </c>
      <c r="CP366" t="n">
        <v>100.7758920200614</v>
      </c>
      <c r="CQ366" t="n">
        <v>102.117977821355</v>
      </c>
      <c r="CR366" t="n">
        <v>102.8810980736161</v>
      </c>
      <c r="CS366" t="n">
        <v>98.96394107797714</v>
      </c>
      <c r="CT366" t="n">
        <v>96.35609277650242</v>
      </c>
      <c r="CU366" t="n">
        <v>99.03688580112301</v>
      </c>
      <c r="CV366" t="n">
        <v>99.32885554441417</v>
      </c>
      <c r="EH366" t="n">
        <v>100.57</v>
      </c>
      <c r="ES366" t="n">
        <v>1.59</v>
      </c>
      <c r="FD366" t="n">
        <v>1.78</v>
      </c>
      <c r="FF366" t="n">
        <v>10</v>
      </c>
      <c r="FG366" t="n">
        <v>115</v>
      </c>
      <c r="FH366" t="n">
        <v>1265</v>
      </c>
      <c r="FI366" t="n">
        <v>-1035</v>
      </c>
      <c r="FJ366" t="n">
        <v>115.6890223374114</v>
      </c>
      <c r="FK366" t="n">
        <v>113.9998390117533</v>
      </c>
      <c r="FL366" t="n">
        <v>112.7885534444524</v>
      </c>
      <c r="FM366" t="n">
        <v>112.5549819584919</v>
      </c>
      <c r="FN366" t="n">
        <v>112.1866583451312</v>
      </c>
      <c r="FO366" t="n">
        <v>113.2928169358922</v>
      </c>
      <c r="FP366" t="n">
        <v>116.254433292287</v>
      </c>
      <c r="FQ366" t="n">
        <v>113.7846416767642</v>
      </c>
      <c r="FR366" t="n">
        <v>114.5647605021251</v>
      </c>
      <c r="FS366" t="n">
        <v>114.0281477624303</v>
      </c>
      <c r="FT366" t="n">
        <v>113.6453889101684</v>
      </c>
      <c r="HH366" t="n">
        <v>113.89</v>
      </c>
      <c r="HS366" t="n">
        <v>-0.97</v>
      </c>
      <c r="ID366" t="n">
        <v>1.05</v>
      </c>
      <c r="IF366" t="n">
        <v>10</v>
      </c>
      <c r="IG366" t="n">
        <v>269</v>
      </c>
      <c r="IH366" t="n">
        <v>2959</v>
      </c>
      <c r="II366" t="n">
        <v>-2421</v>
      </c>
      <c r="IJ366" t="n">
        <v>267.4509603629411</v>
      </c>
      <c r="IK366" t="n">
        <v>265.690735969833</v>
      </c>
      <c r="IL366" t="n">
        <v>275.0958889108834</v>
      </c>
      <c r="IM366" t="n">
        <v>271.8685646897689</v>
      </c>
      <c r="IN366" t="n">
        <v>271.1283868078675</v>
      </c>
      <c r="IO366" t="n">
        <v>268.0077279243259</v>
      </c>
      <c r="IP366" t="n">
        <v>265.3732861232505</v>
      </c>
      <c r="IQ366" t="n">
        <v>270.0655161246333</v>
      </c>
      <c r="IR366" t="n">
        <v>274.6841164606087</v>
      </c>
      <c r="IS366" t="n">
        <v>263.9074692443529</v>
      </c>
      <c r="KH366" t="n">
        <v>268.588</v>
      </c>
      <c r="KS366" t="n">
        <v>-0.15</v>
      </c>
      <c r="LD366" t="n">
        <v>1.46</v>
      </c>
    </row>
    <row r="367">
      <c r="A367" t="inlineStr">
        <is>
          <t>2026-05-06</t>
        </is>
      </c>
      <c r="B367" t="inlineStr">
        <is>
          <t>General Chem 26</t>
        </is>
      </c>
      <c r="C367" t="inlineStr">
        <is>
          <t>205426050601</t>
        </is>
      </c>
      <c r="D367" t="inlineStr">
        <is>
          <t>CK</t>
        </is>
      </c>
      <c r="F367" t="n">
        <v>20</v>
      </c>
      <c r="J367" t="n">
        <v>142.7972873302567</v>
      </c>
      <c r="K367" t="n">
        <v>157.8116315180699</v>
      </c>
      <c r="L367" t="n">
        <v>142.8182014441345</v>
      </c>
      <c r="M367" t="n">
        <v>140.4595612088475</v>
      </c>
      <c r="N367" t="n">
        <v>142.5814748001962</v>
      </c>
      <c r="O367" t="n">
        <v>151.4041495934486</v>
      </c>
      <c r="P367" t="n">
        <v>143.4051573323568</v>
      </c>
      <c r="Q367" t="n">
        <v>137.1872568193187</v>
      </c>
      <c r="R367" t="n">
        <v>152.5635487494097</v>
      </c>
      <c r="BH367" t="n">
        <v>146.322</v>
      </c>
      <c r="CD367" t="n">
        <v>4.5</v>
      </c>
      <c r="CF367" t="n">
        <v>20</v>
      </c>
      <c r="CJ367" t="n">
        <v>544.1456979511286</v>
      </c>
      <c r="CK367" t="n">
        <v>587.3203413577972</v>
      </c>
      <c r="CL367" t="n">
        <v>528.0351460959537</v>
      </c>
      <c r="CM367" t="n">
        <v>532.3184641434606</v>
      </c>
      <c r="CN367" t="n">
        <v>508.2802532472834</v>
      </c>
      <c r="CO367" t="n">
        <v>536.9164599011964</v>
      </c>
      <c r="CP367" t="n">
        <v>508.1218427689428</v>
      </c>
      <c r="CQ367" t="n">
        <v>527.5591259093569</v>
      </c>
      <c r="CR367" t="n">
        <v>568.6519368568049</v>
      </c>
      <c r="CS367" t="n">
        <v>571.8226257628107</v>
      </c>
      <c r="CT367" t="n">
        <v>506.2802001680193</v>
      </c>
      <c r="CU367" t="n">
        <v>508.9344523338157</v>
      </c>
      <c r="CV367" t="n">
        <v>508.5198654577687</v>
      </c>
      <c r="EH367" t="n">
        <v>533.6079999999999</v>
      </c>
      <c r="FD367" t="n">
        <v>4.94</v>
      </c>
      <c r="FF367" t="n">
        <v>20</v>
      </c>
      <c r="FJ367" t="n">
        <v>80.74215661551763</v>
      </c>
      <c r="FK367" t="n">
        <v>76.37482898892678</v>
      </c>
      <c r="FL367" t="n">
        <v>72.78623541261702</v>
      </c>
      <c r="FM367" t="n">
        <v>72.37898285591461</v>
      </c>
      <c r="FN367" t="n">
        <v>78.57073470460119</v>
      </c>
      <c r="FO367" t="n">
        <v>68.54496021057979</v>
      </c>
      <c r="FP367" t="n">
        <v>78.54233664831338</v>
      </c>
      <c r="FQ367" t="n">
        <v>78.44320966687451</v>
      </c>
      <c r="FR367" t="n">
        <v>74.16281546065797</v>
      </c>
      <c r="FS367" t="n">
        <v>71.59620528212515</v>
      </c>
      <c r="FT367" t="n">
        <v>73.45494112058225</v>
      </c>
      <c r="HH367" t="n">
        <v>75.054</v>
      </c>
      <c r="ID367" t="n">
        <v>4.75</v>
      </c>
      <c r="IF367" t="n">
        <v>20</v>
      </c>
      <c r="IJ367" t="n">
        <v>721.7903945836473</v>
      </c>
      <c r="IK367" t="n">
        <v>718.5979041812834</v>
      </c>
      <c r="IL367" t="n">
        <v>683.3496406976295</v>
      </c>
      <c r="IM367" t="n">
        <v>699.1006803518212</v>
      </c>
      <c r="IN367" t="n">
        <v>678.1225709186871</v>
      </c>
      <c r="IO367" t="n">
        <v>714.1278645320672</v>
      </c>
      <c r="IP367" t="n">
        <v>659.0605388142445</v>
      </c>
      <c r="IQ367" t="n">
        <v>708.735075033864</v>
      </c>
      <c r="IR367" t="n">
        <v>751.9297942663146</v>
      </c>
      <c r="IS367" t="n">
        <v>682.4271146501127</v>
      </c>
      <c r="KH367" t="n">
        <v>697.047</v>
      </c>
      <c r="LD367" t="n">
        <v>3.67</v>
      </c>
    </row>
    <row r="368">
      <c r="A368" t="inlineStr">
        <is>
          <t>2026-05-06</t>
        </is>
      </c>
      <c r="B368" t="inlineStr">
        <is>
          <t>General Chem 26</t>
        </is>
      </c>
      <c r="C368" t="inlineStr">
        <is>
          <t>205426050601</t>
        </is>
      </c>
      <c r="D368" t="inlineStr">
        <is>
          <t>Ca</t>
        </is>
      </c>
      <c r="G368" t="n">
        <v>9.1</v>
      </c>
      <c r="J368" t="n">
        <v>9.795096018319892</v>
      </c>
      <c r="K368" t="n">
        <v>9.746154189991358</v>
      </c>
      <c r="L368" t="n">
        <v>9.796716124731098</v>
      </c>
      <c r="M368" t="n">
        <v>9.943080562407292</v>
      </c>
      <c r="N368" t="n">
        <v>9.916080857028497</v>
      </c>
      <c r="O368" t="n">
        <v>9.805438996441836</v>
      </c>
      <c r="P368" t="n">
        <v>9.682946958985831</v>
      </c>
      <c r="Q368" t="n">
        <v>10.15116822865935</v>
      </c>
      <c r="R368" t="n">
        <v>9.712504542433841</v>
      </c>
      <c r="BH368" t="n">
        <v>9.836</v>
      </c>
      <c r="BS368" t="n">
        <v>8.08</v>
      </c>
      <c r="CD368" t="n">
        <v>1.53</v>
      </c>
      <c r="CG368" t="n">
        <v>12.4</v>
      </c>
      <c r="CJ368" t="n">
        <v>12.80092629184319</v>
      </c>
      <c r="CK368" t="n">
        <v>13.20474421697887</v>
      </c>
      <c r="CL368" t="n">
        <v>13.07206409257014</v>
      </c>
      <c r="CM368" t="n">
        <v>13.13716212215423</v>
      </c>
      <c r="CN368" t="n">
        <v>12.92420354589825</v>
      </c>
      <c r="CO368" t="n">
        <v>12.71305897740033</v>
      </c>
      <c r="CP368" t="n">
        <v>12.9449853583097</v>
      </c>
      <c r="CQ368" t="n">
        <v>12.86607359067325</v>
      </c>
      <c r="CR368" t="n">
        <v>12.94193933196932</v>
      </c>
      <c r="CS368" t="n">
        <v>12.98827863501512</v>
      </c>
      <c r="CT368" t="n">
        <v>12.92454159907745</v>
      </c>
      <c r="CU368" t="n">
        <v>13.02145466801485</v>
      </c>
      <c r="CV368" t="n">
        <v>13.29519012041612</v>
      </c>
      <c r="EH368" t="n">
        <v>12.987</v>
      </c>
      <c r="ES368" t="n">
        <v>4.74</v>
      </c>
      <c r="FD368" t="n">
        <v>1.19</v>
      </c>
      <c r="FG368" t="n">
        <v>5.9</v>
      </c>
      <c r="FJ368" t="n">
        <v>6.205136559370929</v>
      </c>
      <c r="FK368" t="n">
        <v>6.029851254948089</v>
      </c>
      <c r="FL368" t="n">
        <v>5.918515789004355</v>
      </c>
      <c r="FM368" t="n">
        <v>5.990104145106877</v>
      </c>
      <c r="FN368" t="n">
        <v>6.002571852822316</v>
      </c>
      <c r="FO368" t="n">
        <v>5.845761689938711</v>
      </c>
      <c r="FP368" t="n">
        <v>5.968657178188718</v>
      </c>
      <c r="FQ368" t="n">
        <v>6.037464554084136</v>
      </c>
      <c r="FR368" t="n">
        <v>6.016122005272632</v>
      </c>
      <c r="FS368" t="n">
        <v>5.887455824256658</v>
      </c>
      <c r="FT368" t="n">
        <v>6.105115232345077</v>
      </c>
      <c r="HH368" t="n">
        <v>6.001</v>
      </c>
      <c r="HS368" t="n">
        <v>1.71</v>
      </c>
      <c r="ID368" t="n">
        <v>1.59</v>
      </c>
      <c r="IG368" t="n">
        <v>12.7</v>
      </c>
      <c r="IJ368" t="n">
        <v>13.06693413674579</v>
      </c>
      <c r="IK368" t="n">
        <v>12.96509406756954</v>
      </c>
      <c r="IL368" t="n">
        <v>13.12983887917657</v>
      </c>
      <c r="IM368" t="n">
        <v>13.16692309610735</v>
      </c>
      <c r="IN368" t="n">
        <v>13.24844449467062</v>
      </c>
      <c r="IO368" t="n">
        <v>13.01074315379883</v>
      </c>
      <c r="IP368" t="n">
        <v>13.03226691302273</v>
      </c>
      <c r="IQ368" t="n">
        <v>12.93773056118886</v>
      </c>
      <c r="IR368" t="n">
        <v>13.1003630608025</v>
      </c>
      <c r="IS368" t="n">
        <v>13.22952327623438</v>
      </c>
      <c r="KH368" t="n">
        <v>13.096</v>
      </c>
      <c r="KS368" t="n">
        <v>3.12</v>
      </c>
      <c r="LD368" t="n">
        <v>0.72</v>
      </c>
    </row>
    <row r="369">
      <c r="A369" t="inlineStr">
        <is>
          <t>2026-05-06</t>
        </is>
      </c>
      <c r="B369" t="inlineStr">
        <is>
          <t>General Chem 26</t>
        </is>
      </c>
      <c r="C369" t="inlineStr">
        <is>
          <t>205426050601</t>
        </is>
      </c>
      <c r="D369" t="inlineStr">
        <is>
          <t>GGT</t>
        </is>
      </c>
      <c r="F369" t="n">
        <v>15</v>
      </c>
      <c r="G369" t="n">
        <v>57</v>
      </c>
      <c r="H369" t="n">
        <v>912</v>
      </c>
      <c r="I369" t="n">
        <v>-798</v>
      </c>
      <c r="J369" t="n">
        <v>64.7355484922504</v>
      </c>
      <c r="K369" t="n">
        <v>66.78185392809793</v>
      </c>
      <c r="L369" t="n">
        <v>62.83787240769018</v>
      </c>
      <c r="M369" t="n">
        <v>65.16634900755801</v>
      </c>
      <c r="N369" t="n">
        <v>65.64572416762972</v>
      </c>
      <c r="O369" t="n">
        <v>64.07873318849319</v>
      </c>
      <c r="P369" t="n">
        <v>61.7619565111646</v>
      </c>
      <c r="Q369" t="n">
        <v>63.50574288940582</v>
      </c>
      <c r="R369" t="n">
        <v>64.97361822362839</v>
      </c>
      <c r="BH369" t="n">
        <v>64.09999999999999</v>
      </c>
      <c r="BS369" t="n">
        <v>12.46</v>
      </c>
      <c r="CD369" t="n">
        <v>2.1</v>
      </c>
      <c r="CF369" t="n">
        <v>15</v>
      </c>
      <c r="CG369" t="n">
        <v>164</v>
      </c>
      <c r="CH369" t="n">
        <v>2624</v>
      </c>
      <c r="CI369" t="n">
        <v>-2296</v>
      </c>
      <c r="CJ369" t="n">
        <v>180.9266898952183</v>
      </c>
      <c r="CK369" t="n">
        <v>187.3866806230374</v>
      </c>
      <c r="CL369" t="n">
        <v>178.7209727348191</v>
      </c>
      <c r="CM369" t="n">
        <v>182.5533346782105</v>
      </c>
      <c r="CN369" t="n">
        <v>173.1583483198399</v>
      </c>
      <c r="CO369" t="n">
        <v>181.2227979481736</v>
      </c>
      <c r="CP369" t="n">
        <v>176.985011422871</v>
      </c>
      <c r="CQ369" t="n">
        <v>182.1193320426161</v>
      </c>
      <c r="CR369" t="n">
        <v>185.3613433399925</v>
      </c>
      <c r="CS369" t="n">
        <v>183.2626046596934</v>
      </c>
      <c r="CT369" t="n">
        <v>173.7845252062476</v>
      </c>
      <c r="CU369" t="n">
        <v>178.8980650963078</v>
      </c>
      <c r="CV369" t="n">
        <v>175.5519220719086</v>
      </c>
      <c r="EH369" t="n">
        <v>179.995</v>
      </c>
      <c r="ES369" t="n">
        <v>9.75</v>
      </c>
      <c r="FD369" t="n">
        <v>2.31</v>
      </c>
      <c r="FF369" t="n">
        <v>15</v>
      </c>
      <c r="FG369" t="n">
        <v>23</v>
      </c>
      <c r="FH369" t="n">
        <v>368</v>
      </c>
      <c r="FI369" t="n">
        <v>-322</v>
      </c>
      <c r="FJ369" t="n">
        <v>26.4837955211481</v>
      </c>
      <c r="FK369" t="n">
        <v>24.83501054208877</v>
      </c>
      <c r="FL369" t="n">
        <v>25.42820413436046</v>
      </c>
      <c r="FM369" t="n">
        <v>26.23746227484978</v>
      </c>
      <c r="FN369" t="n">
        <v>26.0098533624937</v>
      </c>
      <c r="FO369" t="n">
        <v>26.12187803301773</v>
      </c>
      <c r="FP369" t="n">
        <v>27.82330377288699</v>
      </c>
      <c r="FQ369" t="n">
        <v>25.23030742563915</v>
      </c>
      <c r="FR369" t="n">
        <v>25.82510481874256</v>
      </c>
      <c r="FS369" t="n">
        <v>26.20925131340362</v>
      </c>
      <c r="FT369" t="n">
        <v>27.737497845173</v>
      </c>
      <c r="HH369" t="n">
        <v>26.177</v>
      </c>
      <c r="HS369" t="n">
        <v>13.81</v>
      </c>
      <c r="ID369" t="n">
        <v>3.39</v>
      </c>
      <c r="IF369" t="n">
        <v>15</v>
      </c>
      <c r="IG369" t="n">
        <v>126</v>
      </c>
      <c r="IH369" t="n">
        <v>2016</v>
      </c>
      <c r="II369" t="n">
        <v>-1764</v>
      </c>
      <c r="IJ369" t="n">
        <v>139.6751473755815</v>
      </c>
      <c r="IK369" t="n">
        <v>139.7599181814037</v>
      </c>
      <c r="IL369" t="n">
        <v>139.8463564335052</v>
      </c>
      <c r="IM369" t="n">
        <v>137.4369965307999</v>
      </c>
      <c r="IN369" t="n">
        <v>139.2404844710325</v>
      </c>
      <c r="IO369" t="n">
        <v>143.3785922113945</v>
      </c>
      <c r="IP369" t="n">
        <v>138.9788688710501</v>
      </c>
      <c r="IQ369" t="n">
        <v>142.1524183930508</v>
      </c>
      <c r="IR369" t="n">
        <v>144.800874500295</v>
      </c>
      <c r="IS369" t="n">
        <v>138.7583913355736</v>
      </c>
      <c r="KH369" t="n">
        <v>140.051</v>
      </c>
      <c r="KS369" t="n">
        <v>11.15</v>
      </c>
      <c r="LD369" t="n">
        <v>1.53</v>
      </c>
    </row>
    <row r="370">
      <c r="A370" t="inlineStr">
        <is>
          <t>2026-05-06</t>
        </is>
      </c>
      <c r="B370" t="inlineStr">
        <is>
          <t>General Chem 26</t>
        </is>
      </c>
      <c r="C370" t="inlineStr">
        <is>
          <t>205426050601</t>
        </is>
      </c>
      <c r="D370" t="inlineStr">
        <is>
          <t>PHOS</t>
        </is>
      </c>
      <c r="F370" t="n">
        <v>10</v>
      </c>
      <c r="G370" t="n">
        <v>3.3</v>
      </c>
      <c r="H370" t="n">
        <v>36.3</v>
      </c>
      <c r="I370" t="n">
        <v>-29.7</v>
      </c>
      <c r="J370" t="n">
        <v>3.261648898548348</v>
      </c>
      <c r="K370" t="n">
        <v>3.318002707915071</v>
      </c>
      <c r="L370" t="n">
        <v>3.229348304580721</v>
      </c>
      <c r="M370" t="n">
        <v>3.227614350299333</v>
      </c>
      <c r="N370" t="n">
        <v>3.293550382296413</v>
      </c>
      <c r="O370" t="n">
        <v>3.311327307062626</v>
      </c>
      <c r="P370" t="n">
        <v>3.271698330134384</v>
      </c>
      <c r="Q370" t="n">
        <v>3.328772426941314</v>
      </c>
      <c r="R370" t="n">
        <v>3.278920670155282</v>
      </c>
      <c r="BH370" t="n">
        <v>3.28</v>
      </c>
      <c r="BS370" t="n">
        <v>-0.6</v>
      </c>
      <c r="CD370" t="n">
        <v>1.03</v>
      </c>
      <c r="CF370" t="n">
        <v>10</v>
      </c>
      <c r="CG370" t="n">
        <v>7.2</v>
      </c>
      <c r="CH370" t="n">
        <v>79.2</v>
      </c>
      <c r="CI370" t="n">
        <v>-64.8</v>
      </c>
      <c r="CJ370" t="n">
        <v>7.325032944645087</v>
      </c>
      <c r="CK370" t="n">
        <v>7.239531850682598</v>
      </c>
      <c r="CL370" t="n">
        <v>7.285441264142834</v>
      </c>
      <c r="CM370" t="n">
        <v>7.251927506444418</v>
      </c>
      <c r="CN370" t="n">
        <v>7.142005372551892</v>
      </c>
      <c r="CO370" t="n">
        <v>7.389285103170059</v>
      </c>
      <c r="CP370" t="n">
        <v>7.307127925794536</v>
      </c>
      <c r="CQ370" t="n">
        <v>7.325649287512022</v>
      </c>
      <c r="CR370" t="n">
        <v>7.416874662992411</v>
      </c>
      <c r="CS370" t="n">
        <v>7.08923596699088</v>
      </c>
      <c r="CT370" t="n">
        <v>7.236562819486142</v>
      </c>
      <c r="CU370" t="n">
        <v>7.125708752639995</v>
      </c>
      <c r="CV370" t="n">
        <v>7.167370469986091</v>
      </c>
      <c r="EH370" t="n">
        <v>7.254</v>
      </c>
      <c r="ES370" t="n">
        <v>0.75</v>
      </c>
      <c r="FD370" t="n">
        <v>1.34</v>
      </c>
      <c r="FF370" t="n">
        <v>10</v>
      </c>
      <c r="FG370" t="n">
        <v>1.9</v>
      </c>
      <c r="FH370" t="n">
        <v>20.9</v>
      </c>
      <c r="FI370" t="n">
        <v>-17.1</v>
      </c>
      <c r="FJ370" t="n">
        <v>1.999431945920038</v>
      </c>
      <c r="FK370" t="n">
        <v>1.893809782028406</v>
      </c>
      <c r="FL370" t="n">
        <v>2.014779117241756</v>
      </c>
      <c r="FM370" t="n">
        <v>1.965991500914769</v>
      </c>
      <c r="FN370" t="n">
        <v>2.001266226689661</v>
      </c>
      <c r="FO370" t="n">
        <v>1.996335969826344</v>
      </c>
      <c r="FP370" t="n">
        <v>1.986149214727481</v>
      </c>
      <c r="FQ370" t="n">
        <v>1.956448238928199</v>
      </c>
      <c r="FR370" t="n">
        <v>1.985906606565651</v>
      </c>
      <c r="FS370" t="n">
        <v>1.981683451902102</v>
      </c>
      <c r="FT370" t="n">
        <v>1.938884099110079</v>
      </c>
      <c r="HH370" t="n">
        <v>1.975</v>
      </c>
      <c r="HS370" t="n">
        <v>3.93</v>
      </c>
      <c r="ID370" t="n">
        <v>1.67</v>
      </c>
      <c r="IF370" t="n">
        <v>10</v>
      </c>
      <c r="IG370" t="n">
        <v>7.2</v>
      </c>
      <c r="IH370" t="n">
        <v>79.2</v>
      </c>
      <c r="II370" t="n">
        <v>-64.8</v>
      </c>
      <c r="IJ370" t="n">
        <v>7.385568194137614</v>
      </c>
      <c r="IK370" t="n">
        <v>7.261086830833676</v>
      </c>
      <c r="IL370" t="n">
        <v>7.406985480868409</v>
      </c>
      <c r="IM370" t="n">
        <v>7.426078709716031</v>
      </c>
      <c r="IN370" t="n">
        <v>7.366996638067604</v>
      </c>
      <c r="IO370" t="n">
        <v>7.480168461621286</v>
      </c>
      <c r="IP370" t="n">
        <v>7.272697278391787</v>
      </c>
      <c r="IQ370" t="n">
        <v>7.448177977090528</v>
      </c>
      <c r="IR370" t="n">
        <v>7.460353349875049</v>
      </c>
      <c r="IS370" t="n">
        <v>7.463206258755005</v>
      </c>
      <c r="KH370" t="n">
        <v>7.388</v>
      </c>
      <c r="KS370" t="n">
        <v>2.62</v>
      </c>
      <c r="LD370" t="n">
        <v>0.9399999999999999</v>
      </c>
    </row>
    <row r="371">
      <c r="A371" t="inlineStr">
        <is>
          <t>2026-05-06</t>
        </is>
      </c>
      <c r="B371" t="inlineStr">
        <is>
          <t>General Chem 26</t>
        </is>
      </c>
      <c r="C371" t="inlineStr">
        <is>
          <t>205426050601</t>
        </is>
      </c>
      <c r="D371" t="inlineStr">
        <is>
          <t>TBIL</t>
        </is>
      </c>
      <c r="F371" t="n">
        <v>20</v>
      </c>
      <c r="G371" t="n">
        <v>1.1</v>
      </c>
      <c r="H371" t="n">
        <v>23.1</v>
      </c>
      <c r="I371" t="n">
        <v>-20.9</v>
      </c>
      <c r="J371" t="n">
        <v>1.408920292630462</v>
      </c>
      <c r="K371" t="n">
        <v>1.386312029297667</v>
      </c>
      <c r="L371" t="n">
        <v>1.407306431093997</v>
      </c>
      <c r="M371" t="n">
        <v>1.436408678036476</v>
      </c>
      <c r="N371" t="n">
        <v>1.476324736885529</v>
      </c>
      <c r="O371" t="n">
        <v>1.41930602376228</v>
      </c>
      <c r="P371" t="n">
        <v>1.431620605387774</v>
      </c>
      <c r="Q371" t="n">
        <v>1.425415858348821</v>
      </c>
      <c r="R371" t="n">
        <v>1.444101791651451</v>
      </c>
      <c r="BH371" t="n">
        <v>1.42</v>
      </c>
      <c r="BS371" t="n">
        <v>29.05</v>
      </c>
      <c r="CD371" t="n">
        <v>2.32</v>
      </c>
      <c r="CF371" t="n">
        <v>20</v>
      </c>
      <c r="CG371" t="n">
        <v>5.1</v>
      </c>
      <c r="CH371" t="n">
        <v>107.1</v>
      </c>
      <c r="CI371" t="n">
        <v>-96.89999999999999</v>
      </c>
      <c r="CJ371" t="n">
        <v>5.441853180205467</v>
      </c>
      <c r="CK371" t="n">
        <v>5.489786902854927</v>
      </c>
      <c r="CL371" t="n">
        <v>5.455503849468842</v>
      </c>
      <c r="CM371" t="n">
        <v>5.449642628027927</v>
      </c>
      <c r="CN371" t="n">
        <v>5.397709502321648</v>
      </c>
      <c r="CO371" t="n">
        <v>5.40153168095266</v>
      </c>
      <c r="CP371" t="n">
        <v>5.3336971563739</v>
      </c>
      <c r="CQ371" t="n">
        <v>5.308197748776722</v>
      </c>
      <c r="CR371" t="n">
        <v>5.418001677654752</v>
      </c>
      <c r="CS371" t="n">
        <v>5.287031096637815</v>
      </c>
      <c r="CT371" t="n">
        <v>5.237259810367759</v>
      </c>
      <c r="CU371" t="n">
        <v>5.21259173520642</v>
      </c>
      <c r="CV371" t="n">
        <v>5.27019419469517</v>
      </c>
      <c r="EH371" t="n">
        <v>5.362</v>
      </c>
      <c r="ES371" t="n">
        <v>5.13</v>
      </c>
      <c r="FD371" t="n">
        <v>1.64</v>
      </c>
      <c r="FF371" t="n">
        <v>20</v>
      </c>
      <c r="FG371" t="n">
        <v>0.8</v>
      </c>
      <c r="FH371" t="n">
        <v>16.8</v>
      </c>
      <c r="FI371" t="n">
        <v>-15.2</v>
      </c>
      <c r="FJ371" t="n">
        <v>0.8045370524781523</v>
      </c>
      <c r="FK371" t="n">
        <v>0.7406059566201577</v>
      </c>
      <c r="FL371" t="n">
        <v>0.7680468624311168</v>
      </c>
      <c r="FM371" t="n">
        <v>0.8157188735534637</v>
      </c>
      <c r="FN371" t="n">
        <v>0.8270623651474169</v>
      </c>
      <c r="FO371" t="n">
        <v>0.772104239757911</v>
      </c>
      <c r="FP371" t="n">
        <v>0.7972541474493768</v>
      </c>
      <c r="FQ371" t="n">
        <v>0.8246166774510346</v>
      </c>
      <c r="FR371" t="n">
        <v>0.7462889504683403</v>
      </c>
      <c r="FS371" t="n">
        <v>0.8402159679681764</v>
      </c>
      <c r="FT371" t="n">
        <v>0.8234206576865315</v>
      </c>
      <c r="HH371" t="n">
        <v>0.796</v>
      </c>
      <c r="HS371" t="n">
        <v>-0.46</v>
      </c>
      <c r="ID371" t="n">
        <v>4.12</v>
      </c>
      <c r="IF371" t="n">
        <v>20</v>
      </c>
      <c r="IG371" t="n">
        <v>8.4</v>
      </c>
      <c r="IH371" t="n">
        <v>176.4</v>
      </c>
      <c r="II371" t="n">
        <v>-159.6</v>
      </c>
      <c r="IJ371" t="n">
        <v>8.608099382816226</v>
      </c>
      <c r="IK371" t="n">
        <v>8.556831729047223</v>
      </c>
      <c r="IL371" t="n">
        <v>8.779250584395825</v>
      </c>
      <c r="IM371" t="n">
        <v>8.761816863117613</v>
      </c>
      <c r="IN371" t="n">
        <v>8.717502809942317</v>
      </c>
      <c r="IO371" t="n">
        <v>8.747998628641893</v>
      </c>
      <c r="IP371" t="n">
        <v>8.603651925694644</v>
      </c>
      <c r="IQ371" t="n">
        <v>8.800536816706449</v>
      </c>
      <c r="IR371" t="n">
        <v>8.710470872826026</v>
      </c>
      <c r="IS371" t="n">
        <v>8.667480523797023</v>
      </c>
      <c r="KH371" t="n">
        <v>8.680999999999999</v>
      </c>
      <c r="KS371" t="n">
        <v>3.34</v>
      </c>
      <c r="LD371" t="n">
        <v>0.97</v>
      </c>
    </row>
    <row r="372">
      <c r="A372" t="inlineStr">
        <is>
          <t>2026-05-06</t>
        </is>
      </c>
      <c r="B372" t="inlineStr">
        <is>
          <t>General Chem 26</t>
        </is>
      </c>
      <c r="C372" t="inlineStr">
        <is>
          <t>105326050601</t>
        </is>
      </c>
      <c r="D372" t="inlineStr">
        <is>
          <t>ALB</t>
        </is>
      </c>
      <c r="F372" t="n">
        <v>8</v>
      </c>
      <c r="G372" t="n">
        <v>4.2</v>
      </c>
      <c r="H372" t="n">
        <v>37.8</v>
      </c>
      <c r="I372" t="n">
        <v>-29.4</v>
      </c>
      <c r="J372" t="n">
        <v>3.969365877117507</v>
      </c>
      <c r="K372" t="n">
        <v>3.961954296189374</v>
      </c>
      <c r="L372" t="n">
        <v>3.9910425907491</v>
      </c>
      <c r="M372" t="n">
        <v>4.10769004770683</v>
      </c>
      <c r="N372" t="n">
        <v>3.973975073648389</v>
      </c>
      <c r="O372" t="n">
        <v>4.06815118755657</v>
      </c>
      <c r="P372" t="n">
        <v>4.02794466155898</v>
      </c>
      <c r="Q372" t="n">
        <v>4.078494075525223</v>
      </c>
      <c r="R372" t="n">
        <v>4.021438716586317</v>
      </c>
      <c r="BH372" t="n">
        <v>4.026</v>
      </c>
      <c r="BS372" t="n">
        <v>-4.15</v>
      </c>
      <c r="CD372" t="n">
        <v>1.21</v>
      </c>
      <c r="CF372" t="n">
        <v>8</v>
      </c>
      <c r="CG372" t="n">
        <v>2.7</v>
      </c>
      <c r="CH372" t="n">
        <v>24.3</v>
      </c>
      <c r="CI372" t="n">
        <v>-18.9</v>
      </c>
      <c r="CJ372" t="n">
        <v>2.661555986805774</v>
      </c>
      <c r="CK372" t="n">
        <v>2.714314944307098</v>
      </c>
      <c r="CL372" t="n">
        <v>2.678197397962805</v>
      </c>
      <c r="CM372" t="n">
        <v>2.754134114354712</v>
      </c>
      <c r="CN372" t="n">
        <v>2.671571364092793</v>
      </c>
      <c r="CO372" t="n">
        <v>2.663255369436677</v>
      </c>
      <c r="CP372" t="n">
        <v>2.629651054318995</v>
      </c>
      <c r="CQ372" t="n">
        <v>2.716794809452066</v>
      </c>
      <c r="CR372" t="n">
        <v>2.67171294931602</v>
      </c>
      <c r="CS372" t="n">
        <v>2.687891352269735</v>
      </c>
      <c r="CT372" t="n">
        <v>2.672962057231195</v>
      </c>
      <c r="CU372" t="n">
        <v>2.676958356202055</v>
      </c>
      <c r="CV372" t="n">
        <v>2.702280690234224</v>
      </c>
      <c r="EH372" t="n">
        <v>2.685</v>
      </c>
      <c r="ES372" t="n">
        <v>-0.57</v>
      </c>
      <c r="FD372" t="n">
        <v>1.12</v>
      </c>
      <c r="FF372" t="n">
        <v>8</v>
      </c>
      <c r="FG372" t="n">
        <v>2.6</v>
      </c>
      <c r="FH372" t="n">
        <v>23.4</v>
      </c>
      <c r="FI372" t="n">
        <v>-18.2</v>
      </c>
      <c r="FJ372" t="n">
        <v>2.518434994527466</v>
      </c>
      <c r="FK372" t="n">
        <v>2.51481521853957</v>
      </c>
      <c r="FL372" t="n">
        <v>2.451057592730814</v>
      </c>
      <c r="FM372" t="n">
        <v>2.483018654210507</v>
      </c>
      <c r="FN372" t="n">
        <v>2.48968443505233</v>
      </c>
      <c r="FO372" t="n">
        <v>2.609659581648846</v>
      </c>
      <c r="FP372" t="n">
        <v>2.524050864753675</v>
      </c>
      <c r="FQ372" t="n">
        <v>2.517710906497835</v>
      </c>
      <c r="FR372" t="n">
        <v>2.513817787930438</v>
      </c>
      <c r="FS372" t="n">
        <v>2.532351722728553</v>
      </c>
      <c r="FT372" t="n">
        <v>2.45168392852731</v>
      </c>
      <c r="HH372" t="n">
        <v>2.51</v>
      </c>
      <c r="HS372" t="n">
        <v>-3.47</v>
      </c>
      <c r="ID372" t="n">
        <v>1.65</v>
      </c>
      <c r="IF372" t="n">
        <v>8</v>
      </c>
      <c r="IG372" t="n">
        <v>4.2</v>
      </c>
      <c r="IH372" t="n">
        <v>37.8</v>
      </c>
      <c r="II372" t="n">
        <v>-29.4</v>
      </c>
      <c r="IJ372" t="n">
        <v>4.00973869635049</v>
      </c>
      <c r="IK372" t="n">
        <v>4.01097293680606</v>
      </c>
      <c r="IL372" t="n">
        <v>4.064403453420204</v>
      </c>
      <c r="IM372" t="n">
        <v>4.024049565124765</v>
      </c>
      <c r="IN372" t="n">
        <v>4.103585376262719</v>
      </c>
      <c r="IO372" t="n">
        <v>4.095225081540273</v>
      </c>
      <c r="IP372" t="n">
        <v>4.122327242786822</v>
      </c>
      <c r="IQ372" t="n">
        <v>4.00766278707624</v>
      </c>
      <c r="IR372" t="n">
        <v>4.045411945503927</v>
      </c>
      <c r="IS372" t="n">
        <v>4.053702331512119</v>
      </c>
      <c r="KH372" t="n">
        <v>4.049</v>
      </c>
      <c r="KS372" t="n">
        <v>-3.6</v>
      </c>
      <c r="LD372" t="n">
        <v>1.11</v>
      </c>
    </row>
    <row r="373">
      <c r="A373" t="inlineStr">
        <is>
          <t>2026-05-06</t>
        </is>
      </c>
      <c r="B373" t="inlineStr">
        <is>
          <t>General Chem 26</t>
        </is>
      </c>
      <c r="C373" t="inlineStr">
        <is>
          <t>105326050601</t>
        </is>
      </c>
      <c r="D373" t="inlineStr">
        <is>
          <t>ALP</t>
        </is>
      </c>
      <c r="F373" t="n">
        <v>20</v>
      </c>
      <c r="G373" t="n">
        <v>136</v>
      </c>
      <c r="H373" t="n">
        <v>2856</v>
      </c>
      <c r="I373" t="n">
        <v>-2584</v>
      </c>
      <c r="J373" t="n">
        <v>144.3905392296927</v>
      </c>
      <c r="K373" t="n">
        <v>143.9243648670601</v>
      </c>
      <c r="L373" t="n">
        <v>145.6619572187205</v>
      </c>
      <c r="M373" t="n">
        <v>145.7020410670414</v>
      </c>
      <c r="N373" t="n">
        <v>145.3373212191441</v>
      </c>
      <c r="O373" t="n">
        <v>144.5467588574703</v>
      </c>
      <c r="P373" t="n">
        <v>144.9065799931099</v>
      </c>
      <c r="Q373" t="n">
        <v>144.8484211737369</v>
      </c>
      <c r="R373" t="n">
        <v>144.9933941368888</v>
      </c>
      <c r="BH373" t="n">
        <v>144.596</v>
      </c>
      <c r="BS373" t="n">
        <v>6.32</v>
      </c>
      <c r="CD373" t="n">
        <v>0.6</v>
      </c>
      <c r="CF373" t="n">
        <v>20</v>
      </c>
      <c r="CG373" t="n">
        <v>456</v>
      </c>
      <c r="CH373" t="n">
        <v>9576</v>
      </c>
      <c r="CI373" t="n">
        <v>-8664</v>
      </c>
      <c r="CJ373" t="n">
        <v>454.7213194985516</v>
      </c>
      <c r="CK373" t="n">
        <v>456.8692782541882</v>
      </c>
      <c r="CL373" t="n">
        <v>455.3892137566871</v>
      </c>
      <c r="CM373" t="n">
        <v>459.8368621116757</v>
      </c>
      <c r="CN373" t="n">
        <v>449.2833607534888</v>
      </c>
      <c r="CO373" t="n">
        <v>463.3042676251707</v>
      </c>
      <c r="CP373" t="n">
        <v>457.5914044527576</v>
      </c>
      <c r="CQ373" t="n">
        <v>454.4733430263864</v>
      </c>
      <c r="CR373" t="n">
        <v>467.0642835804566</v>
      </c>
      <c r="CS373" t="n">
        <v>464.1386222815857</v>
      </c>
      <c r="CT373" t="n">
        <v>463.4232220278418</v>
      </c>
      <c r="CU373" t="n">
        <v>453.6906101903489</v>
      </c>
      <c r="CV373" t="n">
        <v>449.0538652754267</v>
      </c>
      <c r="EH373" t="n">
        <v>457.603</v>
      </c>
      <c r="ES373" t="n">
        <v>0.35</v>
      </c>
      <c r="FD373" t="n">
        <v>1.19</v>
      </c>
      <c r="FF373" t="n">
        <v>20</v>
      </c>
      <c r="FG373" t="n">
        <v>75</v>
      </c>
      <c r="FH373" t="n">
        <v>1575</v>
      </c>
      <c r="FI373" t="n">
        <v>-1425</v>
      </c>
      <c r="FJ373" t="n">
        <v>76.34881866098505</v>
      </c>
      <c r="FK373" t="n">
        <v>76.21567272742172</v>
      </c>
      <c r="FL373" t="n">
        <v>75.77446833346828</v>
      </c>
      <c r="FM373" t="n">
        <v>76.88742393263225</v>
      </c>
      <c r="FN373" t="n">
        <v>76.70632639623568</v>
      </c>
      <c r="FO373" t="n">
        <v>76.37383320030287</v>
      </c>
      <c r="FP373" t="n">
        <v>75.94136744749662</v>
      </c>
      <c r="FQ373" t="n">
        <v>76.04235459048505</v>
      </c>
      <c r="FR373" t="n">
        <v>76.55921216879946</v>
      </c>
      <c r="FS373" t="n">
        <v>76.03604952982585</v>
      </c>
      <c r="FT373" t="n">
        <v>76.59150344345031</v>
      </c>
      <c r="HH373" t="n">
        <v>76.316</v>
      </c>
      <c r="HS373" t="n">
        <v>1.75</v>
      </c>
      <c r="ID373" t="n">
        <v>0.44</v>
      </c>
      <c r="IF373" t="n">
        <v>20</v>
      </c>
      <c r="IG373" t="n">
        <v>251</v>
      </c>
      <c r="IH373" t="n">
        <v>5271</v>
      </c>
      <c r="II373" t="n">
        <v>-4769</v>
      </c>
      <c r="IJ373" t="n">
        <v>226.880570613069</v>
      </c>
      <c r="IK373" t="n">
        <v>226.3960430902388</v>
      </c>
      <c r="IL373" t="n">
        <v>227.7570461491364</v>
      </c>
      <c r="IM373" t="n">
        <v>228.5341715412703</v>
      </c>
      <c r="IN373" t="n">
        <v>226.1511012038221</v>
      </c>
      <c r="IO373" t="n">
        <v>230.4307983339623</v>
      </c>
      <c r="IP373" t="n">
        <v>226.0151471303334</v>
      </c>
      <c r="IQ373" t="n">
        <v>230.8098664981836</v>
      </c>
      <c r="IR373" t="n">
        <v>231.9904062289532</v>
      </c>
      <c r="IS373" t="n">
        <v>230.9767664689466</v>
      </c>
      <c r="KH373" t="n">
        <v>228.564</v>
      </c>
      <c r="KS373" t="n">
        <v>-8.94</v>
      </c>
      <c r="LD373" t="n">
        <v>0.87</v>
      </c>
    </row>
    <row r="374">
      <c r="A374" t="inlineStr">
        <is>
          <t>2026-05-06</t>
        </is>
      </c>
      <c r="B374" t="inlineStr">
        <is>
          <t>General Chem 26</t>
        </is>
      </c>
      <c r="C374" t="inlineStr">
        <is>
          <t>105326050601</t>
        </is>
      </c>
      <c r="D374" t="inlineStr">
        <is>
          <t>ALT</t>
        </is>
      </c>
      <c r="F374" t="n">
        <v>15</v>
      </c>
      <c r="G374" t="n">
        <v>28</v>
      </c>
      <c r="H374" t="n">
        <v>448</v>
      </c>
      <c r="I374" t="n">
        <v>-392</v>
      </c>
      <c r="J374" t="n">
        <v>26.19100545602471</v>
      </c>
      <c r="K374" t="n">
        <v>23.80333141959354</v>
      </c>
      <c r="L374" t="n">
        <v>29.1454630358204</v>
      </c>
      <c r="M374" t="n">
        <v>23.75640519905522</v>
      </c>
      <c r="N374" t="n">
        <v>28.46247739774623</v>
      </c>
      <c r="O374" t="n">
        <v>28.38871867574278</v>
      </c>
      <c r="P374" t="n">
        <v>25.99384422456735</v>
      </c>
      <c r="Q374" t="n">
        <v>26.77611430258517</v>
      </c>
      <c r="R374" t="n">
        <v>26.99458771540522</v>
      </c>
      <c r="BH374" t="n">
        <v>26.514</v>
      </c>
      <c r="BS374" t="n">
        <v>-5.31</v>
      </c>
      <c r="CD374" t="n">
        <v>5.96</v>
      </c>
      <c r="CF374" t="n">
        <v>15</v>
      </c>
      <c r="CG374" t="n">
        <v>115</v>
      </c>
      <c r="CH374" t="n">
        <v>1840</v>
      </c>
      <c r="CI374" t="n">
        <v>-1610</v>
      </c>
      <c r="CJ374" t="n">
        <v>119.4496038230453</v>
      </c>
      <c r="CK374" t="n">
        <v>122.9052550882844</v>
      </c>
      <c r="CL374" t="n">
        <v>117.3468314103417</v>
      </c>
      <c r="CM374" t="n">
        <v>121.7827672505754</v>
      </c>
      <c r="CN374" t="n">
        <v>121.551402320844</v>
      </c>
      <c r="CO374" t="n">
        <v>125.4332789518558</v>
      </c>
      <c r="CP374" t="n">
        <v>119.7109614848666</v>
      </c>
      <c r="CQ374" t="n">
        <v>122.3059016338277</v>
      </c>
      <c r="CR374" t="n">
        <v>124.421418331439</v>
      </c>
      <c r="CS374" t="n">
        <v>123.0081042496999</v>
      </c>
      <c r="CT374" t="n">
        <v>123.9255809582644</v>
      </c>
      <c r="CU374" t="n">
        <v>118.6357729246569</v>
      </c>
      <c r="CV374" t="n">
        <v>119.3218006663625</v>
      </c>
      <c r="EH374" t="n">
        <v>121.523</v>
      </c>
      <c r="ES374" t="n">
        <v>5.67</v>
      </c>
      <c r="FD374" t="n">
        <v>1.94</v>
      </c>
      <c r="FF374" t="n">
        <v>15</v>
      </c>
      <c r="FG374" t="n">
        <v>26</v>
      </c>
      <c r="FH374" t="n">
        <v>416</v>
      </c>
      <c r="FI374" t="n">
        <v>-364</v>
      </c>
      <c r="FJ374" t="n">
        <v>26.2702088090208</v>
      </c>
      <c r="FK374" t="n">
        <v>20.88844412912742</v>
      </c>
      <c r="FL374" t="n">
        <v>23.12153142037828</v>
      </c>
      <c r="FM374" t="n">
        <v>25.5709407745081</v>
      </c>
      <c r="FN374" t="n">
        <v>26.76603391428054</v>
      </c>
      <c r="FO374" t="n">
        <v>22.51060275002619</v>
      </c>
      <c r="FP374" t="n">
        <v>23.3760790963068</v>
      </c>
      <c r="FQ374" t="n">
        <v>22.14833875610373</v>
      </c>
      <c r="FR374" t="n">
        <v>21.44609978017897</v>
      </c>
      <c r="FS374" t="n">
        <v>24.46182838874898</v>
      </c>
      <c r="FT374" t="n">
        <v>24.97858354457057</v>
      </c>
      <c r="HH374" t="n">
        <v>23.776</v>
      </c>
      <c r="HS374" t="n">
        <v>-8.550000000000001</v>
      </c>
      <c r="ID374" t="n">
        <v>7.91</v>
      </c>
      <c r="IF374" t="n">
        <v>15</v>
      </c>
      <c r="IG374" t="n">
        <v>217</v>
      </c>
      <c r="IH374" t="n">
        <v>3472</v>
      </c>
      <c r="II374" t="n">
        <v>-3038</v>
      </c>
      <c r="IJ374" t="n">
        <v>216.721206410552</v>
      </c>
      <c r="IK374" t="n">
        <v>207.1856304076387</v>
      </c>
      <c r="IL374" t="n">
        <v>207.9614543188438</v>
      </c>
      <c r="IM374" t="n">
        <v>211.2957862399331</v>
      </c>
      <c r="IN374" t="n">
        <v>212.6877686750138</v>
      </c>
      <c r="IO374" t="n">
        <v>212.8517485142754</v>
      </c>
      <c r="IP374" t="n">
        <v>208.1526769220922</v>
      </c>
      <c r="IQ374" t="n">
        <v>196.8988318687415</v>
      </c>
      <c r="IR374" t="n">
        <v>213.7054676021071</v>
      </c>
      <c r="IS374" t="n">
        <v>213.4348237345023</v>
      </c>
      <c r="KH374" t="n">
        <v>210.323</v>
      </c>
      <c r="KS374" t="n">
        <v>-3.08</v>
      </c>
      <c r="LD374" t="n">
        <v>2.3</v>
      </c>
    </row>
    <row r="375">
      <c r="A375" t="inlineStr">
        <is>
          <t>2026-05-06</t>
        </is>
      </c>
      <c r="B375" t="inlineStr">
        <is>
          <t>General Chem 26</t>
        </is>
      </c>
      <c r="C375" t="inlineStr">
        <is>
          <t>105326050601</t>
        </is>
      </c>
      <c r="D375" t="inlineStr">
        <is>
          <t>BUN</t>
        </is>
      </c>
      <c r="F375" t="n">
        <v>9</v>
      </c>
      <c r="G375" t="n">
        <v>14.8</v>
      </c>
      <c r="H375" t="n">
        <v>148</v>
      </c>
      <c r="I375" t="n">
        <v>-118.4</v>
      </c>
      <c r="J375" t="n">
        <v>14.66326935883645</v>
      </c>
      <c r="K375" t="n">
        <v>14.25761554885517</v>
      </c>
      <c r="L375" t="n">
        <v>14.40948568007411</v>
      </c>
      <c r="M375" t="n">
        <v>14.16881793061446</v>
      </c>
      <c r="N375" t="n">
        <v>14.59598989442702</v>
      </c>
      <c r="O375" t="n">
        <v>14.3988630224453</v>
      </c>
      <c r="P375" t="n">
        <v>14.23262377322625</v>
      </c>
      <c r="Q375" t="n">
        <v>14.07668715902254</v>
      </c>
      <c r="R375" t="n">
        <v>14.32959857427111</v>
      </c>
      <c r="BH375" t="n">
        <v>14.311</v>
      </c>
      <c r="BS375" t="n">
        <v>-3.3</v>
      </c>
      <c r="CD375" t="n">
        <v>1.17</v>
      </c>
      <c r="CF375" t="n">
        <v>9</v>
      </c>
      <c r="CG375" t="n">
        <v>44.7</v>
      </c>
      <c r="CH375" t="n">
        <v>447</v>
      </c>
      <c r="CI375" t="n">
        <v>-357.6</v>
      </c>
      <c r="CJ375" t="n">
        <v>43.98930288103374</v>
      </c>
      <c r="CK375" t="n">
        <v>44.23840572175187</v>
      </c>
      <c r="CL375" t="n">
        <v>43.61184013509643</v>
      </c>
      <c r="CM375" t="n">
        <v>43.26927026726305</v>
      </c>
      <c r="CN375" t="n">
        <v>43.65242273855471</v>
      </c>
      <c r="CO375" t="n">
        <v>43.64751747442539</v>
      </c>
      <c r="CP375" t="n">
        <v>43.85244195897641</v>
      </c>
      <c r="CQ375" t="n">
        <v>42.93966949000318</v>
      </c>
      <c r="CR375" t="n">
        <v>43.51170096917141</v>
      </c>
      <c r="CS375" t="n">
        <v>43.22678906134171</v>
      </c>
      <c r="CT375" t="n">
        <v>43.0536600288688</v>
      </c>
      <c r="CU375" t="n">
        <v>43.01800703560177</v>
      </c>
      <c r="CV375" t="n">
        <v>43.45221779352066</v>
      </c>
      <c r="EH375" t="n">
        <v>43.497</v>
      </c>
      <c r="ES375" t="n">
        <v>-2.69</v>
      </c>
      <c r="FD375" t="n">
        <v>0.87</v>
      </c>
      <c r="FF375" t="n">
        <v>9</v>
      </c>
      <c r="FG375" t="n">
        <v>14.7</v>
      </c>
      <c r="FH375" t="n">
        <v>147</v>
      </c>
      <c r="FI375" t="n">
        <v>-117.6</v>
      </c>
      <c r="FJ375" t="n">
        <v>14.54099315365461</v>
      </c>
      <c r="FK375" t="n">
        <v>14.35373786248282</v>
      </c>
      <c r="FL375" t="n">
        <v>14.14588969906764</v>
      </c>
      <c r="FM375" t="n">
        <v>14.20509480476005</v>
      </c>
      <c r="FN375" t="n">
        <v>14.49826967786515</v>
      </c>
      <c r="FO375" t="n">
        <v>14.254607754597</v>
      </c>
      <c r="FP375" t="n">
        <v>14.49119691114429</v>
      </c>
      <c r="FQ375" t="n">
        <v>14.32774768977821</v>
      </c>
      <c r="FR375" t="n">
        <v>14.24511469154489</v>
      </c>
      <c r="FS375" t="n">
        <v>14.02152178128138</v>
      </c>
      <c r="FT375" t="n">
        <v>14.27015270098418</v>
      </c>
      <c r="HH375" t="n">
        <v>14.305</v>
      </c>
      <c r="HS375" t="n">
        <v>-2.69</v>
      </c>
      <c r="ID375" t="n">
        <v>1.06</v>
      </c>
      <c r="IF375" t="n">
        <v>9</v>
      </c>
      <c r="IG375" t="n">
        <v>65.7</v>
      </c>
      <c r="IH375" t="n">
        <v>657</v>
      </c>
      <c r="II375" t="n">
        <v>-525.6</v>
      </c>
      <c r="IJ375" t="n">
        <v>64.99998546946047</v>
      </c>
      <c r="IK375" t="n">
        <v>63.17644199694166</v>
      </c>
      <c r="IL375" t="n">
        <v>63.12087564270648</v>
      </c>
      <c r="IM375" t="n">
        <v>65.10830901564022</v>
      </c>
      <c r="IN375" t="n">
        <v>64.29194234994974</v>
      </c>
      <c r="IO375" t="n">
        <v>63.83593358806291</v>
      </c>
      <c r="IP375" t="n">
        <v>62.65616122351818</v>
      </c>
      <c r="IQ375" t="n">
        <v>64.05295758264876</v>
      </c>
      <c r="IR375" t="n">
        <v>63.79663792223888</v>
      </c>
      <c r="IS375" t="n">
        <v>63.57483665207248</v>
      </c>
      <c r="KH375" t="n">
        <v>63.783</v>
      </c>
      <c r="KS375" t="n">
        <v>-2.92</v>
      </c>
      <c r="LD375" t="n">
        <v>1.11</v>
      </c>
    </row>
    <row r="376">
      <c r="A376" t="inlineStr">
        <is>
          <t>2026-05-06</t>
        </is>
      </c>
      <c r="B376" t="inlineStr">
        <is>
          <t>General Chem 26</t>
        </is>
      </c>
      <c r="C376" t="inlineStr">
        <is>
          <t>105326050601</t>
        </is>
      </c>
      <c r="D376" t="inlineStr">
        <is>
          <t>CREA</t>
        </is>
      </c>
      <c r="F376" t="n">
        <v>10</v>
      </c>
      <c r="G376" t="n">
        <v>1.5</v>
      </c>
      <c r="H376" t="n">
        <v>16.5</v>
      </c>
      <c r="I376" t="n">
        <v>-13.5</v>
      </c>
      <c r="J376" t="n">
        <v>1.282295413243819</v>
      </c>
      <c r="K376" t="n">
        <v>1.222822695323541</v>
      </c>
      <c r="L376" t="n">
        <v>1.267314723629048</v>
      </c>
      <c r="M376" t="n">
        <v>1.312656372618649</v>
      </c>
      <c r="N376" t="n">
        <v>1.34565198404462</v>
      </c>
      <c r="O376" t="n">
        <v>1.315097573276083</v>
      </c>
      <c r="P376" t="n">
        <v>1.264305914566459</v>
      </c>
      <c r="Q376" t="n">
        <v>1.248835633509496</v>
      </c>
      <c r="R376" t="n">
        <v>1.286887291827133</v>
      </c>
      <c r="BH376" t="n">
        <v>1.275</v>
      </c>
      <c r="BS376" t="n">
        <v>-14.98</v>
      </c>
      <c r="CD376" t="n">
        <v>3.33</v>
      </c>
      <c r="CF376" t="n">
        <v>10</v>
      </c>
      <c r="CG376" t="n">
        <v>5.55</v>
      </c>
      <c r="CH376" t="n">
        <v>61.05</v>
      </c>
      <c r="CI376" t="n">
        <v>-49.95</v>
      </c>
      <c r="CJ376" t="n">
        <v>4.573763431881324</v>
      </c>
      <c r="CK376" t="n">
        <v>4.688269227304224</v>
      </c>
      <c r="CL376" t="n">
        <v>4.551985318430356</v>
      </c>
      <c r="CM376" t="n">
        <v>4.634185641972782</v>
      </c>
      <c r="CN376" t="n">
        <v>4.682360346730896</v>
      </c>
      <c r="CO376" t="n">
        <v>4.667130853994928</v>
      </c>
      <c r="CP376" t="n">
        <v>4.601409406394688</v>
      </c>
      <c r="CQ376" t="n">
        <v>4.636021121940752</v>
      </c>
      <c r="CR376" t="n">
        <v>4.714075949550464</v>
      </c>
      <c r="CS376" t="n">
        <v>4.683826436321777</v>
      </c>
      <c r="CT376" t="n">
        <v>4.666198326154543</v>
      </c>
      <c r="CU376" t="n">
        <v>4.64153271174773</v>
      </c>
      <c r="CV376" t="n">
        <v>4.763061284222677</v>
      </c>
      <c r="EH376" t="n">
        <v>4.654</v>
      </c>
      <c r="ES376" t="n">
        <v>-16.14</v>
      </c>
      <c r="FD376" t="n">
        <v>1.18</v>
      </c>
      <c r="FF376" t="n">
        <v>10</v>
      </c>
      <c r="FG376" t="n">
        <v>0.97</v>
      </c>
      <c r="FH376" t="n">
        <v>10.67</v>
      </c>
      <c r="FI376" t="n">
        <v>-8.73</v>
      </c>
      <c r="FJ376" t="n">
        <v>0.7310742291135917</v>
      </c>
      <c r="FK376" t="n">
        <v>0.6636760843965194</v>
      </c>
      <c r="FL376" t="n">
        <v>0.6728930030514508</v>
      </c>
      <c r="FM376" t="n">
        <v>0.7331299216535211</v>
      </c>
      <c r="FN376" t="n">
        <v>0.7058518027487783</v>
      </c>
      <c r="FO376" t="n">
        <v>0.700519852294509</v>
      </c>
      <c r="FP376" t="n">
        <v>0.7056452485853878</v>
      </c>
      <c r="FQ376" t="n">
        <v>0.7135986360112315</v>
      </c>
      <c r="FR376" t="n">
        <v>0.6846476139666043</v>
      </c>
      <c r="FS376" t="n">
        <v>0.7061238181041289</v>
      </c>
      <c r="FT376" t="n">
        <v>0.7054643660145838</v>
      </c>
      <c r="HH376" t="n">
        <v>0.702</v>
      </c>
      <c r="HS376" t="n">
        <v>-27.62</v>
      </c>
      <c r="ID376" t="n">
        <v>2.92</v>
      </c>
      <c r="IF376" t="n">
        <v>10</v>
      </c>
      <c r="IG376" t="n">
        <v>5.95</v>
      </c>
      <c r="IH376" t="n">
        <v>65.45</v>
      </c>
      <c r="II376" t="n">
        <v>-53.55</v>
      </c>
      <c r="IJ376" t="n">
        <v>5.326715442556172</v>
      </c>
      <c r="IK376" t="n">
        <v>5.236062924020044</v>
      </c>
      <c r="IL376" t="n">
        <v>5.241781449891197</v>
      </c>
      <c r="IM376" t="n">
        <v>5.336472470942299</v>
      </c>
      <c r="IN376" t="n">
        <v>5.313253182690941</v>
      </c>
      <c r="IO376" t="n">
        <v>5.304794763171597</v>
      </c>
      <c r="IP376" t="n">
        <v>5.330052136845619</v>
      </c>
      <c r="IQ376" t="n">
        <v>5.376029769500839</v>
      </c>
      <c r="IR376" t="n">
        <v>5.329883178693462</v>
      </c>
      <c r="IS376" t="n">
        <v>5.439834459345652</v>
      </c>
      <c r="KH376" t="n">
        <v>5.328</v>
      </c>
      <c r="KS376" t="n">
        <v>-10.46</v>
      </c>
      <c r="LD376" t="n">
        <v>1.02</v>
      </c>
    </row>
    <row r="377">
      <c r="A377" t="inlineStr">
        <is>
          <t>2026-05-06</t>
        </is>
      </c>
      <c r="B377" t="inlineStr">
        <is>
          <t>General Chem 26</t>
        </is>
      </c>
      <c r="C377" t="inlineStr">
        <is>
          <t>105326050601</t>
        </is>
      </c>
      <c r="D377" t="inlineStr">
        <is>
          <t>GLU</t>
        </is>
      </c>
      <c r="F377" t="n">
        <v>8</v>
      </c>
      <c r="G377" t="n">
        <v>90.16</v>
      </c>
      <c r="H377" t="n">
        <v>811.4399999999999</v>
      </c>
      <c r="I377" t="n">
        <v>-631.12</v>
      </c>
      <c r="J377" t="n">
        <v>93.03032704412425</v>
      </c>
      <c r="K377" t="n">
        <v>89.42632774313404</v>
      </c>
      <c r="L377" t="n">
        <v>92.9427737690454</v>
      </c>
      <c r="M377" t="n">
        <v>93.66559612025495</v>
      </c>
      <c r="N377" t="n">
        <v>93.03026330148339</v>
      </c>
      <c r="O377" t="n">
        <v>91.12323353181148</v>
      </c>
      <c r="P377" t="n">
        <v>91.5101695454662</v>
      </c>
      <c r="Q377" t="n">
        <v>89.44290739049828</v>
      </c>
      <c r="R377" t="n">
        <v>91.53420660272957</v>
      </c>
      <c r="BH377" t="n">
        <v>91.23</v>
      </c>
      <c r="BS377" t="n">
        <v>1.19</v>
      </c>
      <c r="CD377" t="n">
        <v>1.6</v>
      </c>
      <c r="CF377" t="n">
        <v>8</v>
      </c>
      <c r="CG377" t="n">
        <v>293.02</v>
      </c>
      <c r="CH377" t="n">
        <v>2637.18</v>
      </c>
      <c r="CI377" t="n">
        <v>-2051.14</v>
      </c>
      <c r="CJ377" t="n">
        <v>299.1667473886605</v>
      </c>
      <c r="CK377" t="n">
        <v>298.4610222970987</v>
      </c>
      <c r="CL377" t="n">
        <v>296.3329399191892</v>
      </c>
      <c r="CM377" t="n">
        <v>299.890483947743</v>
      </c>
      <c r="CN377" t="n">
        <v>299.1442001044998</v>
      </c>
      <c r="CO377" t="n">
        <v>298.5784659035286</v>
      </c>
      <c r="CP377" t="n">
        <v>298.4606121195159</v>
      </c>
      <c r="CQ377" t="n">
        <v>296.5680050976644</v>
      </c>
      <c r="CR377" t="n">
        <v>301.9529394473856</v>
      </c>
      <c r="CS377" t="n">
        <v>298.9903570876249</v>
      </c>
      <c r="CT377" t="n">
        <v>297.8210661384899</v>
      </c>
      <c r="CU377" t="n">
        <v>294.4235456615655</v>
      </c>
      <c r="CV377" t="n">
        <v>298.0937332186731</v>
      </c>
      <c r="EH377" t="n">
        <v>298.299</v>
      </c>
      <c r="ES377" t="n">
        <v>1.8</v>
      </c>
      <c r="FD377" t="n">
        <v>0.59</v>
      </c>
      <c r="FF377" t="n">
        <v>8</v>
      </c>
      <c r="FG377" t="n">
        <v>65.66</v>
      </c>
      <c r="FH377" t="n">
        <v>590.9399999999999</v>
      </c>
      <c r="FI377" t="n">
        <v>-459.62</v>
      </c>
      <c r="FJ377" t="n">
        <v>66.32643011849336</v>
      </c>
      <c r="FK377" t="n">
        <v>65.84995760665993</v>
      </c>
      <c r="FL377" t="n">
        <v>64.99366820561764</v>
      </c>
      <c r="FM377" t="n">
        <v>65.80060374979337</v>
      </c>
      <c r="FN377" t="n">
        <v>66.27277635954442</v>
      </c>
      <c r="FO377" t="n">
        <v>65.86294569081687</v>
      </c>
      <c r="FP377" t="n">
        <v>66.44486778891275</v>
      </c>
      <c r="FQ377" t="n">
        <v>66.08592959784275</v>
      </c>
      <c r="FR377" t="n">
        <v>65.89865903017974</v>
      </c>
      <c r="FS377" t="n">
        <v>65.53802059785252</v>
      </c>
      <c r="FT377" t="n">
        <v>66.07992647960896</v>
      </c>
      <c r="HH377" t="n">
        <v>65.923</v>
      </c>
      <c r="HS377" t="n">
        <v>0.4</v>
      </c>
      <c r="ID377" t="n">
        <v>0.59</v>
      </c>
      <c r="IF377" t="n">
        <v>8</v>
      </c>
      <c r="IG377" t="n">
        <v>359.66</v>
      </c>
      <c r="IH377" t="n">
        <v>3236.94</v>
      </c>
      <c r="II377" t="n">
        <v>-2517.62</v>
      </c>
      <c r="IJ377" t="n">
        <v>363.3522222478089</v>
      </c>
      <c r="IK377" t="n">
        <v>354.1869403482725</v>
      </c>
      <c r="IL377" t="n">
        <v>358.6155326919895</v>
      </c>
      <c r="IM377" t="n">
        <v>360.079162379345</v>
      </c>
      <c r="IN377" t="n">
        <v>359.4236508912256</v>
      </c>
      <c r="IO377" t="n">
        <v>361.9796632298452</v>
      </c>
      <c r="IP377" t="n">
        <v>355.750879675613</v>
      </c>
      <c r="IQ377" t="n">
        <v>364.272249278561</v>
      </c>
      <c r="IR377" t="n">
        <v>361.3193539332559</v>
      </c>
      <c r="IS377" t="n">
        <v>361.9865856236444</v>
      </c>
      <c r="KH377" t="n">
        <v>359.995</v>
      </c>
      <c r="KS377" t="n">
        <v>0.09</v>
      </c>
      <c r="LD377" t="n">
        <v>0.78</v>
      </c>
    </row>
    <row r="378">
      <c r="A378" t="inlineStr">
        <is>
          <t>2026-05-06</t>
        </is>
      </c>
      <c r="B378" t="inlineStr">
        <is>
          <t>General Chem 26</t>
        </is>
      </c>
      <c r="C378" t="inlineStr">
        <is>
          <t>105326050601</t>
        </is>
      </c>
      <c r="D378" t="inlineStr">
        <is>
          <t>TP</t>
        </is>
      </c>
      <c r="F378" t="n">
        <v>8</v>
      </c>
      <c r="G378" t="n">
        <v>6.4</v>
      </c>
      <c r="H378" t="n">
        <v>57.6</v>
      </c>
      <c r="I378" t="n">
        <v>-44.8</v>
      </c>
      <c r="J378" t="n">
        <v>6.523252369930398</v>
      </c>
      <c r="K378" t="n">
        <v>6.257123820255091</v>
      </c>
      <c r="L378" t="n">
        <v>6.49324822195421</v>
      </c>
      <c r="M378" t="n">
        <v>6.607108702322942</v>
      </c>
      <c r="N378" t="n">
        <v>6.544492183889389</v>
      </c>
      <c r="O378" t="n">
        <v>6.466041439139008</v>
      </c>
      <c r="P378" t="n">
        <v>6.505653084050861</v>
      </c>
      <c r="Q378" t="n">
        <v>6.338548024216436</v>
      </c>
      <c r="R378" t="n">
        <v>6.484832927173285</v>
      </c>
      <c r="BH378" t="n">
        <v>6.445</v>
      </c>
      <c r="BS378" t="n">
        <v>0.71</v>
      </c>
      <c r="CD378" t="n">
        <v>1.42</v>
      </c>
      <c r="CF378" t="n">
        <v>8</v>
      </c>
      <c r="CG378" t="n">
        <v>4.1</v>
      </c>
      <c r="CH378" t="n">
        <v>36.9</v>
      </c>
      <c r="CI378" t="n">
        <v>-28.7</v>
      </c>
      <c r="CJ378" t="n">
        <v>4.366158403795861</v>
      </c>
      <c r="CK378" t="n">
        <v>4.306751136364366</v>
      </c>
      <c r="CL378" t="n">
        <v>4.356381704856153</v>
      </c>
      <c r="CM378" t="n">
        <v>4.334287538163266</v>
      </c>
      <c r="CN378" t="n">
        <v>4.329667272509931</v>
      </c>
      <c r="CO378" t="n">
        <v>4.290021256217859</v>
      </c>
      <c r="CP378" t="n">
        <v>4.330321349267457</v>
      </c>
      <c r="CQ378" t="n">
        <v>4.235924211178935</v>
      </c>
      <c r="CR378" t="n">
        <v>4.321716755434264</v>
      </c>
      <c r="CS378" t="n">
        <v>4.275101240821802</v>
      </c>
      <c r="CT378" t="n">
        <v>4.269278738839434</v>
      </c>
      <c r="CU378" t="n">
        <v>4.16660825668094</v>
      </c>
      <c r="CV378" t="n">
        <v>4.228750904739788</v>
      </c>
      <c r="EH378" t="n">
        <v>4.293</v>
      </c>
      <c r="ES378" t="n">
        <v>4.71</v>
      </c>
      <c r="FD378" t="n">
        <v>1.28</v>
      </c>
      <c r="FF378" t="n">
        <v>8</v>
      </c>
      <c r="FG378" t="n">
        <v>4.2</v>
      </c>
      <c r="FH378" t="n">
        <v>37.8</v>
      </c>
      <c r="FI378" t="n">
        <v>-29.4</v>
      </c>
      <c r="FJ378" t="n">
        <v>4.110681802025968</v>
      </c>
      <c r="FK378" t="n">
        <v>4.086774315978206</v>
      </c>
      <c r="FL378" t="n">
        <v>3.96405423834414</v>
      </c>
      <c r="FM378" t="n">
        <v>3.987467503822709</v>
      </c>
      <c r="FN378" t="n">
        <v>4.037909974890454</v>
      </c>
      <c r="FO378" t="n">
        <v>4.005496171457931</v>
      </c>
      <c r="FP378" t="n">
        <v>4.05163831748842</v>
      </c>
      <c r="FQ378" t="n">
        <v>3.972226834483727</v>
      </c>
      <c r="FR378" t="n">
        <v>3.993406236203729</v>
      </c>
      <c r="FS378" t="n">
        <v>3.97571218105787</v>
      </c>
      <c r="FT378" t="n">
        <v>3.944926244544782</v>
      </c>
      <c r="HH378" t="n">
        <v>4.012</v>
      </c>
      <c r="HS378" t="n">
        <v>-4.48</v>
      </c>
      <c r="ID378" t="n">
        <v>1.26</v>
      </c>
      <c r="IF378" t="n">
        <v>8</v>
      </c>
      <c r="IG378" t="n">
        <v>7.5</v>
      </c>
      <c r="IH378" t="n">
        <v>67.5</v>
      </c>
      <c r="II378" t="n">
        <v>-52.5</v>
      </c>
      <c r="IJ378" t="n">
        <v>7.462842003423164</v>
      </c>
      <c r="IK378" t="n">
        <v>7.408850395085746</v>
      </c>
      <c r="IL378" t="n">
        <v>7.445994009726938</v>
      </c>
      <c r="IM378" t="n">
        <v>7.588211755637658</v>
      </c>
      <c r="IN378" t="n">
        <v>7.480124799465985</v>
      </c>
      <c r="IO378" t="n">
        <v>7.381471590463505</v>
      </c>
      <c r="IP378" t="n">
        <v>7.274884113099624</v>
      </c>
      <c r="IQ378" t="n">
        <v>7.451468660734479</v>
      </c>
      <c r="IR378" t="n">
        <v>7.462379537569234</v>
      </c>
      <c r="IS378" t="n">
        <v>7.411808974582549</v>
      </c>
      <c r="KH378" t="n">
        <v>7.42</v>
      </c>
      <c r="KS378" t="n">
        <v>-1.07</v>
      </c>
      <c r="LD378" t="n">
        <v>1.09</v>
      </c>
    </row>
    <row r="379">
      <c r="A379" t="inlineStr">
        <is>
          <t>2026-05-06</t>
        </is>
      </c>
      <c r="B379" t="inlineStr">
        <is>
          <t>Core Chem 13</t>
        </is>
      </c>
      <c r="C379" t="inlineStr">
        <is>
          <t>100126050601 &amp; 200126050601</t>
        </is>
      </c>
      <c r="D379" t="inlineStr">
        <is>
          <t>ALB</t>
        </is>
      </c>
      <c r="F379" t="n">
        <v>8</v>
      </c>
      <c r="G379" t="n">
        <v>4.2</v>
      </c>
      <c r="H379" t="n">
        <v>37.8</v>
      </c>
      <c r="I379" t="n">
        <v>-29.4</v>
      </c>
      <c r="J379" t="n">
        <v>3.943495026468335</v>
      </c>
      <c r="K379" t="n">
        <v>4.095641893676213</v>
      </c>
      <c r="L379" t="n">
        <v>3.948764506029937</v>
      </c>
      <c r="M379" t="n">
        <v>3.943905660149317</v>
      </c>
      <c r="N379" t="n">
        <v>4.039519358635668</v>
      </c>
      <c r="O379" t="n">
        <v>4.007600151505914</v>
      </c>
      <c r="P379" t="n">
        <v>4.178000528828193</v>
      </c>
      <c r="Q379" t="n">
        <v>4.076504967326995</v>
      </c>
      <c r="BH379" t="n">
        <v>4.029</v>
      </c>
      <c r="BS379" t="n">
        <v>-4.07</v>
      </c>
      <c r="CD379" t="n">
        <v>1.97</v>
      </c>
      <c r="CF379" t="n">
        <v>8</v>
      </c>
      <c r="CG379" t="n">
        <v>2.7</v>
      </c>
      <c r="CH379" t="n">
        <v>24.3</v>
      </c>
      <c r="CI379" t="n">
        <v>-18.9</v>
      </c>
      <c r="CJ379" t="n">
        <v>2.654943541208153</v>
      </c>
      <c r="CK379" t="n">
        <v>2.741850728160942</v>
      </c>
      <c r="CL379" t="n">
        <v>2.625744724223733</v>
      </c>
      <c r="CM379" t="n">
        <v>2.802494120275348</v>
      </c>
      <c r="CN379" t="n">
        <v>2.68749511178974</v>
      </c>
      <c r="CO379" t="n">
        <v>2.669188286537277</v>
      </c>
      <c r="CP379" t="n">
        <v>2.705587801578091</v>
      </c>
      <c r="EH379" t="n">
        <v>2.698</v>
      </c>
      <c r="ES379" t="n">
        <v>-0.07000000000000001</v>
      </c>
      <c r="FD379" t="n">
        <v>2.03</v>
      </c>
      <c r="FF379" t="n">
        <v>8</v>
      </c>
      <c r="FG379" t="n">
        <v>2.6</v>
      </c>
      <c r="FH379" t="n">
        <v>23.4</v>
      </c>
      <c r="FI379" t="n">
        <v>-18.2</v>
      </c>
      <c r="FJ379" t="n">
        <v>2.545398609135502</v>
      </c>
      <c r="FK379" t="n">
        <v>2.594725885502507</v>
      </c>
      <c r="FL379" t="n">
        <v>2.53960295421674</v>
      </c>
      <c r="FM379" t="n">
        <v>2.560996630279287</v>
      </c>
      <c r="FN379" t="n">
        <v>2.461865134367806</v>
      </c>
      <c r="FO379" t="n">
        <v>2.55451133392686</v>
      </c>
      <c r="FP379" t="n">
        <v>2.529869910764091</v>
      </c>
      <c r="FQ379" t="n">
        <v>2.55751174853134</v>
      </c>
      <c r="HH379" t="n">
        <v>2.543</v>
      </c>
      <c r="HS379" t="n">
        <v>-2.19</v>
      </c>
      <c r="ID379" t="n">
        <v>1.4</v>
      </c>
      <c r="IF379" t="n">
        <v>8</v>
      </c>
      <c r="IG379" t="n">
        <v>4.2</v>
      </c>
      <c r="IH379" t="n">
        <v>37.8</v>
      </c>
      <c r="II379" t="n">
        <v>-29.4</v>
      </c>
      <c r="IJ379" t="n">
        <v>4.033809412600187</v>
      </c>
      <c r="IK379" t="n">
        <v>4.091506071234784</v>
      </c>
      <c r="IL379" t="n">
        <v>4.078250471962058</v>
      </c>
      <c r="IM379" t="n">
        <v>3.982487638675304</v>
      </c>
      <c r="IN379" t="n">
        <v>4.137476170197831</v>
      </c>
      <c r="IO379" t="n">
        <v>4.081348780811518</v>
      </c>
      <c r="IP379" t="n">
        <v>4.052470186215869</v>
      </c>
      <c r="KH379" t="n">
        <v>4.065</v>
      </c>
      <c r="KS379" t="n">
        <v>-3.21</v>
      </c>
      <c r="LD379" t="n">
        <v>1.11</v>
      </c>
    </row>
    <row r="380">
      <c r="A380" t="inlineStr">
        <is>
          <t>2026-05-06</t>
        </is>
      </c>
      <c r="B380" t="inlineStr">
        <is>
          <t>Core Chem 13</t>
        </is>
      </c>
      <c r="C380" t="inlineStr">
        <is>
          <t>100126050601 &amp; 200126050601</t>
        </is>
      </c>
      <c r="D380" t="inlineStr">
        <is>
          <t>ALP</t>
        </is>
      </c>
      <c r="F380" t="n">
        <v>20</v>
      </c>
      <c r="G380" t="n">
        <v>136</v>
      </c>
      <c r="H380" t="n">
        <v>2856</v>
      </c>
      <c r="I380" t="n">
        <v>-2584</v>
      </c>
      <c r="J380" t="n">
        <v>145.921343806754</v>
      </c>
      <c r="K380" t="n">
        <v>144.3964211830764</v>
      </c>
      <c r="L380" t="n">
        <v>147.0188955010161</v>
      </c>
      <c r="M380" t="n">
        <v>143.9173589345578</v>
      </c>
      <c r="N380" t="n">
        <v>147.5404306688635</v>
      </c>
      <c r="O380" t="n">
        <v>145.4549222977666</v>
      </c>
      <c r="P380" t="n">
        <v>147.2310992495022</v>
      </c>
      <c r="Q380" t="n">
        <v>146.0434019611768</v>
      </c>
      <c r="BH380" t="n">
        <v>145.94</v>
      </c>
      <c r="BS380" t="n">
        <v>7.31</v>
      </c>
      <c r="CD380" t="n">
        <v>0.84</v>
      </c>
      <c r="CF380" t="n">
        <v>20</v>
      </c>
      <c r="CG380" t="n">
        <v>456</v>
      </c>
      <c r="CH380" t="n">
        <v>9576</v>
      </c>
      <c r="CI380" t="n">
        <v>-8664</v>
      </c>
      <c r="CJ380" t="n">
        <v>463.7175990952462</v>
      </c>
      <c r="CK380" t="n">
        <v>464.6983920298445</v>
      </c>
      <c r="CL380" t="n">
        <v>455.5105465885753</v>
      </c>
      <c r="CM380" t="n">
        <v>483.6364737269494</v>
      </c>
      <c r="CN380" t="n">
        <v>463.7702072403686</v>
      </c>
      <c r="CO380" t="n">
        <v>461.3854665797499</v>
      </c>
      <c r="CP380" t="n">
        <v>458.9845100551323</v>
      </c>
      <c r="EH380" t="n">
        <v>464.529</v>
      </c>
      <c r="ES380" t="n">
        <v>1.87</v>
      </c>
      <c r="FD380" t="n">
        <v>1.8</v>
      </c>
      <c r="FF380" t="n">
        <v>20</v>
      </c>
      <c r="FG380" t="n">
        <v>75</v>
      </c>
      <c r="FH380" t="n">
        <v>1575</v>
      </c>
      <c r="FI380" t="n">
        <v>-1425</v>
      </c>
      <c r="FJ380" t="n">
        <v>77.11937754765233</v>
      </c>
      <c r="FK380" t="n">
        <v>77.15244843693206</v>
      </c>
      <c r="FL380" t="n">
        <v>77.58624678360805</v>
      </c>
      <c r="FM380" t="n">
        <v>76.58217047077883</v>
      </c>
      <c r="FN380" t="n">
        <v>77.16342694944169</v>
      </c>
      <c r="FO380" t="n">
        <v>76.89123071318095</v>
      </c>
      <c r="FP380" t="n">
        <v>77.02339630657251</v>
      </c>
      <c r="FQ380" t="n">
        <v>77.73685023436597</v>
      </c>
      <c r="HH380" t="n">
        <v>77.157</v>
      </c>
      <c r="HS380" t="n">
        <v>2.88</v>
      </c>
      <c r="ID380" t="n">
        <v>0.44</v>
      </c>
      <c r="IF380" t="n">
        <v>20</v>
      </c>
      <c r="IG380" t="n">
        <v>251</v>
      </c>
      <c r="IH380" t="n">
        <v>5271</v>
      </c>
      <c r="II380" t="n">
        <v>-4769</v>
      </c>
      <c r="IJ380" t="n">
        <v>224.7166611595001</v>
      </c>
      <c r="IK380" t="n">
        <v>230.9197851242055</v>
      </c>
      <c r="IL380" t="n">
        <v>236.038006298897</v>
      </c>
      <c r="IM380" t="n">
        <v>232.2485311708417</v>
      </c>
      <c r="IN380" t="n">
        <v>232.008252368413</v>
      </c>
      <c r="IO380" t="n">
        <v>230.3360135808633</v>
      </c>
      <c r="IP380" t="n">
        <v>227.3643661631517</v>
      </c>
      <c r="KH380" t="n">
        <v>230.519</v>
      </c>
      <c r="KS380" t="n">
        <v>-8.16</v>
      </c>
      <c r="LD380" t="n">
        <v>1.46</v>
      </c>
    </row>
    <row r="381">
      <c r="A381" t="inlineStr">
        <is>
          <t>2026-05-06</t>
        </is>
      </c>
      <c r="B381" t="inlineStr">
        <is>
          <t>Core Chem 13</t>
        </is>
      </c>
      <c r="C381" t="inlineStr">
        <is>
          <t>100126050601 &amp; 200126050601</t>
        </is>
      </c>
      <c r="D381" t="inlineStr">
        <is>
          <t>ALT</t>
        </is>
      </c>
      <c r="F381" t="n">
        <v>15</v>
      </c>
      <c r="G381" t="n">
        <v>28</v>
      </c>
      <c r="H381" t="n">
        <v>448</v>
      </c>
      <c r="I381" t="n">
        <v>-392</v>
      </c>
      <c r="J381" t="n">
        <v>24.29495478090606</v>
      </c>
      <c r="K381" t="n">
        <v>25.27325855509165</v>
      </c>
      <c r="L381" t="n">
        <v>34.95221396918473</v>
      </c>
      <c r="M381" t="n">
        <v>27.14309137868658</v>
      </c>
      <c r="N381" t="n">
        <v>32.12369792205797</v>
      </c>
      <c r="O381" t="n">
        <v>26.05897697864489</v>
      </c>
      <c r="P381" t="n">
        <v>33.72616151187759</v>
      </c>
      <c r="Q381" t="n">
        <v>26.26031551121913</v>
      </c>
      <c r="BH381" t="n">
        <v>28.729</v>
      </c>
      <c r="BS381" t="n">
        <v>2.6</v>
      </c>
      <c r="CD381" t="n">
        <v>13.62</v>
      </c>
      <c r="CF381" t="n">
        <v>15</v>
      </c>
      <c r="CG381" t="n">
        <v>115</v>
      </c>
      <c r="CH381" t="n">
        <v>1840</v>
      </c>
      <c r="CI381" t="n">
        <v>-1610</v>
      </c>
      <c r="CJ381" t="n">
        <v>121.9790789665125</v>
      </c>
      <c r="CK381" t="n">
        <v>126.9681277709459</v>
      </c>
      <c r="CL381" t="n">
        <v>124.0307188379124</v>
      </c>
      <c r="CM381" t="n">
        <v>133.1084989123335</v>
      </c>
      <c r="CN381" t="n">
        <v>122.6860872888246</v>
      </c>
      <c r="CO381" t="n">
        <v>123.1022897679561</v>
      </c>
      <c r="CP381" t="n">
        <v>124.6366392929341</v>
      </c>
      <c r="EH381" t="n">
        <v>125.216</v>
      </c>
      <c r="ES381" t="n">
        <v>8.880000000000001</v>
      </c>
      <c r="FD381" t="n">
        <v>2.84</v>
      </c>
      <c r="FF381" t="n">
        <v>15</v>
      </c>
      <c r="FG381" t="n">
        <v>26</v>
      </c>
      <c r="FH381" t="n">
        <v>416</v>
      </c>
      <c r="FI381" t="n">
        <v>-364</v>
      </c>
      <c r="FJ381" t="n">
        <v>24.60679056898897</v>
      </c>
      <c r="FK381" t="n">
        <v>22.17512880415148</v>
      </c>
      <c r="FL381" t="n">
        <v>21.64241435768658</v>
      </c>
      <c r="FM381" t="n">
        <v>17.80663897600465</v>
      </c>
      <c r="FN381" t="n">
        <v>22.00451910747914</v>
      </c>
      <c r="FO381" t="n">
        <v>26.59612260393553</v>
      </c>
      <c r="FP381" t="n">
        <v>24.98587039023609</v>
      </c>
      <c r="FQ381" t="n">
        <v>23.81495433105415</v>
      </c>
      <c r="HH381" t="n">
        <v>22.954</v>
      </c>
      <c r="HS381" t="n">
        <v>-11.72</v>
      </c>
      <c r="ID381" t="n">
        <v>10.96</v>
      </c>
      <c r="IF381" t="n">
        <v>15</v>
      </c>
      <c r="IG381" t="n">
        <v>217</v>
      </c>
      <c r="IH381" t="n">
        <v>3472</v>
      </c>
      <c r="II381" t="n">
        <v>-3038</v>
      </c>
      <c r="IJ381" t="n">
        <v>219.5649492207845</v>
      </c>
      <c r="IK381" t="n">
        <v>214.9549748338606</v>
      </c>
      <c r="IL381" t="n">
        <v>224.1302569905205</v>
      </c>
      <c r="IM381" t="n">
        <v>222.6018789321872</v>
      </c>
      <c r="IN381" t="n">
        <v>218.2235341467417</v>
      </c>
      <c r="IO381" t="n">
        <v>210.1590123401835</v>
      </c>
      <c r="IP381" t="n">
        <v>222.0768975078762</v>
      </c>
      <c r="KH381" t="n">
        <v>218.816</v>
      </c>
      <c r="KS381" t="n">
        <v>0.84</v>
      </c>
      <c r="LD381" t="n">
        <v>2.07</v>
      </c>
    </row>
    <row r="382">
      <c r="A382" t="inlineStr">
        <is>
          <t>2026-05-06</t>
        </is>
      </c>
      <c r="B382" t="inlineStr">
        <is>
          <t>Core Chem 13</t>
        </is>
      </c>
      <c r="C382" t="inlineStr">
        <is>
          <t>100126050601 &amp; 200126050601</t>
        </is>
      </c>
      <c r="D382" t="inlineStr">
        <is>
          <t>BUN</t>
        </is>
      </c>
      <c r="F382" t="n">
        <v>9</v>
      </c>
      <c r="G382" t="n">
        <v>14.8</v>
      </c>
      <c r="H382" t="n">
        <v>148</v>
      </c>
      <c r="I382" t="n">
        <v>-118.4</v>
      </c>
      <c r="J382" t="n">
        <v>14.04945602716536</v>
      </c>
      <c r="K382" t="n">
        <v>13.81315503312271</v>
      </c>
      <c r="L382" t="n">
        <v>14.22188069347495</v>
      </c>
      <c r="M382" t="n">
        <v>13.76956018929866</v>
      </c>
      <c r="N382" t="n">
        <v>14.28889897925553</v>
      </c>
      <c r="O382" t="n">
        <v>14.18025253229898</v>
      </c>
      <c r="P382" t="n">
        <v>14.51630193992822</v>
      </c>
      <c r="Q382" t="n">
        <v>14.54679756773094</v>
      </c>
      <c r="BH382" t="n">
        <v>14.173</v>
      </c>
      <c r="BS382" t="n">
        <v>-4.23</v>
      </c>
      <c r="CD382" t="n">
        <v>1.9</v>
      </c>
      <c r="CF382" t="n">
        <v>9</v>
      </c>
      <c r="CG382" t="n">
        <v>44.7</v>
      </c>
      <c r="CH382" t="n">
        <v>447</v>
      </c>
      <c r="CI382" t="n">
        <v>-357.6</v>
      </c>
      <c r="CJ382" t="n">
        <v>43.44426698178776</v>
      </c>
      <c r="CK382" t="n">
        <v>44.54424460852619</v>
      </c>
      <c r="CL382" t="n">
        <v>43.24158130943566</v>
      </c>
      <c r="CM382" t="n">
        <v>44.61767632435258</v>
      </c>
      <c r="CN382" t="n">
        <v>44.60507219172838</v>
      </c>
      <c r="CO382" t="n">
        <v>42.79895885146694</v>
      </c>
      <c r="CP382" t="n">
        <v>44.02481983314698</v>
      </c>
      <c r="EH382" t="n">
        <v>43.897</v>
      </c>
      <c r="ES382" t="n">
        <v>-1.8</v>
      </c>
      <c r="FD382" t="n">
        <v>1.56</v>
      </c>
      <c r="FF382" t="n">
        <v>9</v>
      </c>
      <c r="FG382" t="n">
        <v>14.7</v>
      </c>
      <c r="FH382" t="n">
        <v>147</v>
      </c>
      <c r="FI382" t="n">
        <v>-117.6</v>
      </c>
      <c r="FJ382" t="n">
        <v>14.30456684437207</v>
      </c>
      <c r="FK382" t="n">
        <v>14.50804586266664</v>
      </c>
      <c r="FL382" t="n">
        <v>14.9340879875706</v>
      </c>
      <c r="FM382" t="n">
        <v>14.37181732251487</v>
      </c>
      <c r="FN382" t="n">
        <v>14.48792595624657</v>
      </c>
      <c r="FO382" t="n">
        <v>14.14641842235099</v>
      </c>
      <c r="FP382" t="n">
        <v>14.5828627171868</v>
      </c>
      <c r="FQ382" t="n">
        <v>14.57844439072664</v>
      </c>
      <c r="HH382" t="n">
        <v>14.489</v>
      </c>
      <c r="HS382" t="n">
        <v>-1.43</v>
      </c>
      <c r="ID382" t="n">
        <v>1.5</v>
      </c>
      <c r="IF382" t="n">
        <v>9</v>
      </c>
      <c r="IG382" t="n">
        <v>65.7</v>
      </c>
      <c r="IH382" t="n">
        <v>657</v>
      </c>
      <c r="II382" t="n">
        <v>-525.6</v>
      </c>
      <c r="IJ382" t="n">
        <v>63.5093200556985</v>
      </c>
      <c r="IK382" t="n">
        <v>61.64717441995352</v>
      </c>
      <c r="IL382" t="n">
        <v>62.75981838634029</v>
      </c>
      <c r="IM382" t="n">
        <v>64.52821179538709</v>
      </c>
      <c r="IN382" t="n">
        <v>63.66690665119378</v>
      </c>
      <c r="IO382" t="n">
        <v>62.99069082360629</v>
      </c>
      <c r="IP382" t="n">
        <v>63.37632947977912</v>
      </c>
      <c r="KH382" t="n">
        <v>63.211</v>
      </c>
      <c r="KS382" t="n">
        <v>-3.79</v>
      </c>
      <c r="LD382" t="n">
        <v>1.3</v>
      </c>
    </row>
    <row r="383">
      <c r="A383" t="inlineStr">
        <is>
          <t>2026-05-06</t>
        </is>
      </c>
      <c r="B383" t="inlineStr">
        <is>
          <t>Core Chem 13</t>
        </is>
      </c>
      <c r="C383" t="inlineStr">
        <is>
          <t>100126050601 &amp; 200126050601</t>
        </is>
      </c>
      <c r="D383" t="inlineStr">
        <is>
          <t>CREA</t>
        </is>
      </c>
      <c r="F383" t="n">
        <v>10</v>
      </c>
      <c r="G383" t="n">
        <v>1.5</v>
      </c>
      <c r="H383" t="n">
        <v>16.5</v>
      </c>
      <c r="I383" t="n">
        <v>-13.5</v>
      </c>
      <c r="J383" t="n">
        <v>1.242360798013596</v>
      </c>
      <c r="K383" t="n">
        <v>1.341227740958667</v>
      </c>
      <c r="L383" t="n">
        <v>1.203482709406032</v>
      </c>
      <c r="M383" t="n">
        <v>1.222049440909355</v>
      </c>
      <c r="N383" t="n">
        <v>1.248649825754842</v>
      </c>
      <c r="O383" t="n">
        <v>1.232862066584046</v>
      </c>
      <c r="P383" t="n">
        <v>1.256038468810881</v>
      </c>
      <c r="Q383" t="n">
        <v>1.249708507838874</v>
      </c>
      <c r="BH383" t="n">
        <v>1.25</v>
      </c>
      <c r="BS383" t="n">
        <v>-16.7</v>
      </c>
      <c r="CD383" t="n">
        <v>3.05</v>
      </c>
      <c r="CF383" t="n">
        <v>10</v>
      </c>
      <c r="CG383" t="n">
        <v>5.55</v>
      </c>
      <c r="CH383" t="n">
        <v>61.05</v>
      </c>
      <c r="CI383" t="n">
        <v>-49.95</v>
      </c>
      <c r="CJ383" t="n">
        <v>4.480947809272768</v>
      </c>
      <c r="CK383" t="n">
        <v>4.682824723764455</v>
      </c>
      <c r="CL383" t="n">
        <v>4.556908939658522</v>
      </c>
      <c r="CM383" t="n">
        <v>4.628730334475663</v>
      </c>
      <c r="CN383" t="n">
        <v>4.587961459697099</v>
      </c>
      <c r="CO383" t="n">
        <v>4.581791602357038</v>
      </c>
      <c r="CP383" t="n">
        <v>4.585581375400491</v>
      </c>
      <c r="EH383" t="n">
        <v>4.586</v>
      </c>
      <c r="ES383" t="n">
        <v>-17.36</v>
      </c>
      <c r="FD383" t="n">
        <v>1.25</v>
      </c>
      <c r="FF383" t="n">
        <v>10</v>
      </c>
      <c r="FG383" t="n">
        <v>0.97</v>
      </c>
      <c r="FH383" t="n">
        <v>10.67</v>
      </c>
      <c r="FI383" t="n">
        <v>-8.73</v>
      </c>
      <c r="FJ383" t="n">
        <v>0.6558732230612189</v>
      </c>
      <c r="FK383" t="n">
        <v>0.7208233692456495</v>
      </c>
      <c r="FL383" t="n">
        <v>0.6397461097755479</v>
      </c>
      <c r="FM383" t="n">
        <v>0.6389547438727463</v>
      </c>
      <c r="FN383" t="n">
        <v>0.6135995915473562</v>
      </c>
      <c r="FO383" t="n">
        <v>0.67342943476707</v>
      </c>
      <c r="FP383" t="n">
        <v>0.6559500246178914</v>
      </c>
      <c r="FQ383" t="n">
        <v>0.6479641026583048</v>
      </c>
      <c r="HH383" t="n">
        <v>0.656</v>
      </c>
      <c r="HS383" t="n">
        <v>-32.39</v>
      </c>
      <c r="ID383" t="n">
        <v>4.49</v>
      </c>
      <c r="IF383" t="n">
        <v>10</v>
      </c>
      <c r="IG383" t="n">
        <v>5.95</v>
      </c>
      <c r="IH383" t="n">
        <v>65.45</v>
      </c>
      <c r="II383" t="n">
        <v>-53.55</v>
      </c>
      <c r="IJ383" t="n">
        <v>5.160514075039062</v>
      </c>
      <c r="IK383" t="n">
        <v>5.343340844856529</v>
      </c>
      <c r="IL383" t="n">
        <v>5.327274971041753</v>
      </c>
      <c r="IM383" t="n">
        <v>5.172754547998672</v>
      </c>
      <c r="IN383" t="n">
        <v>5.275090406730428</v>
      </c>
      <c r="IO383" t="n">
        <v>5.245695498017354</v>
      </c>
      <c r="IP383" t="n">
        <v>5.205081158448932</v>
      </c>
      <c r="KH383" t="n">
        <v>5.247</v>
      </c>
      <c r="KS383" t="n">
        <v>-11.81</v>
      </c>
      <c r="LD383" t="n">
        <v>1.27</v>
      </c>
    </row>
    <row r="384">
      <c r="A384" t="inlineStr">
        <is>
          <t>2026-05-06</t>
        </is>
      </c>
      <c r="B384" t="inlineStr">
        <is>
          <t>Core Chem 13</t>
        </is>
      </c>
      <c r="C384" t="inlineStr">
        <is>
          <t>100126050601 &amp; 200126050601</t>
        </is>
      </c>
      <c r="D384" t="inlineStr">
        <is>
          <t>GLU</t>
        </is>
      </c>
      <c r="F384" t="n">
        <v>8</v>
      </c>
      <c r="G384" t="n">
        <v>90.16</v>
      </c>
      <c r="H384" t="n">
        <v>811.4399999999999</v>
      </c>
      <c r="I384" t="n">
        <v>-631.12</v>
      </c>
      <c r="J384" t="n">
        <v>91.75083730839602</v>
      </c>
      <c r="K384" t="n">
        <v>91.37526314155618</v>
      </c>
      <c r="L384" t="n">
        <v>90.72912304206905</v>
      </c>
      <c r="M384" t="n">
        <v>90.69581719355804</v>
      </c>
      <c r="N384" t="n">
        <v>92.79891064721818</v>
      </c>
      <c r="O384" t="n">
        <v>90.06632493602724</v>
      </c>
      <c r="P384" t="n">
        <v>92.33631700617616</v>
      </c>
      <c r="Q384" t="n">
        <v>91.71456627469222</v>
      </c>
      <c r="BH384" t="n">
        <v>91.43300000000001</v>
      </c>
      <c r="BS384" t="n">
        <v>1.41</v>
      </c>
      <c r="CD384" t="n">
        <v>0.93</v>
      </c>
      <c r="CF384" t="n">
        <v>8</v>
      </c>
      <c r="CG384" t="n">
        <v>293.02</v>
      </c>
      <c r="CH384" t="n">
        <v>2637.18</v>
      </c>
      <c r="CI384" t="n">
        <v>-2051.14</v>
      </c>
      <c r="CJ384" t="n">
        <v>301.9381764008701</v>
      </c>
      <c r="CK384" t="n">
        <v>313.0982245329146</v>
      </c>
      <c r="CL384" t="n">
        <v>296.5809730718114</v>
      </c>
      <c r="CM384" t="n">
        <v>318.4267055007094</v>
      </c>
      <c r="CN384" t="n">
        <v>305.9831038771651</v>
      </c>
      <c r="CO384" t="n">
        <v>302.7453697075989</v>
      </c>
      <c r="CP384" t="n">
        <v>303.2818100735367</v>
      </c>
      <c r="EH384" t="n">
        <v>306.008</v>
      </c>
      <c r="ES384" t="n">
        <v>4.43</v>
      </c>
      <c r="FD384" t="n">
        <v>2.24</v>
      </c>
      <c r="FF384" t="n">
        <v>8</v>
      </c>
      <c r="FG384" t="n">
        <v>65.66</v>
      </c>
      <c r="FH384" t="n">
        <v>590.9399999999999</v>
      </c>
      <c r="FI384" t="n">
        <v>-459.62</v>
      </c>
      <c r="FJ384" t="n">
        <v>67.00106397389571</v>
      </c>
      <c r="FK384" t="n">
        <v>67.92598617620639</v>
      </c>
      <c r="FL384" t="n">
        <v>67.52800082441415</v>
      </c>
      <c r="FM384" t="n">
        <v>65.38785909186485</v>
      </c>
      <c r="FN384" t="n">
        <v>65.24722755702112</v>
      </c>
      <c r="FO384" t="n">
        <v>65.34226847125879</v>
      </c>
      <c r="FP384" t="n">
        <v>64.85193331251975</v>
      </c>
      <c r="FQ384" t="n">
        <v>65.89886833705198</v>
      </c>
      <c r="HH384" t="n">
        <v>66.148</v>
      </c>
      <c r="HS384" t="n">
        <v>0.74</v>
      </c>
      <c r="ID384" t="n">
        <v>1.65</v>
      </c>
      <c r="IF384" t="n">
        <v>8</v>
      </c>
      <c r="IG384" t="n">
        <v>359.66</v>
      </c>
      <c r="IH384" t="n">
        <v>3236.94</v>
      </c>
      <c r="II384" t="n">
        <v>-2517.62</v>
      </c>
      <c r="IJ384" t="n">
        <v>362.5330305171368</v>
      </c>
      <c r="IK384" t="n">
        <v>369.3768441120725</v>
      </c>
      <c r="IL384" t="n">
        <v>365.9747333228173</v>
      </c>
      <c r="IM384" t="n">
        <v>368.8725293886795</v>
      </c>
      <c r="IN384" t="n">
        <v>365.7174681132929</v>
      </c>
      <c r="IO384" t="n">
        <v>364.1283235473945</v>
      </c>
      <c r="IP384" t="n">
        <v>363.674145825145</v>
      </c>
      <c r="KH384" t="n">
        <v>365.754</v>
      </c>
      <c r="KS384" t="n">
        <v>1.69</v>
      </c>
      <c r="LD384" t="n">
        <v>0.66</v>
      </c>
    </row>
    <row r="385">
      <c r="A385" t="inlineStr">
        <is>
          <t>2026-05-06</t>
        </is>
      </c>
      <c r="B385" t="inlineStr">
        <is>
          <t>Core Chem 13</t>
        </is>
      </c>
      <c r="C385" t="inlineStr">
        <is>
          <t>100126050601 &amp; 200126050601</t>
        </is>
      </c>
      <c r="D385" t="inlineStr">
        <is>
          <t>TP</t>
        </is>
      </c>
      <c r="F385" t="n">
        <v>8</v>
      </c>
      <c r="G385" t="n">
        <v>6.4</v>
      </c>
      <c r="H385" t="n">
        <v>57.6</v>
      </c>
      <c r="I385" t="n">
        <v>-44.8</v>
      </c>
      <c r="J385" t="n">
        <v>6.459564347700383</v>
      </c>
      <c r="K385" t="n">
        <v>6.424982115313213</v>
      </c>
      <c r="L385" t="n">
        <v>6.38318980319951</v>
      </c>
      <c r="M385" t="n">
        <v>6.356982129925068</v>
      </c>
      <c r="N385" t="n">
        <v>6.487616002573068</v>
      </c>
      <c r="O385" t="n">
        <v>6.405589308911242</v>
      </c>
      <c r="P385" t="n">
        <v>6.567146989280994</v>
      </c>
      <c r="Q385" t="n">
        <v>6.464795659851644</v>
      </c>
      <c r="BH385" t="n">
        <v>6.444</v>
      </c>
      <c r="BS385" t="n">
        <v>0.68</v>
      </c>
      <c r="CD385" t="n">
        <v>0.96</v>
      </c>
      <c r="CF385" t="n">
        <v>8</v>
      </c>
      <c r="CG385" t="n">
        <v>4.1</v>
      </c>
      <c r="CH385" t="n">
        <v>36.9</v>
      </c>
      <c r="CI385" t="n">
        <v>-28.7</v>
      </c>
      <c r="CJ385" t="n">
        <v>4.220615101391027</v>
      </c>
      <c r="CK385" t="n">
        <v>4.264071017696206</v>
      </c>
      <c r="CL385" t="n">
        <v>4.136223891649148</v>
      </c>
      <c r="CM385" t="n">
        <v>4.551137814850654</v>
      </c>
      <c r="CN385" t="n">
        <v>4.290773464015375</v>
      </c>
      <c r="CO385" t="n">
        <v>4.135324833955345</v>
      </c>
      <c r="CP385" t="n">
        <v>4.288387347618402</v>
      </c>
      <c r="EH385" t="n">
        <v>4.27</v>
      </c>
      <c r="ES385" t="n">
        <v>4.13</v>
      </c>
      <c r="FD385" t="n">
        <v>3.05</v>
      </c>
      <c r="FF385" t="n">
        <v>8</v>
      </c>
      <c r="FG385" t="n">
        <v>4.2</v>
      </c>
      <c r="FH385" t="n">
        <v>37.8</v>
      </c>
      <c r="FI385" t="n">
        <v>-29.4</v>
      </c>
      <c r="FJ385" t="n">
        <v>3.960091582820207</v>
      </c>
      <c r="FK385" t="n">
        <v>4.084407044270952</v>
      </c>
      <c r="FL385" t="n">
        <v>4.056541681189199</v>
      </c>
      <c r="FM385" t="n">
        <v>3.873631296485955</v>
      </c>
      <c r="FN385" t="n">
        <v>3.937910414131468</v>
      </c>
      <c r="FO385" t="n">
        <v>3.936668744875954</v>
      </c>
      <c r="FP385" t="n">
        <v>3.936981670471458</v>
      </c>
      <c r="FQ385" t="n">
        <v>4.004267486071322</v>
      </c>
      <c r="HH385" t="n">
        <v>3.974</v>
      </c>
      <c r="HS385" t="n">
        <v>-5.39</v>
      </c>
      <c r="ID385" t="n">
        <v>1.65</v>
      </c>
      <c r="IF385" t="n">
        <v>8</v>
      </c>
      <c r="IG385" t="n">
        <v>7.5</v>
      </c>
      <c r="IH385" t="n">
        <v>67.5</v>
      </c>
      <c r="II385" t="n">
        <v>-52.5</v>
      </c>
      <c r="IJ385" t="n">
        <v>7.280025519474696</v>
      </c>
      <c r="IK385" t="n">
        <v>7.386142648944785</v>
      </c>
      <c r="IL385" t="n">
        <v>7.394741501209845</v>
      </c>
      <c r="IM385" t="n">
        <v>7.306925241102594</v>
      </c>
      <c r="IN385" t="n">
        <v>7.357505055875849</v>
      </c>
      <c r="IO385" t="n">
        <v>7.307542972730419</v>
      </c>
      <c r="IP385" t="n">
        <v>7.30978162412705</v>
      </c>
      <c r="KH385" t="n">
        <v>7.335</v>
      </c>
      <c r="KS385" t="n">
        <v>-2.2</v>
      </c>
      <c r="LD385" t="n">
        <v>0.5600000000000001</v>
      </c>
    </row>
    <row r="386">
      <c r="A386" t="inlineStr">
        <is>
          <t>2026-05-05</t>
        </is>
      </c>
      <c r="B386" t="inlineStr">
        <is>
          <t>Optimum Wellness 37</t>
        </is>
      </c>
      <c r="C386" t="inlineStr">
        <is>
          <t>209326050501</t>
        </is>
      </c>
      <c r="D386" t="inlineStr">
        <is>
          <t>BA</t>
        </is>
      </c>
      <c r="J386" t="n">
        <v>3.256047116436345</v>
      </c>
      <c r="K386" t="n">
        <v>3.328781681554083</v>
      </c>
      <c r="L386" t="n">
        <v>3.30176493643954</v>
      </c>
      <c r="M386" t="n">
        <v>4.277180078164646</v>
      </c>
      <c r="BH386" t="n">
        <v>3.541</v>
      </c>
      <c r="CD386" t="n">
        <v>12.03</v>
      </c>
      <c r="CJ386" t="n">
        <v>3.33948133933893</v>
      </c>
      <c r="CK386" t="n">
        <v>3.224975842209949</v>
      </c>
      <c r="CL386" t="n">
        <v>3.14358346911694</v>
      </c>
      <c r="CM386" t="n">
        <v>3.027852650118452</v>
      </c>
      <c r="CN386" t="n">
        <v>3.685524730821491</v>
      </c>
      <c r="EH386" t="n">
        <v>3.284</v>
      </c>
      <c r="FD386" t="n">
        <v>6.85</v>
      </c>
      <c r="FJ386" t="n">
        <v>11.10456655732796</v>
      </c>
      <c r="FK386" t="n">
        <v>9.933322568121532</v>
      </c>
      <c r="FL386" t="n">
        <v>11.88956140066241</v>
      </c>
      <c r="FM386" t="n">
        <v>11.89384472409828</v>
      </c>
      <c r="FN386" t="n">
        <v>11.85879434773143</v>
      </c>
      <c r="HH386" t="n">
        <v>11.336</v>
      </c>
      <c r="ID386" t="n">
        <v>6.73</v>
      </c>
      <c r="IJ386" t="n">
        <v>10.58694054205005</v>
      </c>
      <c r="IK386" t="n">
        <v>10.18638139725048</v>
      </c>
      <c r="IL386" t="n">
        <v>13.24425634099259</v>
      </c>
      <c r="IM386" t="n">
        <v>11.09053871034392</v>
      </c>
      <c r="IN386" t="n">
        <v>11.08840652998252</v>
      </c>
      <c r="KH386" t="n">
        <v>11.239</v>
      </c>
      <c r="LD386" t="n">
        <v>9.42</v>
      </c>
    </row>
    <row r="387">
      <c r="A387" t="inlineStr">
        <is>
          <t>2026-05-05</t>
        </is>
      </c>
      <c r="B387" t="inlineStr">
        <is>
          <t>Optimum Wellness 37</t>
        </is>
      </c>
      <c r="C387" t="inlineStr">
        <is>
          <t>209326050501</t>
        </is>
      </c>
      <c r="D387" t="inlineStr">
        <is>
          <t>Cl</t>
        </is>
      </c>
      <c r="F387" t="n">
        <v>5</v>
      </c>
      <c r="G387" t="n">
        <v>90</v>
      </c>
      <c r="H387" t="n">
        <v>540</v>
      </c>
      <c r="I387" t="n">
        <v>-360</v>
      </c>
      <c r="J387" t="n">
        <v>92.16107024100052</v>
      </c>
      <c r="K387" t="n">
        <v>91.65024362765979</v>
      </c>
      <c r="L387" t="n">
        <v>91.59592880444121</v>
      </c>
      <c r="M387" t="n">
        <v>90.97515159796795</v>
      </c>
      <c r="BH387" t="n">
        <v>91.596</v>
      </c>
      <c r="BS387" t="n">
        <v>1.77</v>
      </c>
      <c r="CD387" t="n">
        <v>0.46</v>
      </c>
      <c r="CF387" t="n">
        <v>5</v>
      </c>
      <c r="CG387" t="n">
        <v>91</v>
      </c>
      <c r="CH387" t="n">
        <v>546</v>
      </c>
      <c r="CI387" t="n">
        <v>-364</v>
      </c>
      <c r="CJ387" t="n">
        <v>83.81578562020223</v>
      </c>
      <c r="CK387" t="n">
        <v>83.77185436028537</v>
      </c>
      <c r="CL387" t="n">
        <v>86.15198944310961</v>
      </c>
      <c r="CM387" t="n">
        <v>83.55649036048086</v>
      </c>
      <c r="CN387" t="n">
        <v>82.73256735153848</v>
      </c>
      <c r="EH387" t="n">
        <v>84.006</v>
      </c>
      <c r="ES387" t="n">
        <v>-7.69</v>
      </c>
      <c r="FD387" t="n">
        <v>1.36</v>
      </c>
      <c r="FF387" t="n">
        <v>5</v>
      </c>
      <c r="FG387" t="n">
        <v>77</v>
      </c>
      <c r="FH387" t="n">
        <v>462</v>
      </c>
      <c r="FI387" t="n">
        <v>-308</v>
      </c>
      <c r="FJ387" t="n">
        <v>75.6109889956272</v>
      </c>
      <c r="FK387" t="n">
        <v>76.55588079873851</v>
      </c>
      <c r="FL387" t="n">
        <v>76.4478240472699</v>
      </c>
      <c r="FM387" t="n">
        <v>77.79895536783107</v>
      </c>
      <c r="FN387" t="n">
        <v>74.01409263966517</v>
      </c>
      <c r="HH387" t="n">
        <v>76.086</v>
      </c>
      <c r="HS387" t="n">
        <v>-1.19</v>
      </c>
      <c r="ID387" t="n">
        <v>1.64</v>
      </c>
      <c r="IF387" t="n">
        <v>5</v>
      </c>
      <c r="IG387" t="n">
        <v>118</v>
      </c>
      <c r="IH387" t="n">
        <v>708</v>
      </c>
      <c r="II387" t="n">
        <v>-472</v>
      </c>
      <c r="IJ387" t="n">
        <v>117.1454953597826</v>
      </c>
      <c r="IK387" t="n">
        <v>118.4331123904909</v>
      </c>
      <c r="IL387" t="n">
        <v>116.6104389307221</v>
      </c>
      <c r="IM387" t="n">
        <v>117.5196648003019</v>
      </c>
      <c r="IN387" t="n">
        <v>114.3319409057325</v>
      </c>
      <c r="KH387" t="n">
        <v>116.808</v>
      </c>
      <c r="KS387" t="n">
        <v>-1.01</v>
      </c>
      <c r="LD387" t="n">
        <v>1.18</v>
      </c>
    </row>
    <row r="388">
      <c r="A388" t="inlineStr">
        <is>
          <t>2026-05-05</t>
        </is>
      </c>
      <c r="B388" t="inlineStr">
        <is>
          <t>Optimum Wellness 37</t>
        </is>
      </c>
      <c r="C388" t="inlineStr">
        <is>
          <t>209326050501</t>
        </is>
      </c>
      <c r="D388" t="inlineStr">
        <is>
          <t>K</t>
        </is>
      </c>
      <c r="G388" t="n">
        <v>3.9</v>
      </c>
      <c r="J388" t="n">
        <v>3.813219496028395</v>
      </c>
      <c r="K388" t="n">
        <v>3.628006950626958</v>
      </c>
      <c r="L388" t="n">
        <v>3.657291350641931</v>
      </c>
      <c r="M388" t="n">
        <v>3.552142171774644</v>
      </c>
      <c r="BH388" t="n">
        <v>3.663</v>
      </c>
      <c r="BS388" t="n">
        <v>-6.09</v>
      </c>
      <c r="CD388" t="n">
        <v>2.59</v>
      </c>
      <c r="CG388" t="n">
        <v>6</v>
      </c>
      <c r="CJ388" t="n">
        <v>6.391408033784264</v>
      </c>
      <c r="CK388" t="n">
        <v>6.478108240737696</v>
      </c>
      <c r="CL388" t="n">
        <v>6.218772042167886</v>
      </c>
      <c r="CM388" t="n">
        <v>6.354375721014834</v>
      </c>
      <c r="CN388" t="n">
        <v>6.392877370852141</v>
      </c>
      <c r="EH388" t="n">
        <v>6.367</v>
      </c>
      <c r="ES388" t="n">
        <v>6.12</v>
      </c>
      <c r="FD388" t="n">
        <v>1.33</v>
      </c>
      <c r="FG388" t="n">
        <v>2.2</v>
      </c>
      <c r="FJ388" t="n">
        <v>2.076462024641293</v>
      </c>
      <c r="FK388" t="n">
        <v>2.048338948512035</v>
      </c>
      <c r="FL388" t="n">
        <v>2.038933474802726</v>
      </c>
      <c r="FM388" t="n">
        <v>2.142443289445583</v>
      </c>
      <c r="FN388" t="n">
        <v>2.2617793068448</v>
      </c>
      <c r="HH388" t="n">
        <v>2.114</v>
      </c>
      <c r="HS388" t="n">
        <v>-3.93</v>
      </c>
      <c r="ID388" t="n">
        <v>3.9</v>
      </c>
      <c r="IG388" t="n">
        <v>8.4</v>
      </c>
      <c r="IJ388" t="n">
        <v>8.853503867223001</v>
      </c>
      <c r="IK388" t="n">
        <v>8.784096346250905</v>
      </c>
      <c r="IL388" t="n">
        <v>9.086131612622971</v>
      </c>
      <c r="IM388" t="n">
        <v>8.685184136556376</v>
      </c>
      <c r="IN388" t="n">
        <v>8.825183240315948</v>
      </c>
      <c r="KH388" t="n">
        <v>8.847</v>
      </c>
      <c r="KS388" t="n">
        <v>5.32</v>
      </c>
      <c r="LD388" t="n">
        <v>1.5</v>
      </c>
    </row>
    <row r="389">
      <c r="A389" t="inlineStr">
        <is>
          <t>2026-05-05</t>
        </is>
      </c>
      <c r="B389" t="inlineStr">
        <is>
          <t>Optimum Wellness 37</t>
        </is>
      </c>
      <c r="C389" t="inlineStr">
        <is>
          <t>209326050501</t>
        </is>
      </c>
      <c r="D389" t="inlineStr">
        <is>
          <t>Na</t>
        </is>
      </c>
      <c r="G389" t="n">
        <v>141</v>
      </c>
      <c r="J389" t="n">
        <v>143.9742518502919</v>
      </c>
      <c r="K389" t="n">
        <v>141.7289307841754</v>
      </c>
      <c r="L389" t="n">
        <v>143.0701046552167</v>
      </c>
      <c r="M389" t="n">
        <v>143.2490851817307</v>
      </c>
      <c r="BH389" t="n">
        <v>143.006</v>
      </c>
      <c r="BS389" t="n">
        <v>1.42</v>
      </c>
      <c r="CD389" t="n">
        <v>0.57</v>
      </c>
      <c r="CG389" t="n">
        <v>129</v>
      </c>
      <c r="CJ389" t="n">
        <v>134.7872560367279</v>
      </c>
      <c r="CK389" t="n">
        <v>134.8552272862587</v>
      </c>
      <c r="CL389" t="n">
        <v>133.7567918157773</v>
      </c>
      <c r="CM389" t="n">
        <v>135.220293736641</v>
      </c>
      <c r="CN389" t="n">
        <v>135.1072132152219</v>
      </c>
      <c r="EH389" t="n">
        <v>134.745</v>
      </c>
      <c r="ES389" t="n">
        <v>4.45</v>
      </c>
      <c r="FD389" t="n">
        <v>0.39</v>
      </c>
      <c r="FG389" t="n">
        <v>118</v>
      </c>
      <c r="FJ389" t="n">
        <v>123.2348997405332</v>
      </c>
      <c r="FK389" t="n">
        <v>122.1906920766053</v>
      </c>
      <c r="FL389" t="n">
        <v>122.0960227957854</v>
      </c>
      <c r="FM389" t="n">
        <v>122.242659161488</v>
      </c>
      <c r="FN389" t="n">
        <v>123.1639621049488</v>
      </c>
      <c r="HH389" t="n">
        <v>122.586</v>
      </c>
      <c r="HS389" t="n">
        <v>3.89</v>
      </c>
      <c r="ID389" t="n">
        <v>0.41</v>
      </c>
      <c r="IG389" t="n">
        <v>166</v>
      </c>
      <c r="IJ389" t="n">
        <v>161.3296049618579</v>
      </c>
      <c r="IK389" t="n">
        <v>163.7003420115012</v>
      </c>
      <c r="IL389" t="n">
        <v>159.3910580388474</v>
      </c>
      <c r="IM389" t="n">
        <v>161.3914678632924</v>
      </c>
      <c r="IN389" t="n">
        <v>161.5159503993022</v>
      </c>
      <c r="KH389" t="n">
        <v>161.466</v>
      </c>
      <c r="KS389" t="n">
        <v>-2.73</v>
      </c>
      <c r="LD389" t="n">
        <v>0.85</v>
      </c>
    </row>
    <row r="390">
      <c r="A390" t="inlineStr">
        <is>
          <t>2026-05-05</t>
        </is>
      </c>
      <c r="B390" t="inlineStr">
        <is>
          <t>Optimum Wellness 37</t>
        </is>
      </c>
      <c r="C390" t="inlineStr">
        <is>
          <t>209326050501</t>
        </is>
      </c>
      <c r="D390" t="inlineStr">
        <is>
          <t>P-LIPA</t>
        </is>
      </c>
      <c r="F390" t="n">
        <v>30</v>
      </c>
      <c r="J390" t="n">
        <v>73.48857843745398</v>
      </c>
      <c r="K390" t="n">
        <v>71.38166594260477</v>
      </c>
      <c r="L390" t="n">
        <v>75.30108807755551</v>
      </c>
      <c r="M390" t="n">
        <v>74.86029098133784</v>
      </c>
      <c r="BH390" t="n">
        <v>73.758</v>
      </c>
      <c r="CD390" t="n">
        <v>2.07</v>
      </c>
      <c r="CF390" t="n">
        <v>30</v>
      </c>
      <c r="CJ390" t="n">
        <v>91.79682872667175</v>
      </c>
      <c r="CK390" t="n">
        <v>87.79314083853555</v>
      </c>
      <c r="CL390" t="n">
        <v>95.08930659684444</v>
      </c>
      <c r="CM390" t="n">
        <v>94.69083789799942</v>
      </c>
      <c r="CN390" t="n">
        <v>93.11721869376581</v>
      </c>
      <c r="EH390" t="n">
        <v>92.497</v>
      </c>
      <c r="FD390" t="n">
        <v>2.84</v>
      </c>
      <c r="FF390" t="n">
        <v>30</v>
      </c>
      <c r="FJ390" t="n">
        <v>43.77622981899107</v>
      </c>
      <c r="FK390" t="n">
        <v>41.18240481367187</v>
      </c>
      <c r="FL390" t="n">
        <v>42.16575361462256</v>
      </c>
      <c r="FM390" t="n">
        <v>43.50047962344438</v>
      </c>
      <c r="FN390" t="n">
        <v>42.81184083693277</v>
      </c>
      <c r="HH390" t="n">
        <v>42.687</v>
      </c>
      <c r="ID390" t="n">
        <v>2.2</v>
      </c>
      <c r="IF390" t="n">
        <v>30</v>
      </c>
      <c r="IJ390" t="n">
        <v>119.7143549677408</v>
      </c>
      <c r="IK390" t="n">
        <v>118.9269304735344</v>
      </c>
      <c r="IL390" t="n">
        <v>111.0410399082456</v>
      </c>
      <c r="IM390" t="n">
        <v>118.0142178845097</v>
      </c>
      <c r="IN390" t="n">
        <v>116.4733564561589</v>
      </c>
      <c r="KH390" t="n">
        <v>116.834</v>
      </c>
      <c r="LD390" t="n">
        <v>2.65</v>
      </c>
    </row>
    <row r="391">
      <c r="A391" t="inlineStr">
        <is>
          <t>2026-05-05</t>
        </is>
      </c>
      <c r="B391" t="inlineStr">
        <is>
          <t>Optimum Wellness 37</t>
        </is>
      </c>
      <c r="C391" t="inlineStr">
        <is>
          <t>209326050501</t>
        </is>
      </c>
      <c r="D391" t="inlineStr">
        <is>
          <t>TCO2</t>
        </is>
      </c>
      <c r="F391" t="n">
        <v>20</v>
      </c>
      <c r="G391" t="n">
        <v>32.5</v>
      </c>
      <c r="H391" t="n">
        <v>682.5</v>
      </c>
      <c r="I391" t="n">
        <v>-617.5</v>
      </c>
      <c r="J391" t="n">
        <v>31.80155497009927</v>
      </c>
      <c r="K391" t="n">
        <v>31.77075451152134</v>
      </c>
      <c r="L391" t="n">
        <v>31.52468322463688</v>
      </c>
      <c r="M391" t="n">
        <v>30.88971508252594</v>
      </c>
      <c r="BH391" t="n">
        <v>31.497</v>
      </c>
      <c r="BS391" t="n">
        <v>-3.09</v>
      </c>
      <c r="CD391" t="n">
        <v>1.16</v>
      </c>
      <c r="CF391" t="n">
        <v>20</v>
      </c>
      <c r="CG391" t="n">
        <v>21.2</v>
      </c>
      <c r="CH391" t="n">
        <v>445.2</v>
      </c>
      <c r="CI391" t="n">
        <v>-402.8</v>
      </c>
      <c r="CJ391" t="n">
        <v>17.4237339555128</v>
      </c>
      <c r="CK391" t="n">
        <v>17.7120374509518</v>
      </c>
      <c r="CL391" t="n">
        <v>18.12784733081103</v>
      </c>
      <c r="CM391" t="n">
        <v>18.93897231454565</v>
      </c>
      <c r="CN391" t="n">
        <v>17.91273919738988</v>
      </c>
      <c r="EH391" t="n">
        <v>18.023</v>
      </c>
      <c r="ES391" t="n">
        <v>-14.99</v>
      </c>
      <c r="FD391" t="n">
        <v>2.85</v>
      </c>
      <c r="FF391" t="n">
        <v>20</v>
      </c>
      <c r="FG391" t="n">
        <v>17.3</v>
      </c>
      <c r="FH391" t="n">
        <v>363.3</v>
      </c>
      <c r="FI391" t="n">
        <v>-328.7</v>
      </c>
      <c r="FJ391" t="n">
        <v>16.06116818584584</v>
      </c>
      <c r="FK391" t="n">
        <v>15.54285641845278</v>
      </c>
      <c r="FL391" t="n">
        <v>16.52844913447599</v>
      </c>
      <c r="FM391" t="n">
        <v>18.22216559350347</v>
      </c>
      <c r="FN391" t="n">
        <v>16.22288373469693</v>
      </c>
      <c r="HH391" t="n">
        <v>16.516</v>
      </c>
      <c r="HS391" t="n">
        <v>-4.53</v>
      </c>
      <c r="ID391" t="n">
        <v>5.52</v>
      </c>
      <c r="IF391" t="n">
        <v>20</v>
      </c>
      <c r="IG391" t="n">
        <v>26.7</v>
      </c>
      <c r="IH391" t="n">
        <v>560.6999999999999</v>
      </c>
      <c r="II391" t="n">
        <v>-507.3</v>
      </c>
      <c r="IJ391" t="n">
        <v>29.58170529853446</v>
      </c>
      <c r="IK391" t="n">
        <v>27.7197153754855</v>
      </c>
      <c r="IL391" t="n">
        <v>23.07400437670749</v>
      </c>
      <c r="IM391" t="n">
        <v>26.32292774442418</v>
      </c>
      <c r="IN391" t="n">
        <v>27.0578042851957</v>
      </c>
      <c r="KH391" t="n">
        <v>26.751</v>
      </c>
      <c r="KS391" t="n">
        <v>0.19</v>
      </c>
      <c r="LD391" t="n">
        <v>7.97</v>
      </c>
    </row>
    <row r="392">
      <c r="A392" t="inlineStr">
        <is>
          <t>2026-05-05</t>
        </is>
      </c>
      <c r="B392" t="inlineStr">
        <is>
          <t>Optimum Wellness 37</t>
        </is>
      </c>
      <c r="C392" t="inlineStr">
        <is>
          <t>209326050501</t>
        </is>
      </c>
      <c r="D392" t="inlineStr">
        <is>
          <t>TRIG</t>
        </is>
      </c>
      <c r="F392" t="n">
        <v>15</v>
      </c>
      <c r="J392" t="n">
        <v>183.1786150489464</v>
      </c>
      <c r="K392" t="n">
        <v>186.290419899853</v>
      </c>
      <c r="L392" t="n">
        <v>181.3009941779507</v>
      </c>
      <c r="M392" t="n">
        <v>184.0130710276526</v>
      </c>
      <c r="BH392" t="n">
        <v>183.696</v>
      </c>
      <c r="CD392" t="n">
        <v>0.98</v>
      </c>
      <c r="CF392" t="n">
        <v>15</v>
      </c>
      <c r="CJ392" t="n">
        <v>96.71615547087728</v>
      </c>
      <c r="CK392" t="n">
        <v>99.2099348590868</v>
      </c>
      <c r="CL392" t="n">
        <v>96.16219337704406</v>
      </c>
      <c r="CM392" t="n">
        <v>96.33953778778532</v>
      </c>
      <c r="CN392" t="n">
        <v>98.08445320961953</v>
      </c>
      <c r="EH392" t="n">
        <v>97.30200000000001</v>
      </c>
      <c r="FD392" t="n">
        <v>1.2</v>
      </c>
      <c r="FF392" t="n">
        <v>15</v>
      </c>
      <c r="FJ392" t="n">
        <v>109.6214386239814</v>
      </c>
      <c r="FK392" t="n">
        <v>112.3716620295553</v>
      </c>
      <c r="FL392" t="n">
        <v>108.3902373584932</v>
      </c>
      <c r="FM392" t="n">
        <v>109.3637937785752</v>
      </c>
      <c r="FN392" t="n">
        <v>107.5209085065216</v>
      </c>
      <c r="HH392" t="n">
        <v>109.454</v>
      </c>
      <c r="ID392" t="n">
        <v>1.5</v>
      </c>
      <c r="IF392" t="n">
        <v>15</v>
      </c>
      <c r="IJ392" t="n">
        <v>215.9627606193349</v>
      </c>
      <c r="IK392" t="n">
        <v>213.2242583262886</v>
      </c>
      <c r="IL392" t="n">
        <v>220.9915783531333</v>
      </c>
      <c r="IM392" t="n">
        <v>211.5214035981225</v>
      </c>
      <c r="IN392" t="n">
        <v>211.3711661094454</v>
      </c>
      <c r="KH392" t="n">
        <v>214.614</v>
      </c>
      <c r="LD392" t="n">
        <v>1.67</v>
      </c>
    </row>
    <row r="393">
      <c r="A393" t="inlineStr">
        <is>
          <t>2026-05-05</t>
        </is>
      </c>
      <c r="B393" t="inlineStr">
        <is>
          <t>Specific Test 5</t>
        </is>
      </c>
      <c r="C393" t="inlineStr">
        <is>
          <t>103526050501</t>
        </is>
      </c>
      <c r="D393" t="inlineStr">
        <is>
          <t>CHOL</t>
        </is>
      </c>
      <c r="F393" t="n">
        <v>10</v>
      </c>
      <c r="G393" t="n">
        <v>228</v>
      </c>
      <c r="H393" t="n">
        <v>2508</v>
      </c>
      <c r="I393" t="n">
        <v>-2052</v>
      </c>
      <c r="J393" t="n">
        <v>232.1339055854213</v>
      </c>
      <c r="K393" t="n">
        <v>229.4041483068878</v>
      </c>
      <c r="L393" t="n">
        <v>227.93539325061</v>
      </c>
      <c r="M393" t="n">
        <v>230.4962299136854</v>
      </c>
      <c r="N393" t="n">
        <v>231.6932570404613</v>
      </c>
      <c r="BH393" t="n">
        <v>230.333</v>
      </c>
      <c r="BS393" t="n">
        <v>1.02</v>
      </c>
      <c r="CD393" t="n">
        <v>0.67</v>
      </c>
      <c r="CF393" t="n">
        <v>10</v>
      </c>
      <c r="CG393" t="n">
        <v>99</v>
      </c>
      <c r="CH393" t="n">
        <v>1089</v>
      </c>
      <c r="CI393" t="n">
        <v>-891</v>
      </c>
      <c r="CJ393" t="n">
        <v>100.8646581696021</v>
      </c>
      <c r="CK393" t="n">
        <v>101.9616741176143</v>
      </c>
      <c r="CL393" t="n">
        <v>103.3950430393237</v>
      </c>
      <c r="CM393" t="n">
        <v>103.7291252983242</v>
      </c>
      <c r="CN393" t="n">
        <v>102.6535483805717</v>
      </c>
      <c r="EH393" t="n">
        <v>102.521</v>
      </c>
      <c r="ES393" t="n">
        <v>3.56</v>
      </c>
      <c r="FD393" t="n">
        <v>1</v>
      </c>
      <c r="FF393" t="n">
        <v>10</v>
      </c>
      <c r="FG393" t="n">
        <v>115</v>
      </c>
      <c r="FH393" t="n">
        <v>1265</v>
      </c>
      <c r="FI393" t="n">
        <v>-1035</v>
      </c>
      <c r="FJ393" t="n">
        <v>276.5277598783189</v>
      </c>
      <c r="FK393" t="n">
        <v>278.0777999307088</v>
      </c>
      <c r="FL393" t="n">
        <v>277.9916382542281</v>
      </c>
      <c r="FM393" t="n">
        <v>275.8699925865519</v>
      </c>
      <c r="FN393" t="n">
        <v>273.2726761501341</v>
      </c>
      <c r="FO393" t="n">
        <v>117.0384492062816</v>
      </c>
      <c r="FP393" t="n">
        <v>117.9749609832871</v>
      </c>
      <c r="FQ393" t="n">
        <v>116.6645040774396</v>
      </c>
      <c r="FR393" t="n">
        <v>116.9200865313907</v>
      </c>
      <c r="FS393" t="n">
        <v>116.8661546442083</v>
      </c>
      <c r="HH393" t="n">
        <v>196.72</v>
      </c>
      <c r="HS393" t="n">
        <v>71.06</v>
      </c>
      <c r="ID393" t="n">
        <v>40.48</v>
      </c>
      <c r="IF393" t="n">
        <v>10</v>
      </c>
      <c r="IG393" t="n">
        <v>269</v>
      </c>
      <c r="IH393" t="n">
        <v>2959</v>
      </c>
      <c r="II393" t="n">
        <v>-2421</v>
      </c>
    </row>
    <row r="394">
      <c r="A394" t="inlineStr">
        <is>
          <t>2026-05-05</t>
        </is>
      </c>
      <c r="B394" t="inlineStr">
        <is>
          <t>Specific Test 5</t>
        </is>
      </c>
      <c r="C394" t="inlineStr">
        <is>
          <t>103526050501</t>
        </is>
      </c>
      <c r="D394" t="inlineStr">
        <is>
          <t>GLU</t>
        </is>
      </c>
      <c r="F394" t="n">
        <v>8</v>
      </c>
      <c r="G394" t="n">
        <v>90.16</v>
      </c>
      <c r="H394" t="n">
        <v>811.4399999999999</v>
      </c>
      <c r="I394" t="n">
        <v>-631.12</v>
      </c>
      <c r="J394" t="n">
        <v>88.17901901569992</v>
      </c>
      <c r="K394" t="n">
        <v>87.04084371807804</v>
      </c>
      <c r="L394" t="n">
        <v>87.01607282632615</v>
      </c>
      <c r="M394" t="n">
        <v>88.02404614968169</v>
      </c>
      <c r="N394" t="n">
        <v>87.36306350442291</v>
      </c>
      <c r="BH394" t="n">
        <v>87.52500000000001</v>
      </c>
      <c r="BS394" t="n">
        <v>-2.92</v>
      </c>
      <c r="CD394" t="n">
        <v>0.5600000000000001</v>
      </c>
      <c r="CF394" t="n">
        <v>8</v>
      </c>
      <c r="CG394" t="n">
        <v>293.02</v>
      </c>
      <c r="CH394" t="n">
        <v>2637.18</v>
      </c>
      <c r="CI394" t="n">
        <v>-2051.14</v>
      </c>
      <c r="CJ394" t="n">
        <v>298.189080455259</v>
      </c>
      <c r="CK394" t="n">
        <v>300.3495020068509</v>
      </c>
      <c r="CL394" t="n">
        <v>304.4311662146458</v>
      </c>
      <c r="CM394" t="n">
        <v>302.4367938061816</v>
      </c>
      <c r="CN394" t="n">
        <v>303.8776780064882</v>
      </c>
      <c r="EH394" t="n">
        <v>301.857</v>
      </c>
      <c r="ES394" t="n">
        <v>3.02</v>
      </c>
      <c r="FD394" t="n">
        <v>0.77</v>
      </c>
      <c r="FF394" t="n">
        <v>8</v>
      </c>
      <c r="FG394" t="n">
        <v>65.66</v>
      </c>
      <c r="FH394" t="n">
        <v>590.9399999999999</v>
      </c>
      <c r="FI394" t="n">
        <v>-459.62</v>
      </c>
      <c r="FJ394" t="n">
        <v>371.1961955109697</v>
      </c>
      <c r="FK394" t="n">
        <v>365.0036773561518</v>
      </c>
      <c r="FL394" t="n">
        <v>367.3592027726144</v>
      </c>
      <c r="FM394" t="n">
        <v>367.9363171872512</v>
      </c>
      <c r="FN394" t="n">
        <v>365.2069499882086</v>
      </c>
      <c r="FO394" t="n">
        <v>67.29253469119064</v>
      </c>
      <c r="FP394" t="n">
        <v>67.68832230595402</v>
      </c>
      <c r="FQ394" t="n">
        <v>67.02697855342096</v>
      </c>
      <c r="FR394" t="n">
        <v>67.16791684291324</v>
      </c>
      <c r="FS394" t="n">
        <v>66.83149675992418</v>
      </c>
      <c r="HH394" t="n">
        <v>217.271</v>
      </c>
      <c r="HS394" t="n">
        <v>230.9</v>
      </c>
      <c r="ID394" t="n">
        <v>69.06999999999999</v>
      </c>
      <c r="IF394" t="n">
        <v>8</v>
      </c>
      <c r="IG394" t="n">
        <v>359.66</v>
      </c>
      <c r="IH394" t="n">
        <v>3236.94</v>
      </c>
      <c r="II394" t="n">
        <v>-2517.62</v>
      </c>
    </row>
    <row r="395">
      <c r="A395" t="inlineStr">
        <is>
          <t>2026-05-05</t>
        </is>
      </c>
      <c r="B395" t="inlineStr">
        <is>
          <t>Specific Test 5</t>
        </is>
      </c>
      <c r="C395" t="inlineStr">
        <is>
          <t>103526050501</t>
        </is>
      </c>
      <c r="D395" t="inlineStr">
        <is>
          <t>TRIG</t>
        </is>
      </c>
      <c r="F395" t="n">
        <v>15</v>
      </c>
      <c r="J395" t="n">
        <v>179.6147826287269</v>
      </c>
      <c r="K395" t="n">
        <v>178.9304351707246</v>
      </c>
      <c r="L395" t="n">
        <v>175.4790180168522</v>
      </c>
      <c r="M395" t="n">
        <v>179.6177335841928</v>
      </c>
      <c r="N395" t="n">
        <v>178.8905301890916</v>
      </c>
      <c r="BH395" t="n">
        <v>178.506</v>
      </c>
      <c r="CD395" t="n">
        <v>0.87</v>
      </c>
      <c r="CF395" t="n">
        <v>15</v>
      </c>
      <c r="CJ395" t="n">
        <v>98.37003656767583</v>
      </c>
      <c r="CK395" t="n">
        <v>100.5943450333868</v>
      </c>
      <c r="CL395" t="n">
        <v>97.67959118013698</v>
      </c>
      <c r="CM395" t="n">
        <v>98.87178171341097</v>
      </c>
      <c r="CN395" t="n">
        <v>96.75787137942277</v>
      </c>
      <c r="EH395" t="n">
        <v>98.455</v>
      </c>
      <c r="FD395" t="n">
        <v>1.3</v>
      </c>
      <c r="FF395" t="n">
        <v>15</v>
      </c>
      <c r="FJ395" t="n">
        <v>233.8892922112051</v>
      </c>
      <c r="FK395" t="n">
        <v>235.6854955517019</v>
      </c>
      <c r="FL395" t="n">
        <v>232.932071597431</v>
      </c>
      <c r="FM395" t="n">
        <v>230.0088592150271</v>
      </c>
      <c r="FN395" t="n">
        <v>228.4627174343152</v>
      </c>
      <c r="FO395" t="n">
        <v>112.2268411363698</v>
      </c>
      <c r="FP395" t="n">
        <v>115.5743511994033</v>
      </c>
      <c r="FQ395" t="n">
        <v>112.9993978412306</v>
      </c>
      <c r="FR395" t="n">
        <v>112.7131022030982</v>
      </c>
      <c r="FS395" t="n">
        <v>112.1822207435558</v>
      </c>
      <c r="HH395" t="n">
        <v>172.667</v>
      </c>
      <c r="ID395" t="n">
        <v>34.5</v>
      </c>
      <c r="IF395" t="n">
        <v>15</v>
      </c>
    </row>
    <row r="396">
      <c r="A396" t="inlineStr">
        <is>
          <t>2026-05-05</t>
        </is>
      </c>
      <c r="B396" t="inlineStr">
        <is>
          <t>Liver 11</t>
        </is>
      </c>
      <c r="C396" t="inlineStr">
        <is>
          <t>100226050501 &amp; 200226050501</t>
        </is>
      </c>
      <c r="D396" t="inlineStr">
        <is>
          <t>ALB</t>
        </is>
      </c>
      <c r="F396" t="n">
        <v>8</v>
      </c>
      <c r="G396" t="n">
        <v>4.2</v>
      </c>
      <c r="H396" t="n">
        <v>37.8</v>
      </c>
      <c r="I396" t="n">
        <v>-29.4</v>
      </c>
      <c r="J396" t="n">
        <v>3.904733281647263</v>
      </c>
      <c r="K396" t="n">
        <v>4.152196529908515</v>
      </c>
      <c r="L396" t="n">
        <v>4.053923474289109</v>
      </c>
      <c r="M396" t="n">
        <v>4.203577804600158</v>
      </c>
      <c r="N396" t="n">
        <v>4.087335094430364</v>
      </c>
      <c r="O396" t="n">
        <v>4.088408902756624</v>
      </c>
      <c r="P396" t="n">
        <v>4.059864989260735</v>
      </c>
      <c r="Q396" t="n">
        <v>3.999005030681542</v>
      </c>
      <c r="R396" t="n">
        <v>4.212283645891207</v>
      </c>
      <c r="BH396" t="n">
        <v>4.082</v>
      </c>
      <c r="BS396" t="n">
        <v>-2.8</v>
      </c>
      <c r="CD396" t="n">
        <v>2.15</v>
      </c>
      <c r="CF396" t="n">
        <v>8</v>
      </c>
      <c r="CG396" t="n">
        <v>2.7</v>
      </c>
      <c r="CH396" t="n">
        <v>24.3</v>
      </c>
      <c r="CI396" t="n">
        <v>-18.9</v>
      </c>
      <c r="CJ396" t="n">
        <v>2.64138566320953</v>
      </c>
      <c r="CK396" t="n">
        <v>2.675173511592692</v>
      </c>
      <c r="CL396" t="n">
        <v>2.677339156236977</v>
      </c>
      <c r="CM396" t="n">
        <v>2.659930826756835</v>
      </c>
      <c r="CN396" t="n">
        <v>2.625403316336947</v>
      </c>
      <c r="CO396" t="n">
        <v>2.74648478791702</v>
      </c>
      <c r="CP396" t="n">
        <v>2.712898202484597</v>
      </c>
      <c r="CQ396" t="n">
        <v>2.770844627646148</v>
      </c>
      <c r="CR396" t="n">
        <v>2.746035286272947</v>
      </c>
      <c r="EH396" t="n">
        <v>2.695</v>
      </c>
      <c r="ES396" t="n">
        <v>-0.18</v>
      </c>
      <c r="FD396" t="n">
        <v>1.79</v>
      </c>
      <c r="FF396" t="n">
        <v>8</v>
      </c>
      <c r="FG396" t="n">
        <v>2.6</v>
      </c>
      <c r="FH396" t="n">
        <v>23.4</v>
      </c>
      <c r="FI396" t="n">
        <v>-18.2</v>
      </c>
      <c r="FJ396" t="n">
        <v>2.464642836462643</v>
      </c>
      <c r="FK396" t="n">
        <v>2.442232093608126</v>
      </c>
      <c r="FL396" t="n">
        <v>2.463259396759931</v>
      </c>
      <c r="FM396" t="n">
        <v>2.561776374366239</v>
      </c>
      <c r="FN396" t="n">
        <v>2.427236342886511</v>
      </c>
      <c r="FO396" t="n">
        <v>2.475593662771614</v>
      </c>
      <c r="FP396" t="n">
        <v>2.468080768929156</v>
      </c>
      <c r="FQ396" t="n">
        <v>2.455280614211824</v>
      </c>
      <c r="FR396" t="n">
        <v>2.575044294608375</v>
      </c>
      <c r="FS396" t="n">
        <v>2.527636884025295</v>
      </c>
      <c r="HH396" t="n">
        <v>2.486</v>
      </c>
      <c r="HS396" t="n">
        <v>-4.38</v>
      </c>
      <c r="ID396" t="n">
        <v>1.93</v>
      </c>
      <c r="IF396" t="n">
        <v>8</v>
      </c>
      <c r="IG396" t="n">
        <v>4.2</v>
      </c>
      <c r="IH396" t="n">
        <v>37.8</v>
      </c>
      <c r="II396" t="n">
        <v>-29.4</v>
      </c>
      <c r="IJ396" t="n">
        <v>4.075605730357973</v>
      </c>
      <c r="IK396" t="n">
        <v>4.056923588556058</v>
      </c>
      <c r="IL396" t="n">
        <v>3.980990573602987</v>
      </c>
      <c r="IM396" t="n">
        <v>4.092145607206729</v>
      </c>
      <c r="IN396" t="n">
        <v>4.073241459887654</v>
      </c>
      <c r="IO396" t="n">
        <v>4.039312034667091</v>
      </c>
      <c r="IP396" t="n">
        <v>4.179954174305474</v>
      </c>
      <c r="IQ396" t="n">
        <v>3.937641009868318</v>
      </c>
      <c r="IR396" t="n">
        <v>4.051294025391305</v>
      </c>
      <c r="KH396" t="n">
        <v>4.054</v>
      </c>
      <c r="KS396" t="n">
        <v>-3.47</v>
      </c>
      <c r="LD396" t="n">
        <v>1.59</v>
      </c>
    </row>
    <row r="397">
      <c r="A397" t="inlineStr">
        <is>
          <t>2026-05-05</t>
        </is>
      </c>
      <c r="B397" t="inlineStr">
        <is>
          <t>Liver 11</t>
        </is>
      </c>
      <c r="C397" t="inlineStr">
        <is>
          <t>100226050501 &amp; 200226050501</t>
        </is>
      </c>
      <c r="D397" t="inlineStr">
        <is>
          <t>ALP</t>
        </is>
      </c>
      <c r="F397" t="n">
        <v>20</v>
      </c>
      <c r="G397" t="n">
        <v>136</v>
      </c>
      <c r="H397" t="n">
        <v>2856</v>
      </c>
      <c r="I397" t="n">
        <v>-2584</v>
      </c>
      <c r="J397" t="n">
        <v>141.2902517185172</v>
      </c>
      <c r="K397" t="n">
        <v>143.5851156152502</v>
      </c>
      <c r="L397" t="n">
        <v>142.6383172480811</v>
      </c>
      <c r="M397" t="n">
        <v>141.3138400331918</v>
      </c>
      <c r="N397" t="n">
        <v>139.5463732821595</v>
      </c>
      <c r="O397" t="n">
        <v>140.5706785993647</v>
      </c>
      <c r="P397" t="n">
        <v>142.0590419060888</v>
      </c>
      <c r="Q397" t="n">
        <v>139.1843845583543</v>
      </c>
      <c r="R397" t="n">
        <v>140.8955445718383</v>
      </c>
      <c r="BH397" t="n">
        <v>141.052</v>
      </c>
      <c r="BS397" t="n">
        <v>3.71</v>
      </c>
      <c r="CD397" t="n">
        <v>0.97</v>
      </c>
      <c r="CF397" t="n">
        <v>20</v>
      </c>
      <c r="CG397" t="n">
        <v>456</v>
      </c>
      <c r="CH397" t="n">
        <v>9576</v>
      </c>
      <c r="CI397" t="n">
        <v>-8664</v>
      </c>
      <c r="CJ397" t="n">
        <v>455.2548899988143</v>
      </c>
      <c r="CK397" t="n">
        <v>438.308963230136</v>
      </c>
      <c r="CL397" t="n">
        <v>444.984554381175</v>
      </c>
      <c r="CM397" t="n">
        <v>442.8114225876697</v>
      </c>
      <c r="CN397" t="n">
        <v>445.085029492875</v>
      </c>
      <c r="CO397" t="n">
        <v>459.9050510181343</v>
      </c>
      <c r="CP397" t="n">
        <v>455.0110126640178</v>
      </c>
      <c r="CQ397" t="n">
        <v>451.944064866189</v>
      </c>
      <c r="CR397" t="n">
        <v>456.5625321200386</v>
      </c>
      <c r="EH397" t="n">
        <v>449.985</v>
      </c>
      <c r="ES397" t="n">
        <v>-1.32</v>
      </c>
      <c r="FD397" t="n">
        <v>1.55</v>
      </c>
      <c r="FF397" t="n">
        <v>20</v>
      </c>
      <c r="FG397" t="n">
        <v>75</v>
      </c>
      <c r="FH397" t="n">
        <v>1575</v>
      </c>
      <c r="FI397" t="n">
        <v>-1425</v>
      </c>
      <c r="FJ397" t="n">
        <v>75.69888348550687</v>
      </c>
      <c r="FK397" t="n">
        <v>75.26444574817434</v>
      </c>
      <c r="FL397" t="n">
        <v>75.91895376421704</v>
      </c>
      <c r="FM397" t="n">
        <v>75.26912061047477</v>
      </c>
      <c r="FN397" t="n">
        <v>75.3440770013717</v>
      </c>
      <c r="FO397" t="n">
        <v>75.6647699442138</v>
      </c>
      <c r="FP397" t="n">
        <v>75.94296901053204</v>
      </c>
      <c r="FQ397" t="n">
        <v>75.6485309311055</v>
      </c>
      <c r="FR397" t="n">
        <v>75.10823145889781</v>
      </c>
      <c r="FS397" t="n">
        <v>75.37525417680712</v>
      </c>
      <c r="HH397" t="n">
        <v>75.524</v>
      </c>
      <c r="HS397" t="n">
        <v>0.7</v>
      </c>
      <c r="ID397" t="n">
        <v>0.36</v>
      </c>
      <c r="IF397" t="n">
        <v>20</v>
      </c>
      <c r="IG397" t="n">
        <v>251</v>
      </c>
      <c r="IH397" t="n">
        <v>5271</v>
      </c>
      <c r="II397" t="n">
        <v>-4769</v>
      </c>
      <c r="IJ397" t="n">
        <v>230.1956480467286</v>
      </c>
      <c r="IK397" t="n">
        <v>226.0705575527874</v>
      </c>
      <c r="IL397" t="n">
        <v>226.7726852165933</v>
      </c>
      <c r="IM397" t="n">
        <v>225.6401640333707</v>
      </c>
      <c r="IN397" t="n">
        <v>231.7418772341051</v>
      </c>
      <c r="IO397" t="n">
        <v>229.3673844763314</v>
      </c>
      <c r="IP397" t="n">
        <v>226.5647796780533</v>
      </c>
      <c r="IQ397" t="n">
        <v>223.5744658754899</v>
      </c>
      <c r="IR397" t="n">
        <v>224.9705657705221</v>
      </c>
      <c r="KH397" t="n">
        <v>227.211</v>
      </c>
      <c r="KS397" t="n">
        <v>-9.48</v>
      </c>
      <c r="LD397" t="n">
        <v>1.1</v>
      </c>
    </row>
    <row r="398">
      <c r="A398" t="inlineStr">
        <is>
          <t>2026-05-05</t>
        </is>
      </c>
      <c r="B398" t="inlineStr">
        <is>
          <t>Liver 11</t>
        </is>
      </c>
      <c r="C398" t="inlineStr">
        <is>
          <t>100226050501 &amp; 200226050501</t>
        </is>
      </c>
      <c r="D398" t="inlineStr">
        <is>
          <t>ALT</t>
        </is>
      </c>
      <c r="F398" t="n">
        <v>15</v>
      </c>
      <c r="G398" t="n">
        <v>28</v>
      </c>
      <c r="H398" t="n">
        <v>448</v>
      </c>
      <c r="I398" t="n">
        <v>-392</v>
      </c>
      <c r="J398" t="n">
        <v>32.36671806650593</v>
      </c>
      <c r="K398" t="n">
        <v>34.41792788287726</v>
      </c>
      <c r="L398" t="n">
        <v>28.09996477953647</v>
      </c>
      <c r="M398" t="n">
        <v>30.87865123663166</v>
      </c>
      <c r="N398" t="n">
        <v>29.08483468385591</v>
      </c>
      <c r="O398" t="n">
        <v>27.61565663411716</v>
      </c>
      <c r="P398" t="n">
        <v>30.39514957409658</v>
      </c>
      <c r="Q398" t="n">
        <v>28.42792882092073</v>
      </c>
      <c r="R398" t="n">
        <v>23.46810533181096</v>
      </c>
      <c r="BH398" t="n">
        <v>29.764</v>
      </c>
      <c r="BS398" t="n">
        <v>6.3</v>
      </c>
      <c r="CD398" t="n">
        <v>10.03</v>
      </c>
      <c r="CF398" t="n">
        <v>15</v>
      </c>
      <c r="CG398" t="n">
        <v>115</v>
      </c>
      <c r="CH398" t="n">
        <v>1840</v>
      </c>
      <c r="CI398" t="n">
        <v>-1610</v>
      </c>
      <c r="CJ398" t="n">
        <v>128.1013226168301</v>
      </c>
      <c r="CK398" t="n">
        <v>124.3947768290047</v>
      </c>
      <c r="CL398" t="n">
        <v>119.2963031533631</v>
      </c>
      <c r="CM398" t="n">
        <v>117.010848694361</v>
      </c>
      <c r="CN398" t="n">
        <v>118.481698295792</v>
      </c>
      <c r="CO398" t="n">
        <v>118.1739252054095</v>
      </c>
      <c r="CP398" t="n">
        <v>122.6666050193265</v>
      </c>
      <c r="CQ398" t="n">
        <v>122.5714666239117</v>
      </c>
      <c r="CR398" t="n">
        <v>119.1856984955064</v>
      </c>
      <c r="EH398" t="n">
        <v>121.098</v>
      </c>
      <c r="ES398" t="n">
        <v>5.3</v>
      </c>
      <c r="FD398" t="n">
        <v>2.8</v>
      </c>
      <c r="FF398" t="n">
        <v>15</v>
      </c>
      <c r="FG398" t="n">
        <v>26</v>
      </c>
      <c r="FH398" t="n">
        <v>416</v>
      </c>
      <c r="FI398" t="n">
        <v>-364</v>
      </c>
      <c r="FJ398" t="n">
        <v>28.33949693767032</v>
      </c>
      <c r="FK398" t="n">
        <v>23.48882463621131</v>
      </c>
      <c r="FL398" t="n">
        <v>29.22545897295597</v>
      </c>
      <c r="FM398" t="n">
        <v>23.93591196902997</v>
      </c>
      <c r="FN398" t="n">
        <v>26.69986335634658</v>
      </c>
      <c r="FO398" t="n">
        <v>31.02719368466458</v>
      </c>
      <c r="FP398" t="n">
        <v>25.24827196743691</v>
      </c>
      <c r="FQ398" t="n">
        <v>27.81135631082514</v>
      </c>
      <c r="FR398" t="n">
        <v>24.64100443298159</v>
      </c>
      <c r="FS398" t="n">
        <v>28.13595450127012</v>
      </c>
      <c r="HH398" t="n">
        <v>26.855</v>
      </c>
      <c r="HS398" t="n">
        <v>3.29</v>
      </c>
      <c r="ID398" t="n">
        <v>8.74</v>
      </c>
      <c r="IF398" t="n">
        <v>15</v>
      </c>
      <c r="IG398" t="n">
        <v>217</v>
      </c>
      <c r="IH398" t="n">
        <v>3472</v>
      </c>
      <c r="II398" t="n">
        <v>-3038</v>
      </c>
      <c r="IJ398" t="n">
        <v>207.1066498307812</v>
      </c>
      <c r="IK398" t="n">
        <v>210.6351311877402</v>
      </c>
      <c r="IL398" t="n">
        <v>206.5928327184176</v>
      </c>
      <c r="IM398" t="n">
        <v>213.1305878318769</v>
      </c>
      <c r="IN398" t="n">
        <v>210.8229041451017</v>
      </c>
      <c r="IO398" t="n">
        <v>211.3581475496559</v>
      </c>
      <c r="IP398" t="n">
        <v>211.819558402615</v>
      </c>
      <c r="IQ398" t="n">
        <v>210.7363263003601</v>
      </c>
      <c r="IR398" t="n">
        <v>210.7396971541038</v>
      </c>
      <c r="KH398" t="n">
        <v>210.327</v>
      </c>
      <c r="KS398" t="n">
        <v>-3.08</v>
      </c>
      <c r="LD398" t="n">
        <v>0.95</v>
      </c>
    </row>
    <row r="399">
      <c r="A399" t="inlineStr">
        <is>
          <t>2026-05-05</t>
        </is>
      </c>
      <c r="B399" t="inlineStr">
        <is>
          <t>Liver 11</t>
        </is>
      </c>
      <c r="C399" t="inlineStr">
        <is>
          <t>100226050501 &amp; 200226050501</t>
        </is>
      </c>
      <c r="D399" t="inlineStr">
        <is>
          <t>AST</t>
        </is>
      </c>
      <c r="F399" t="n">
        <v>15</v>
      </c>
      <c r="G399" t="n">
        <v>44</v>
      </c>
      <c r="H399" t="n">
        <v>704</v>
      </c>
      <c r="I399" t="n">
        <v>-616</v>
      </c>
      <c r="J399" t="n">
        <v>44.98250210451136</v>
      </c>
      <c r="K399" t="n">
        <v>48.78148111893974</v>
      </c>
      <c r="L399" t="n">
        <v>44.71127458872167</v>
      </c>
      <c r="M399" t="n">
        <v>43.60783964604533</v>
      </c>
      <c r="N399" t="n">
        <v>44.26190127715745</v>
      </c>
      <c r="O399" t="n">
        <v>45.52674381106305</v>
      </c>
      <c r="P399" t="n">
        <v>44.87582144456427</v>
      </c>
      <c r="Q399" t="n">
        <v>44.93948793810484</v>
      </c>
      <c r="R399" t="n">
        <v>45.11808158140066</v>
      </c>
      <c r="BH399" t="n">
        <v>44.935</v>
      </c>
      <c r="BS399" t="n">
        <v>2.13</v>
      </c>
      <c r="CD399" t="n">
        <v>3.39</v>
      </c>
      <c r="CF399" t="n">
        <v>15</v>
      </c>
      <c r="CG399" t="n">
        <v>221</v>
      </c>
      <c r="CH399" t="n">
        <v>3536</v>
      </c>
      <c r="CI399" t="n">
        <v>-3094</v>
      </c>
      <c r="CJ399" t="n">
        <v>239.6768251625328</v>
      </c>
      <c r="CK399" t="n">
        <v>229.0325111050746</v>
      </c>
      <c r="CL399" t="n">
        <v>229.9183631276915</v>
      </c>
      <c r="CM399" t="n">
        <v>223.3414666162607</v>
      </c>
      <c r="CN399" t="n">
        <v>228.5369789595764</v>
      </c>
      <c r="CO399" t="n">
        <v>236.9878444132522</v>
      </c>
      <c r="CP399" t="n">
        <v>229.8970599298041</v>
      </c>
      <c r="CQ399" t="n">
        <v>226.293856046277</v>
      </c>
      <c r="CR399" t="n">
        <v>230.0906329265738</v>
      </c>
      <c r="EH399" t="n">
        <v>230.42</v>
      </c>
      <c r="ES399" t="n">
        <v>4.26</v>
      </c>
      <c r="FD399" t="n">
        <v>2.06</v>
      </c>
      <c r="FF399" t="n">
        <v>15</v>
      </c>
      <c r="FG399" t="n">
        <v>45</v>
      </c>
      <c r="FH399" t="n">
        <v>720</v>
      </c>
      <c r="FI399" t="n">
        <v>-630</v>
      </c>
      <c r="FJ399" t="n">
        <v>46.11391444410943</v>
      </c>
      <c r="FK399" t="n">
        <v>46.98113608773691</v>
      </c>
      <c r="FL399" t="n">
        <v>46.46138190776114</v>
      </c>
      <c r="FM399" t="n">
        <v>-8.538384467613197</v>
      </c>
      <c r="FN399" t="n">
        <v>45.08140700772714</v>
      </c>
      <c r="FO399" t="n">
        <v>46.9964974243855</v>
      </c>
      <c r="FP399" t="n">
        <v>49.19980653909408</v>
      </c>
      <c r="FQ399" t="n">
        <v>47.70949766880972</v>
      </c>
      <c r="FR399" t="n">
        <v>44.97448051882716</v>
      </c>
      <c r="FS399" t="n">
        <v>46.11900702598243</v>
      </c>
      <c r="HH399" t="n">
        <v>41.11</v>
      </c>
      <c r="HS399" t="n">
        <v>-8.640000000000001</v>
      </c>
      <c r="ID399" t="n">
        <v>40.36</v>
      </c>
      <c r="IF399" t="n">
        <v>15</v>
      </c>
      <c r="IG399" t="n">
        <v>282</v>
      </c>
      <c r="IH399" t="n">
        <v>4512</v>
      </c>
      <c r="II399" t="n">
        <v>-3948</v>
      </c>
      <c r="IJ399" t="n">
        <v>293.4110984202828</v>
      </c>
      <c r="IK399" t="n">
        <v>284.6455450217023</v>
      </c>
      <c r="IL399" t="n">
        <v>292.1108132463965</v>
      </c>
      <c r="IM399" t="n">
        <v>289.1574955961917</v>
      </c>
      <c r="IN399" t="n">
        <v>291.5200139141111</v>
      </c>
      <c r="IO399" t="n">
        <v>285.9552364437992</v>
      </c>
      <c r="IP399" t="n">
        <v>284.6655973806099</v>
      </c>
      <c r="IQ399" t="n">
        <v>284.6394359287628</v>
      </c>
      <c r="IR399" t="n">
        <v>287.7752484911706</v>
      </c>
      <c r="KH399" t="n">
        <v>288.209</v>
      </c>
      <c r="KS399" t="n">
        <v>2.2</v>
      </c>
      <c r="LD399" t="n">
        <v>1.14</v>
      </c>
    </row>
    <row r="400">
      <c r="A400" t="inlineStr">
        <is>
          <t>2026-05-05</t>
        </is>
      </c>
      <c r="B400" t="inlineStr">
        <is>
          <t>Liver 11</t>
        </is>
      </c>
      <c r="C400" t="inlineStr">
        <is>
          <t>100226050501 &amp; 200226050501</t>
        </is>
      </c>
      <c r="D400" t="inlineStr">
        <is>
          <t>BA</t>
        </is>
      </c>
      <c r="J400" t="n">
        <v>6.124174710430122</v>
      </c>
      <c r="K400" t="n">
        <v>6.384921935961384</v>
      </c>
      <c r="L400" t="n">
        <v>6.299717174353876</v>
      </c>
      <c r="M400" t="n">
        <v>6.547044671010289</v>
      </c>
      <c r="N400" t="n">
        <v>6.716407921583731</v>
      </c>
      <c r="O400" t="n">
        <v>6.452557340350304</v>
      </c>
      <c r="P400" t="n">
        <v>6.215091995587403</v>
      </c>
      <c r="Q400" t="n">
        <v>6.253153428047765</v>
      </c>
      <c r="R400" t="n">
        <v>6.506442649733001</v>
      </c>
      <c r="BH400" t="n">
        <v>6.353</v>
      </c>
      <c r="CD400" t="n">
        <v>3.12</v>
      </c>
      <c r="CJ400" t="n">
        <v>6.066452510551373</v>
      </c>
      <c r="CK400" t="n">
        <v>5.983004282328216</v>
      </c>
      <c r="CL400" t="n">
        <v>5.750466085161343</v>
      </c>
      <c r="CM400" t="n">
        <v>5.895780481018888</v>
      </c>
      <c r="CN400" t="n">
        <v>5.999190009903123</v>
      </c>
      <c r="CO400" t="n">
        <v>6.055084908782557</v>
      </c>
      <c r="CP400" t="n">
        <v>5.392274623958722</v>
      </c>
      <c r="CQ400" t="n">
        <v>6.185376883917468</v>
      </c>
      <c r="CR400" t="n">
        <v>6.148020605866694</v>
      </c>
      <c r="EH400" t="n">
        <v>5.942</v>
      </c>
      <c r="FD400" t="n">
        <v>3.87</v>
      </c>
      <c r="FJ400" t="n">
        <v>13.66156685102422</v>
      </c>
      <c r="FK400" t="n">
        <v>13.71147191086429</v>
      </c>
      <c r="FL400" t="n">
        <v>13.72182764707185</v>
      </c>
      <c r="FM400" t="n">
        <v>14.38151458924446</v>
      </c>
      <c r="FN400" t="n">
        <v>14.45729188819671</v>
      </c>
      <c r="FO400" t="n">
        <v>14.1841426872069</v>
      </c>
      <c r="FP400" t="n">
        <v>14.29497016863469</v>
      </c>
      <c r="FQ400" t="n">
        <v>14.59650427874735</v>
      </c>
      <c r="FR400" t="n">
        <v>14.13511913392144</v>
      </c>
      <c r="FS400" t="n">
        <v>14.44553675095437</v>
      </c>
      <c r="HH400" t="n">
        <v>14.159</v>
      </c>
      <c r="ID400" t="n">
        <v>2.31</v>
      </c>
      <c r="IJ400" t="n">
        <v>13.27112875287709</v>
      </c>
      <c r="IK400" t="n">
        <v>13.56500564671807</v>
      </c>
      <c r="IL400" t="n">
        <v>12.84916839723645</v>
      </c>
      <c r="IM400" t="n">
        <v>13.37002695636823</v>
      </c>
      <c r="IN400" t="n">
        <v>13.06682327919455</v>
      </c>
      <c r="IO400" t="n">
        <v>13.33816896776825</v>
      </c>
      <c r="IP400" t="n">
        <v>13.68659935029687</v>
      </c>
      <c r="IQ400" t="n">
        <v>13.76905849725585</v>
      </c>
      <c r="IR400" t="n">
        <v>12.96314981874416</v>
      </c>
      <c r="KH400" t="n">
        <v>13.32</v>
      </c>
      <c r="LD400" t="n">
        <v>2.26</v>
      </c>
    </row>
    <row r="401">
      <c r="A401" t="inlineStr">
        <is>
          <t>2026-05-05</t>
        </is>
      </c>
      <c r="B401" t="inlineStr">
        <is>
          <t>Liver 11</t>
        </is>
      </c>
      <c r="C401" t="inlineStr">
        <is>
          <t>100226050501 &amp; 200226050501</t>
        </is>
      </c>
      <c r="D401" t="inlineStr">
        <is>
          <t>GGT</t>
        </is>
      </c>
      <c r="F401" t="n">
        <v>15</v>
      </c>
      <c r="G401" t="n">
        <v>57</v>
      </c>
      <c r="H401" t="n">
        <v>912</v>
      </c>
      <c r="I401" t="n">
        <v>-798</v>
      </c>
      <c r="J401" t="n">
        <v>63.24966124942776</v>
      </c>
      <c r="K401" t="n">
        <v>66.64629778136408</v>
      </c>
      <c r="L401" t="n">
        <v>61.49375024172623</v>
      </c>
      <c r="M401" t="n">
        <v>61.94149297148093</v>
      </c>
      <c r="N401" t="n">
        <v>59.95149174519356</v>
      </c>
      <c r="O401" t="n">
        <v>66.54208872850202</v>
      </c>
      <c r="P401" t="n">
        <v>64.03657753842897</v>
      </c>
      <c r="Q401" t="n">
        <v>64.21733740133824</v>
      </c>
      <c r="R401" t="n">
        <v>64.26418423912516</v>
      </c>
      <c r="BH401" t="n">
        <v>63.659</v>
      </c>
      <c r="BS401" t="n">
        <v>11.68</v>
      </c>
      <c r="CD401" t="n">
        <v>3.14</v>
      </c>
      <c r="CF401" t="n">
        <v>15</v>
      </c>
      <c r="CG401" t="n">
        <v>164</v>
      </c>
      <c r="CH401" t="n">
        <v>2624</v>
      </c>
      <c r="CI401" t="n">
        <v>-2296</v>
      </c>
      <c r="CJ401" t="n">
        <v>181.3370498815472</v>
      </c>
      <c r="CK401" t="n">
        <v>176.427533331628</v>
      </c>
      <c r="CL401" t="n">
        <v>179.6918726915558</v>
      </c>
      <c r="CM401" t="n">
        <v>168.4178134000203</v>
      </c>
      <c r="CN401" t="n">
        <v>179.4779435916913</v>
      </c>
      <c r="CO401" t="n">
        <v>178.5860039001062</v>
      </c>
      <c r="CP401" t="n">
        <v>175.3253308332739</v>
      </c>
      <c r="CQ401" t="n">
        <v>175.7113441630272</v>
      </c>
      <c r="CR401" t="n">
        <v>176.7477452266041</v>
      </c>
      <c r="EH401" t="n">
        <v>176.858</v>
      </c>
      <c r="ES401" t="n">
        <v>7.84</v>
      </c>
      <c r="FD401" t="n">
        <v>2</v>
      </c>
      <c r="FF401" t="n">
        <v>15</v>
      </c>
      <c r="FG401" t="n">
        <v>23</v>
      </c>
      <c r="FH401" t="n">
        <v>368</v>
      </c>
      <c r="FI401" t="n">
        <v>-322</v>
      </c>
      <c r="FJ401" t="n">
        <v>29.62611725542606</v>
      </c>
      <c r="FK401" t="n">
        <v>30.99919619977425</v>
      </c>
      <c r="FL401" t="n">
        <v>28.74189054010818</v>
      </c>
      <c r="FM401" t="n">
        <v>28.52525034147531</v>
      </c>
      <c r="FN401" t="n">
        <v>27.66256029963488</v>
      </c>
      <c r="FO401" t="n">
        <v>29.28231268228585</v>
      </c>
      <c r="FP401" t="n">
        <v>28.36722857621555</v>
      </c>
      <c r="FQ401" t="n">
        <v>29.91965525928975</v>
      </c>
      <c r="FR401" t="n">
        <v>27.78153748080206</v>
      </c>
      <c r="FS401" t="n">
        <v>27.58650353589532</v>
      </c>
      <c r="HH401" t="n">
        <v>28.849</v>
      </c>
      <c r="HS401" t="n">
        <v>25.43</v>
      </c>
      <c r="ID401" t="n">
        <v>3.64</v>
      </c>
      <c r="IF401" t="n">
        <v>15</v>
      </c>
      <c r="IG401" t="n">
        <v>126</v>
      </c>
      <c r="IH401" t="n">
        <v>2016</v>
      </c>
      <c r="II401" t="n">
        <v>-1764</v>
      </c>
      <c r="IJ401" t="n">
        <v>141.2420749618416</v>
      </c>
      <c r="IK401" t="n">
        <v>134.5651544291755</v>
      </c>
      <c r="IL401" t="n">
        <v>138.602640240928</v>
      </c>
      <c r="IM401" t="n">
        <v>137.4896366203583</v>
      </c>
      <c r="IN401" t="n">
        <v>140.8196413237536</v>
      </c>
      <c r="IO401" t="n">
        <v>133.8179678476994</v>
      </c>
      <c r="IP401" t="n">
        <v>135.5695314588731</v>
      </c>
      <c r="IQ401" t="n">
        <v>133.0407598749701</v>
      </c>
      <c r="IR401" t="n">
        <v>135.5453017908528</v>
      </c>
      <c r="KH401" t="n">
        <v>136.744</v>
      </c>
      <c r="KS401" t="n">
        <v>8.529999999999999</v>
      </c>
      <c r="LD401" t="n">
        <v>2.05</v>
      </c>
    </row>
    <row r="402">
      <c r="A402" t="inlineStr">
        <is>
          <t>2026-05-05</t>
        </is>
      </c>
      <c r="B402" t="inlineStr">
        <is>
          <t>Liver 11</t>
        </is>
      </c>
      <c r="C402" t="inlineStr">
        <is>
          <t>100226050501 &amp; 200226050501</t>
        </is>
      </c>
      <c r="D402" t="inlineStr">
        <is>
          <t>GLU</t>
        </is>
      </c>
      <c r="F402" t="n">
        <v>8</v>
      </c>
      <c r="G402" t="n">
        <v>90.16</v>
      </c>
      <c r="H402" t="n">
        <v>811.4399999999999</v>
      </c>
      <c r="I402" t="n">
        <v>-631.12</v>
      </c>
      <c r="J402" t="n">
        <v>93.14393182036922</v>
      </c>
      <c r="K402" t="n">
        <v>92.53674659943078</v>
      </c>
      <c r="L402" t="n">
        <v>92.22279207849694</v>
      </c>
      <c r="M402" t="n">
        <v>91.91550183412195</v>
      </c>
      <c r="N402" t="n">
        <v>91.37255381509168</v>
      </c>
      <c r="O402" t="n">
        <v>92.46537003213469</v>
      </c>
      <c r="P402" t="n">
        <v>92.77526905287746</v>
      </c>
      <c r="Q402" t="n">
        <v>91.80321619709633</v>
      </c>
      <c r="R402" t="n">
        <v>92.27868790484979</v>
      </c>
      <c r="BH402" t="n">
        <v>92.33799999999999</v>
      </c>
      <c r="BS402" t="n">
        <v>2.42</v>
      </c>
      <c r="CD402" t="n">
        <v>0.55</v>
      </c>
      <c r="CF402" t="n">
        <v>8</v>
      </c>
      <c r="CG402" t="n">
        <v>293.02</v>
      </c>
      <c r="CH402" t="n">
        <v>2637.18</v>
      </c>
      <c r="CI402" t="n">
        <v>-2051.14</v>
      </c>
      <c r="CJ402" t="n">
        <v>303.8673467177776</v>
      </c>
      <c r="CK402" t="n">
        <v>308.5132990316133</v>
      </c>
      <c r="CL402" t="n">
        <v>304.4114883249111</v>
      </c>
      <c r="CM402" t="n">
        <v>303.5242243440011</v>
      </c>
      <c r="CN402" t="n">
        <v>304.7825348981289</v>
      </c>
      <c r="CO402" t="n">
        <v>310.3018726777754</v>
      </c>
      <c r="CP402" t="n">
        <v>310.2457689486681</v>
      </c>
      <c r="CQ402" t="n">
        <v>307.2725105949081</v>
      </c>
      <c r="CR402" t="n">
        <v>311.7723426351963</v>
      </c>
      <c r="EH402" t="n">
        <v>307.188</v>
      </c>
      <c r="ES402" t="n">
        <v>4.84</v>
      </c>
      <c r="FD402" t="n">
        <v>0.97</v>
      </c>
      <c r="FF402" t="n">
        <v>8</v>
      </c>
      <c r="FG402" t="n">
        <v>65.66</v>
      </c>
      <c r="FH402" t="n">
        <v>590.9399999999999</v>
      </c>
      <c r="FI402" t="n">
        <v>-459.62</v>
      </c>
      <c r="FJ402" t="n">
        <v>67.06356799609256</v>
      </c>
      <c r="FK402" t="n">
        <v>66.72400423190209</v>
      </c>
      <c r="FL402" t="n">
        <v>66.8257673890305</v>
      </c>
      <c r="FM402" t="n">
        <v>66.26914600775027</v>
      </c>
      <c r="FN402" t="n">
        <v>66.35580197755523</v>
      </c>
      <c r="FO402" t="n">
        <v>66.984428418701</v>
      </c>
      <c r="FP402" t="n">
        <v>66.86233180913766</v>
      </c>
      <c r="FQ402" t="n">
        <v>67.45895520308351</v>
      </c>
      <c r="FR402" t="n">
        <v>67.22528373234468</v>
      </c>
      <c r="FS402" t="n">
        <v>67.79434688874633</v>
      </c>
      <c r="HH402" t="n">
        <v>66.956</v>
      </c>
      <c r="HS402" t="n">
        <v>1.97</v>
      </c>
      <c r="ID402" t="n">
        <v>0.66</v>
      </c>
      <c r="IF402" t="n">
        <v>8</v>
      </c>
      <c r="IG402" t="n">
        <v>359.66</v>
      </c>
      <c r="IH402" t="n">
        <v>3236.94</v>
      </c>
      <c r="II402" t="n">
        <v>-2517.62</v>
      </c>
      <c r="IJ402" t="n">
        <v>371.3065005347628</v>
      </c>
      <c r="IK402" t="n">
        <v>369.5930160770785</v>
      </c>
      <c r="IL402" t="n">
        <v>368.8573845653002</v>
      </c>
      <c r="IM402" t="n">
        <v>374.9577209911424</v>
      </c>
      <c r="IN402" t="n">
        <v>376.3567159434824</v>
      </c>
      <c r="IO402" t="n">
        <v>375.9726854020576</v>
      </c>
      <c r="IP402" t="n">
        <v>372.0294945172262</v>
      </c>
      <c r="IQ402" t="n">
        <v>364.3092313187248</v>
      </c>
      <c r="IR402" t="n">
        <v>374.2909246599834</v>
      </c>
      <c r="KH402" t="n">
        <v>371.964</v>
      </c>
      <c r="KS402" t="n">
        <v>3.42</v>
      </c>
      <c r="LD402" t="n">
        <v>1</v>
      </c>
    </row>
    <row r="403">
      <c r="A403" t="inlineStr">
        <is>
          <t>2026-05-05</t>
        </is>
      </c>
      <c r="B403" t="inlineStr">
        <is>
          <t>Liver 11</t>
        </is>
      </c>
      <c r="C403" t="inlineStr">
        <is>
          <t>100226050501 &amp; 200226050501</t>
        </is>
      </c>
      <c r="D403" t="inlineStr">
        <is>
          <t>TBIL</t>
        </is>
      </c>
      <c r="F403" t="n">
        <v>20</v>
      </c>
      <c r="G403" t="n">
        <v>1.1</v>
      </c>
      <c r="H403" t="n">
        <v>23.1</v>
      </c>
      <c r="I403" t="n">
        <v>-20.9</v>
      </c>
      <c r="J403" t="n">
        <v>1.227412316652312</v>
      </c>
      <c r="K403" t="n">
        <v>1.434023421688798</v>
      </c>
      <c r="L403" t="n">
        <v>1.341864358338217</v>
      </c>
      <c r="M403" t="n">
        <v>1.346623224155305</v>
      </c>
      <c r="N403" t="n">
        <v>1.367329305408443</v>
      </c>
      <c r="O403" t="n">
        <v>1.296405771454775</v>
      </c>
      <c r="P403" t="n">
        <v>1.344998937669216</v>
      </c>
      <c r="Q403" t="n">
        <v>1.35562350680446</v>
      </c>
      <c r="R403" t="n">
        <v>1.418006449038689</v>
      </c>
      <c r="BH403" t="n">
        <v>1.349</v>
      </c>
      <c r="BS403" t="n">
        <v>22.66</v>
      </c>
      <c r="CD403" t="n">
        <v>4.07</v>
      </c>
      <c r="CF403" t="n">
        <v>20</v>
      </c>
      <c r="CG403" t="n">
        <v>5.1</v>
      </c>
      <c r="CH403" t="n">
        <v>107.1</v>
      </c>
      <c r="CI403" t="n">
        <v>-96.89999999999999</v>
      </c>
      <c r="CJ403" t="n">
        <v>5.040423509212895</v>
      </c>
      <c r="CK403" t="n">
        <v>5.108051873359088</v>
      </c>
      <c r="CL403" t="n">
        <v>5.075613163516282</v>
      </c>
      <c r="CM403" t="n">
        <v>5.083039431431541</v>
      </c>
      <c r="CN403" t="n">
        <v>5.176120826136852</v>
      </c>
      <c r="CO403" t="n">
        <v>5.293753826519071</v>
      </c>
      <c r="CP403" t="n">
        <v>5.276181573792078</v>
      </c>
      <c r="CQ403" t="n">
        <v>5.223192575148593</v>
      </c>
      <c r="CR403" t="n">
        <v>5.26960568225465</v>
      </c>
      <c r="EH403" t="n">
        <v>5.172</v>
      </c>
      <c r="ES403" t="n">
        <v>1.41</v>
      </c>
      <c r="FD403" t="n">
        <v>1.78</v>
      </c>
      <c r="FF403" t="n">
        <v>20</v>
      </c>
      <c r="FG403" t="n">
        <v>0.8</v>
      </c>
      <c r="FH403" t="n">
        <v>16.8</v>
      </c>
      <c r="FI403" t="n">
        <v>-15.2</v>
      </c>
      <c r="FJ403" t="n">
        <v>0.6447419323390857</v>
      </c>
      <c r="FK403" t="n">
        <v>0.6570635061962209</v>
      </c>
      <c r="FL403" t="n">
        <v>0.6711162205094796</v>
      </c>
      <c r="FM403" t="n">
        <v>0.7014623811310177</v>
      </c>
      <c r="FN403" t="n">
        <v>0.7002555035704656</v>
      </c>
      <c r="FO403" t="n">
        <v>0.750816421530355</v>
      </c>
      <c r="FP403" t="n">
        <v>0.7324143098350939</v>
      </c>
      <c r="FQ403" t="n">
        <v>0.7244986339885928</v>
      </c>
      <c r="FR403" t="n">
        <v>0.7145813473436871</v>
      </c>
      <c r="FS403" t="n">
        <v>0.7368364013137292</v>
      </c>
      <c r="HH403" t="n">
        <v>0.703</v>
      </c>
      <c r="HS403" t="n">
        <v>-12.08</v>
      </c>
      <c r="ID403" t="n">
        <v>4.8</v>
      </c>
      <c r="IF403" t="n">
        <v>20</v>
      </c>
      <c r="IG403" t="n">
        <v>8.4</v>
      </c>
      <c r="IH403" t="n">
        <v>176.4</v>
      </c>
      <c r="II403" t="n">
        <v>-159.6</v>
      </c>
      <c r="IJ403" t="n">
        <v>8.076461576046212</v>
      </c>
      <c r="IK403" t="n">
        <v>7.990152109893373</v>
      </c>
      <c r="IL403" t="n">
        <v>8.216054769167082</v>
      </c>
      <c r="IM403" t="n">
        <v>8.320307974942477</v>
      </c>
      <c r="IN403" t="n">
        <v>8.415245144094218</v>
      </c>
      <c r="IO403" t="n">
        <v>8.253045276899195</v>
      </c>
      <c r="IP403" t="n">
        <v>8.339120497293276</v>
      </c>
      <c r="IQ403" t="n">
        <v>8.178271824797193</v>
      </c>
      <c r="IR403" t="n">
        <v>8.275213177665787</v>
      </c>
      <c r="KH403" t="n">
        <v>8.228999999999999</v>
      </c>
      <c r="KS403" t="n">
        <v>-2.03</v>
      </c>
      <c r="LD403" t="n">
        <v>1.52</v>
      </c>
    </row>
    <row r="404">
      <c r="A404" t="inlineStr">
        <is>
          <t>2026-05-04</t>
        </is>
      </c>
      <c r="B404" t="inlineStr">
        <is>
          <t>Optimum Wellness 37</t>
        </is>
      </c>
      <c r="C404" t="inlineStr">
        <is>
          <t>209326050401</t>
        </is>
      </c>
      <c r="D404" t="inlineStr">
        <is>
          <t>BA</t>
        </is>
      </c>
      <c r="J404" t="n">
        <v>4.143719059757269</v>
      </c>
      <c r="K404" t="n">
        <v>4.32346592624032</v>
      </c>
      <c r="L404" t="n">
        <v>4.382812688251949</v>
      </c>
      <c r="M404" t="n">
        <v>4.682187507981064</v>
      </c>
      <c r="N404" t="n">
        <v>4.795536858873996</v>
      </c>
      <c r="BH404" t="n">
        <v>4.466</v>
      </c>
      <c r="CD404" t="n">
        <v>5.36</v>
      </c>
      <c r="CJ404" t="n">
        <v>3.791835041766438</v>
      </c>
      <c r="CK404" t="n">
        <v>4.292778275501627</v>
      </c>
      <c r="CL404" t="n">
        <v>3.896844166984043</v>
      </c>
      <c r="CM404" t="n">
        <v>3.62663855367057</v>
      </c>
      <c r="CN404" t="n">
        <v>4.278932389006547</v>
      </c>
      <c r="EH404" t="n">
        <v>3.977</v>
      </c>
      <c r="FD404" t="n">
        <v>6.69</v>
      </c>
      <c r="FJ404" t="n">
        <v>13.25271613600689</v>
      </c>
      <c r="FK404" t="n">
        <v>13.5372813060855</v>
      </c>
      <c r="FL404" t="n">
        <v>14.50601524992643</v>
      </c>
      <c r="FM404" t="n">
        <v>14.22219577949666</v>
      </c>
      <c r="FN404" t="n">
        <v>14.69187621088271</v>
      </c>
      <c r="HH404" t="n">
        <v>14.042</v>
      </c>
      <c r="ID404" t="n">
        <v>3.96</v>
      </c>
      <c r="IJ404" t="n">
        <v>12.32322502641797</v>
      </c>
      <c r="IK404" t="n">
        <v>12.62163122897645</v>
      </c>
      <c r="IL404" t="n">
        <v>12.66198380254078</v>
      </c>
      <c r="IM404" t="n">
        <v>12.68748614017287</v>
      </c>
      <c r="IN404" t="n">
        <v>12.49559948713738</v>
      </c>
      <c r="KH404" t="n">
        <v>12.558</v>
      </c>
      <c r="LD404" t="n">
        <v>1.07</v>
      </c>
    </row>
    <row r="405">
      <c r="A405" t="inlineStr">
        <is>
          <t>2026-05-04</t>
        </is>
      </c>
      <c r="B405" t="inlineStr">
        <is>
          <t>Optimum Wellness 37</t>
        </is>
      </c>
      <c r="C405" t="inlineStr">
        <is>
          <t>209326050401</t>
        </is>
      </c>
      <c r="D405" t="inlineStr">
        <is>
          <t>Cl</t>
        </is>
      </c>
      <c r="F405" t="n">
        <v>5</v>
      </c>
      <c r="G405" t="n">
        <v>90</v>
      </c>
      <c r="H405" t="n">
        <v>540</v>
      </c>
      <c r="I405" t="n">
        <v>-360</v>
      </c>
      <c r="J405" t="n">
        <v>102.4101001655286</v>
      </c>
      <c r="K405" t="n">
        <v>98.14285027492296</v>
      </c>
      <c r="L405" t="n">
        <v>103.6185603506023</v>
      </c>
      <c r="M405" t="n">
        <v>100.5320165177065</v>
      </c>
      <c r="N405" t="n">
        <v>96.90417322662677</v>
      </c>
      <c r="BH405" t="n">
        <v>100.322</v>
      </c>
      <c r="BS405" t="n">
        <v>11.47</v>
      </c>
      <c r="CD405" t="n">
        <v>2.51</v>
      </c>
      <c r="CF405" t="n">
        <v>5</v>
      </c>
      <c r="CG405" t="n">
        <v>91</v>
      </c>
      <c r="CH405" t="n">
        <v>546</v>
      </c>
      <c r="CI405" t="n">
        <v>-364</v>
      </c>
      <c r="CJ405" t="n">
        <v>92.27497229730314</v>
      </c>
      <c r="CK405" t="n">
        <v>93.27393149469425</v>
      </c>
      <c r="CL405" t="n">
        <v>95.20336279644179</v>
      </c>
      <c r="CM405" t="n">
        <v>91.51385492161505</v>
      </c>
      <c r="CN405" t="n">
        <v>89.96822058804348</v>
      </c>
      <c r="EH405" t="n">
        <v>92.447</v>
      </c>
      <c r="ES405" t="n">
        <v>1.59</v>
      </c>
      <c r="FD405" t="n">
        <v>1.89</v>
      </c>
      <c r="FF405" t="n">
        <v>5</v>
      </c>
      <c r="FG405" t="n">
        <v>77</v>
      </c>
      <c r="FH405" t="n">
        <v>462</v>
      </c>
      <c r="FI405" t="n">
        <v>-308</v>
      </c>
      <c r="FJ405" t="n">
        <v>83.03822030953255</v>
      </c>
      <c r="FK405" t="n">
        <v>82.1646526798262</v>
      </c>
      <c r="FL405" t="n">
        <v>83.70983082522923</v>
      </c>
      <c r="FM405" t="n">
        <v>83.79919201681051</v>
      </c>
      <c r="FN405" t="n">
        <v>81.13854966355058</v>
      </c>
      <c r="HH405" t="n">
        <v>82.77</v>
      </c>
      <c r="HS405" t="n">
        <v>7.49</v>
      </c>
      <c r="ID405" t="n">
        <v>1.21</v>
      </c>
      <c r="IF405" t="n">
        <v>5</v>
      </c>
      <c r="IG405" t="n">
        <v>118</v>
      </c>
      <c r="IH405" t="n">
        <v>708</v>
      </c>
      <c r="II405" t="n">
        <v>-472</v>
      </c>
      <c r="IJ405" t="n">
        <v>127.1852942097196</v>
      </c>
      <c r="IK405" t="n">
        <v>124.3904613396867</v>
      </c>
      <c r="IL405" t="n">
        <v>125.9934672158586</v>
      </c>
      <c r="IM405" t="n">
        <v>123.7165535881574</v>
      </c>
      <c r="IN405" t="n">
        <v>124.8086350230191</v>
      </c>
      <c r="KH405" t="n">
        <v>125.219</v>
      </c>
      <c r="KS405" t="n">
        <v>6.12</v>
      </c>
      <c r="LD405" t="n">
        <v>0.98</v>
      </c>
    </row>
    <row r="406">
      <c r="A406" t="inlineStr">
        <is>
          <t>2026-05-04</t>
        </is>
      </c>
      <c r="B406" t="inlineStr">
        <is>
          <t>Optimum Wellness 37</t>
        </is>
      </c>
      <c r="C406" t="inlineStr">
        <is>
          <t>209326050401</t>
        </is>
      </c>
      <c r="D406" t="inlineStr">
        <is>
          <t>K</t>
        </is>
      </c>
      <c r="G406" t="n">
        <v>3.9</v>
      </c>
      <c r="J406" t="n">
        <v>4.399613900549633</v>
      </c>
      <c r="K406" t="n">
        <v>4.880970206085151</v>
      </c>
      <c r="L406" t="n">
        <v>4.394047874499401</v>
      </c>
      <c r="M406" t="n">
        <v>4.638311208524279</v>
      </c>
      <c r="N406" t="n">
        <v>4.520139355778674</v>
      </c>
      <c r="BH406" t="n">
        <v>4.567</v>
      </c>
      <c r="BS406" t="n">
        <v>17.09</v>
      </c>
      <c r="CD406" t="n">
        <v>3.96</v>
      </c>
      <c r="CG406" t="n">
        <v>6</v>
      </c>
      <c r="CJ406" t="n">
        <v>7.616232358860937</v>
      </c>
      <c r="CK406" t="n">
        <v>8.119909229035198</v>
      </c>
      <c r="CL406" t="n">
        <v>7.970953503012432</v>
      </c>
      <c r="CM406" t="n">
        <v>7.649065643571908</v>
      </c>
      <c r="CN406" t="n">
        <v>7.471502110369888</v>
      </c>
      <c r="EH406" t="n">
        <v>7.766</v>
      </c>
      <c r="ES406" t="n">
        <v>29.43</v>
      </c>
      <c r="FD406" t="n">
        <v>3.1</v>
      </c>
      <c r="FG406" t="n">
        <v>2.2</v>
      </c>
      <c r="FJ406" t="n">
        <v>2.797285911828398</v>
      </c>
      <c r="FK406" t="n">
        <v>2.784857885434413</v>
      </c>
      <c r="FL406" t="n">
        <v>2.535260249523883</v>
      </c>
      <c r="FM406" t="n">
        <v>2.776644441732402</v>
      </c>
      <c r="FN406" t="n">
        <v>2.624924864775795</v>
      </c>
      <c r="HH406" t="n">
        <v>2.704</v>
      </c>
      <c r="HS406" t="n">
        <v>22.9</v>
      </c>
      <c r="ID406" t="n">
        <v>3.89</v>
      </c>
      <c r="IG406" t="n">
        <v>8.4</v>
      </c>
      <c r="IJ406" t="n">
        <v>10.88411670542708</v>
      </c>
      <c r="IK406" t="n">
        <v>10.50292719084767</v>
      </c>
      <c r="IL406" t="n">
        <v>10.40116772844982</v>
      </c>
      <c r="IM406" t="n">
        <v>10.1121169594659</v>
      </c>
      <c r="IN406" t="n">
        <v>10.12524500142178</v>
      </c>
      <c r="KH406" t="n">
        <v>10.405</v>
      </c>
      <c r="KS406" t="n">
        <v>23.87</v>
      </c>
      <c r="LD406" t="n">
        <v>2.73</v>
      </c>
    </row>
    <row r="407">
      <c r="A407" t="inlineStr">
        <is>
          <t>2026-05-04</t>
        </is>
      </c>
      <c r="B407" t="inlineStr">
        <is>
          <t>Optimum Wellness 37</t>
        </is>
      </c>
      <c r="C407" t="inlineStr">
        <is>
          <t>209326050401</t>
        </is>
      </c>
      <c r="D407" t="inlineStr">
        <is>
          <t>Na</t>
        </is>
      </c>
      <c r="G407" t="n">
        <v>141</v>
      </c>
      <c r="J407" t="n">
        <v>149.3423448191641</v>
      </c>
      <c r="K407" t="n">
        <v>149.3426291484213</v>
      </c>
      <c r="L407" t="n">
        <v>146.8503070786489</v>
      </c>
      <c r="M407" t="n">
        <v>151.2851179364492</v>
      </c>
      <c r="N407" t="n">
        <v>151.6431178200473</v>
      </c>
      <c r="BH407" t="n">
        <v>149.693</v>
      </c>
      <c r="BS407" t="n">
        <v>6.17</v>
      </c>
      <c r="CD407" t="n">
        <v>1.14</v>
      </c>
      <c r="CG407" t="n">
        <v>129</v>
      </c>
      <c r="CJ407" t="n">
        <v>138.9318032525839</v>
      </c>
      <c r="CK407" t="n">
        <v>142.1078222038395</v>
      </c>
      <c r="CL407" t="n">
        <v>136.9444641018563</v>
      </c>
      <c r="CM407" t="n">
        <v>136.6244937433321</v>
      </c>
      <c r="CN407" t="n">
        <v>139.6825732492204</v>
      </c>
      <c r="EH407" t="n">
        <v>138.858</v>
      </c>
      <c r="ES407" t="n">
        <v>7.64</v>
      </c>
      <c r="FD407" t="n">
        <v>1.44</v>
      </c>
      <c r="FG407" t="n">
        <v>118</v>
      </c>
      <c r="FJ407" t="n">
        <v>125.854660079999</v>
      </c>
      <c r="FK407" t="n">
        <v>123.7938476383583</v>
      </c>
      <c r="FL407" t="n">
        <v>125.3562115918761</v>
      </c>
      <c r="FM407" t="n">
        <v>126.7634571362214</v>
      </c>
      <c r="FN407" t="n">
        <v>126.6306679806398</v>
      </c>
      <c r="HH407" t="n">
        <v>125.68</v>
      </c>
      <c r="HS407" t="n">
        <v>6.51</v>
      </c>
      <c r="ID407" t="n">
        <v>0.85</v>
      </c>
      <c r="IG407" t="n">
        <v>166</v>
      </c>
      <c r="IJ407" t="n">
        <v>166.9129438908005</v>
      </c>
      <c r="IK407" t="n">
        <v>163.3508142914852</v>
      </c>
      <c r="IL407" t="n">
        <v>166.3417460244838</v>
      </c>
      <c r="IM407" t="n">
        <v>164.7687742820057</v>
      </c>
      <c r="IN407" t="n">
        <v>165.1084910093749</v>
      </c>
      <c r="KH407" t="n">
        <v>165.297</v>
      </c>
      <c r="KS407" t="n">
        <v>-0.42</v>
      </c>
      <c r="LD407" t="n">
        <v>0.76</v>
      </c>
    </row>
    <row r="408">
      <c r="A408" t="inlineStr">
        <is>
          <t>2026-05-04</t>
        </is>
      </c>
      <c r="B408" t="inlineStr">
        <is>
          <t>Optimum Wellness 37</t>
        </is>
      </c>
      <c r="C408" t="inlineStr">
        <is>
          <t>209326050401</t>
        </is>
      </c>
      <c r="D408" t="inlineStr">
        <is>
          <t>P-LIPA</t>
        </is>
      </c>
      <c r="F408" t="n">
        <v>30</v>
      </c>
      <c r="J408" t="n">
        <v>72.89163259090063</v>
      </c>
      <c r="K408" t="n">
        <v>72.70404573666445</v>
      </c>
      <c r="L408" t="n">
        <v>70.98579652791233</v>
      </c>
      <c r="M408" t="n">
        <v>73.95061224941469</v>
      </c>
      <c r="N408" t="n">
        <v>74.07015974211832</v>
      </c>
      <c r="BH408" t="n">
        <v>72.92</v>
      </c>
      <c r="CD408" t="n">
        <v>1.52</v>
      </c>
      <c r="CF408" t="n">
        <v>30</v>
      </c>
      <c r="CJ408" t="n">
        <v>91.10520405630217</v>
      </c>
      <c r="CK408" t="n">
        <v>91.08003481592942</v>
      </c>
      <c r="CL408" t="n">
        <v>90.77790674847651</v>
      </c>
      <c r="CM408" t="n">
        <v>92.69309183179732</v>
      </c>
      <c r="CN408" t="n">
        <v>90.61865720607457</v>
      </c>
      <c r="EH408" t="n">
        <v>91.255</v>
      </c>
      <c r="FD408" t="n">
        <v>0.8100000000000001</v>
      </c>
      <c r="FF408" t="n">
        <v>30</v>
      </c>
      <c r="FJ408" t="n">
        <v>41.90515166348958</v>
      </c>
      <c r="FK408" t="n">
        <v>41.18232408273099</v>
      </c>
      <c r="FL408" t="n">
        <v>42.79780027375864</v>
      </c>
      <c r="FM408" t="n">
        <v>42.92330731810409</v>
      </c>
      <c r="FN408" t="n">
        <v>42.19215735598819</v>
      </c>
      <c r="HH408" t="n">
        <v>42.2</v>
      </c>
      <c r="ID408" t="n">
        <v>1.5</v>
      </c>
      <c r="IF408" t="n">
        <v>30</v>
      </c>
      <c r="IJ408" t="n">
        <v>113.9796104368525</v>
      </c>
      <c r="IK408" t="n">
        <v>111.1560371280422</v>
      </c>
      <c r="IL408" t="n">
        <v>117.0898735704131</v>
      </c>
      <c r="IM408" t="n">
        <v>119.2978963650637</v>
      </c>
      <c r="IN408" t="n">
        <v>117.5778529016796</v>
      </c>
      <c r="KH408" t="n">
        <v>115.82</v>
      </c>
      <c r="LD408" t="n">
        <v>2.5</v>
      </c>
    </row>
    <row r="409">
      <c r="A409" t="inlineStr">
        <is>
          <t>2026-05-04</t>
        </is>
      </c>
      <c r="B409" t="inlineStr">
        <is>
          <t>Optimum Wellness 37</t>
        </is>
      </c>
      <c r="C409" t="inlineStr">
        <is>
          <t>209326050401</t>
        </is>
      </c>
      <c r="D409" t="inlineStr">
        <is>
          <t>TCO2</t>
        </is>
      </c>
      <c r="F409" t="n">
        <v>20</v>
      </c>
      <c r="G409" t="n">
        <v>32.5</v>
      </c>
      <c r="H409" t="n">
        <v>682.5</v>
      </c>
      <c r="I409" t="n">
        <v>-617.5</v>
      </c>
      <c r="J409" t="n">
        <v>32.41131279894981</v>
      </c>
      <c r="K409" t="n">
        <v>30.30794304470074</v>
      </c>
      <c r="L409" t="n">
        <v>30.26379110658895</v>
      </c>
      <c r="M409" t="n">
        <v>31.47849389702489</v>
      </c>
      <c r="N409" t="n">
        <v>30.41149244341561</v>
      </c>
      <c r="BH409" t="n">
        <v>30.975</v>
      </c>
      <c r="BS409" t="n">
        <v>-4.69</v>
      </c>
      <c r="CD409" t="n">
        <v>2.73</v>
      </c>
      <c r="CF409" t="n">
        <v>20</v>
      </c>
      <c r="CG409" t="n">
        <v>21.2</v>
      </c>
      <c r="CH409" t="n">
        <v>445.2</v>
      </c>
      <c r="CI409" t="n">
        <v>-402.8</v>
      </c>
      <c r="CJ409" t="n">
        <v>18.72114959371862</v>
      </c>
      <c r="CK409" t="n">
        <v>21.25116228958511</v>
      </c>
      <c r="CL409" t="n">
        <v>17.16932266766924</v>
      </c>
      <c r="CM409" t="n">
        <v>18.99166902513981</v>
      </c>
      <c r="CN409" t="n">
        <v>19.49602931558146</v>
      </c>
      <c r="EH409" t="n">
        <v>19.126</v>
      </c>
      <c r="ES409" t="n">
        <v>-9.779999999999999</v>
      </c>
      <c r="FD409" t="n">
        <v>6.88</v>
      </c>
      <c r="FF409" t="n">
        <v>20</v>
      </c>
      <c r="FG409" t="n">
        <v>17.3</v>
      </c>
      <c r="FH409" t="n">
        <v>363.3</v>
      </c>
      <c r="FI409" t="n">
        <v>-328.7</v>
      </c>
      <c r="FJ409" t="n">
        <v>19.58491408899395</v>
      </c>
      <c r="FK409" t="n">
        <v>18.83925333541617</v>
      </c>
      <c r="FL409" t="n">
        <v>18.99287372028306</v>
      </c>
      <c r="FM409" t="n">
        <v>22.80145488104582</v>
      </c>
      <c r="FN409" t="n">
        <v>19.33732634903695</v>
      </c>
      <c r="HH409" t="n">
        <v>19.911</v>
      </c>
      <c r="HS409" t="n">
        <v>15.09</v>
      </c>
      <c r="ID409" t="n">
        <v>7.38</v>
      </c>
      <c r="IF409" t="n">
        <v>20</v>
      </c>
      <c r="IG409" t="n">
        <v>26.7</v>
      </c>
      <c r="IH409" t="n">
        <v>560.6999999999999</v>
      </c>
      <c r="II409" t="n">
        <v>-507.3</v>
      </c>
      <c r="IJ409" t="n">
        <v>25.99544275153157</v>
      </c>
      <c r="IK409" t="n">
        <v>24.6687372334821</v>
      </c>
      <c r="IL409" t="n">
        <v>28.60443001082118</v>
      </c>
      <c r="IM409" t="n">
        <v>25.26475383123906</v>
      </c>
      <c r="IN409" t="n">
        <v>26.90955313043642</v>
      </c>
      <c r="KH409" t="n">
        <v>26.289</v>
      </c>
      <c r="KS409" t="n">
        <v>-1.54</v>
      </c>
      <c r="LD409" t="n">
        <v>5.25</v>
      </c>
    </row>
    <row r="410">
      <c r="A410" t="inlineStr">
        <is>
          <t>2026-05-04</t>
        </is>
      </c>
      <c r="B410" t="inlineStr">
        <is>
          <t>Optimum Wellness 37</t>
        </is>
      </c>
      <c r="C410" t="inlineStr">
        <is>
          <t>209326050401</t>
        </is>
      </c>
      <c r="D410" t="inlineStr">
        <is>
          <t>TRIG</t>
        </is>
      </c>
      <c r="F410" t="n">
        <v>15</v>
      </c>
      <c r="J410" t="n">
        <v>185.2970940528355</v>
      </c>
      <c r="K410" t="n">
        <v>187.811106038272</v>
      </c>
      <c r="L410" t="n">
        <v>192.38919301468</v>
      </c>
      <c r="M410" t="n">
        <v>186.6425395590999</v>
      </c>
      <c r="N410" t="n">
        <v>187.4496889638047</v>
      </c>
      <c r="BH410" t="n">
        <v>187.918</v>
      </c>
      <c r="CD410" t="n">
        <v>1.28</v>
      </c>
      <c r="CF410" t="n">
        <v>15</v>
      </c>
      <c r="CJ410" t="n">
        <v>100.5152578494509</v>
      </c>
      <c r="CK410" t="n">
        <v>100.4395792556814</v>
      </c>
      <c r="CL410" t="n">
        <v>102.7961291128353</v>
      </c>
      <c r="CM410" t="n">
        <v>98.58499784862519</v>
      </c>
      <c r="CN410" t="n">
        <v>99.7137660107507</v>
      </c>
      <c r="EH410" t="n">
        <v>100.41</v>
      </c>
      <c r="FD410" t="n">
        <v>1.37</v>
      </c>
      <c r="FF410" t="n">
        <v>15</v>
      </c>
      <c r="FJ410" t="n">
        <v>112.4346075969838</v>
      </c>
      <c r="FK410" t="n">
        <v>116.2238045651706</v>
      </c>
      <c r="FL410" t="n">
        <v>112.1540748754352</v>
      </c>
      <c r="FM410" t="n">
        <v>114.299832084863</v>
      </c>
      <c r="FN410" t="n">
        <v>111.8023712379138</v>
      </c>
      <c r="HH410" t="n">
        <v>113.383</v>
      </c>
      <c r="ID410" t="n">
        <v>1.47</v>
      </c>
      <c r="IF410" t="n">
        <v>15</v>
      </c>
      <c r="IJ410" t="n">
        <v>215.6968467544074</v>
      </c>
      <c r="IK410" t="n">
        <v>219.5648929964237</v>
      </c>
      <c r="IL410" t="n">
        <v>213.6417415833237</v>
      </c>
      <c r="IM410" t="n">
        <v>215.0076457586907</v>
      </c>
      <c r="IN410" t="n">
        <v>214.2555288196548</v>
      </c>
      <c r="KH410" t="n">
        <v>215.633</v>
      </c>
      <c r="LD410" t="n">
        <v>0.97</v>
      </c>
    </row>
    <row r="411">
      <c r="A411" t="inlineStr">
        <is>
          <t>2026-05-04</t>
        </is>
      </c>
      <c r="B411" t="inlineStr">
        <is>
          <t>Equine 26</t>
        </is>
      </c>
      <c r="C411" t="inlineStr">
        <is>
          <t>106026050401</t>
        </is>
      </c>
      <c r="D411" t="inlineStr">
        <is>
          <t>ALP</t>
        </is>
      </c>
      <c r="F411" t="n">
        <v>20</v>
      </c>
      <c r="G411" t="n">
        <v>136</v>
      </c>
      <c r="H411" t="n">
        <v>2856</v>
      </c>
      <c r="I411" t="n">
        <v>-2584</v>
      </c>
      <c r="J411" t="n">
        <v>140.7596817124995</v>
      </c>
      <c r="K411" t="n">
        <v>138.483970863083</v>
      </c>
      <c r="L411" t="n">
        <v>141.6245635107655</v>
      </c>
      <c r="M411" t="n">
        <v>141.2627560494906</v>
      </c>
      <c r="N411" t="n">
        <v>139.7451805500018</v>
      </c>
      <c r="O411" t="n">
        <v>138.4826045349513</v>
      </c>
      <c r="BH411" t="n">
        <v>140.06</v>
      </c>
      <c r="BS411" t="n">
        <v>2.99</v>
      </c>
      <c r="CD411" t="n">
        <v>0.9</v>
      </c>
      <c r="CF411" t="n">
        <v>20</v>
      </c>
      <c r="CG411" t="n">
        <v>456</v>
      </c>
      <c r="CH411" t="n">
        <v>9576</v>
      </c>
      <c r="CI411" t="n">
        <v>-8664</v>
      </c>
      <c r="CJ411" t="n">
        <v>448.1391569128978</v>
      </c>
      <c r="CK411" t="n">
        <v>453.6896378158181</v>
      </c>
      <c r="CL411" t="n">
        <v>462.7020913551954</v>
      </c>
      <c r="CM411" t="n">
        <v>456.7341022162493</v>
      </c>
      <c r="CN411" t="n">
        <v>446.0948577160171</v>
      </c>
      <c r="EH411" t="n">
        <v>453.472</v>
      </c>
      <c r="ES411" t="n">
        <v>-0.55</v>
      </c>
      <c r="FD411" t="n">
        <v>1.32</v>
      </c>
      <c r="FF411" t="n">
        <v>20</v>
      </c>
      <c r="FG411" t="n">
        <v>75</v>
      </c>
      <c r="FH411" t="n">
        <v>1575</v>
      </c>
      <c r="FI411" t="n">
        <v>-1425</v>
      </c>
      <c r="FJ411" t="n">
        <v>74.9401588241961</v>
      </c>
      <c r="FK411" t="n">
        <v>74.24836060743728</v>
      </c>
      <c r="FL411" t="n">
        <v>74.41225427792247</v>
      </c>
      <c r="FM411" t="n">
        <v>74.26531439304111</v>
      </c>
      <c r="FN411" t="n">
        <v>74.50768824866262</v>
      </c>
      <c r="HH411" t="n">
        <v>74.47499999999999</v>
      </c>
      <c r="HS411" t="n">
        <v>-0.7</v>
      </c>
      <c r="ID411" t="n">
        <v>0.34</v>
      </c>
      <c r="IF411" t="n">
        <v>20</v>
      </c>
      <c r="IG411" t="n">
        <v>251</v>
      </c>
      <c r="IH411" t="n">
        <v>5271</v>
      </c>
      <c r="II411" t="n">
        <v>-4769</v>
      </c>
      <c r="IJ411" t="n">
        <v>224.5974243363291</v>
      </c>
      <c r="IK411" t="n">
        <v>218.6403361203331</v>
      </c>
      <c r="IL411" t="n">
        <v>224.5442837932379</v>
      </c>
      <c r="IM411" t="n">
        <v>222.8363942015684</v>
      </c>
      <c r="KH411" t="n">
        <v>222.655</v>
      </c>
      <c r="KS411" t="n">
        <v>-11.29</v>
      </c>
      <c r="LD411" t="n">
        <v>1.09</v>
      </c>
    </row>
    <row r="412">
      <c r="A412" t="inlineStr">
        <is>
          <t>2026-05-04</t>
        </is>
      </c>
      <c r="B412" t="inlineStr">
        <is>
          <t>Equine 26</t>
        </is>
      </c>
      <c r="C412" t="inlineStr">
        <is>
          <t>106026050401</t>
        </is>
      </c>
      <c r="D412" t="inlineStr">
        <is>
          <t>CREA</t>
        </is>
      </c>
      <c r="F412" t="n">
        <v>10</v>
      </c>
      <c r="G412" t="n">
        <v>1.5</v>
      </c>
      <c r="H412" t="n">
        <v>16.5</v>
      </c>
      <c r="I412" t="n">
        <v>-13.5</v>
      </c>
      <c r="J412" t="n">
        <v>1.264039789872232</v>
      </c>
      <c r="K412" t="n">
        <v>1.256119042346616</v>
      </c>
      <c r="L412" t="n">
        <v>1.265488897692186</v>
      </c>
      <c r="M412" t="n">
        <v>1.197401134654337</v>
      </c>
      <c r="N412" t="n">
        <v>1.294196786025025</v>
      </c>
      <c r="O412" t="n">
        <v>1.310854294964354</v>
      </c>
      <c r="BH412" t="n">
        <v>1.265</v>
      </c>
      <c r="BS412" t="n">
        <v>-15.69</v>
      </c>
      <c r="CD412" t="n">
        <v>2.81</v>
      </c>
      <c r="CF412" t="n">
        <v>10</v>
      </c>
      <c r="CG412" t="n">
        <v>5.55</v>
      </c>
      <c r="CH412" t="n">
        <v>61.05</v>
      </c>
      <c r="CI412" t="n">
        <v>-49.95</v>
      </c>
      <c r="CJ412" t="n">
        <v>4.606779998666022</v>
      </c>
      <c r="CK412" t="n">
        <v>4.638581588763186</v>
      </c>
      <c r="CL412" t="n">
        <v>4.735777989228786</v>
      </c>
      <c r="CM412" t="n">
        <v>4.772744128974882</v>
      </c>
      <c r="CN412" t="n">
        <v>4.714831595107143</v>
      </c>
      <c r="EH412" t="n">
        <v>4.694</v>
      </c>
      <c r="ES412" t="n">
        <v>-15.43</v>
      </c>
      <c r="FD412" t="n">
        <v>1.32</v>
      </c>
      <c r="FF412" t="n">
        <v>10</v>
      </c>
      <c r="FG412" t="n">
        <v>0.97</v>
      </c>
      <c r="FH412" t="n">
        <v>10.67</v>
      </c>
      <c r="FI412" t="n">
        <v>-8.73</v>
      </c>
      <c r="FJ412" t="n">
        <v>0.664511943597386</v>
      </c>
      <c r="FK412" t="n">
        <v>0.710967876770781</v>
      </c>
      <c r="FL412" t="n">
        <v>0.6904640730358779</v>
      </c>
      <c r="FM412" t="n">
        <v>0.7052644887703182</v>
      </c>
      <c r="FN412" t="n">
        <v>0.6771487863873343</v>
      </c>
      <c r="HH412" t="n">
        <v>0.6899999999999999</v>
      </c>
      <c r="HS412" t="n">
        <v>-28.9</v>
      </c>
      <c r="ID412" t="n">
        <v>2.5</v>
      </c>
      <c r="IF412" t="n">
        <v>10</v>
      </c>
      <c r="IG412" t="n">
        <v>5.95</v>
      </c>
      <c r="IH412" t="n">
        <v>65.45</v>
      </c>
      <c r="II412" t="n">
        <v>-53.55</v>
      </c>
      <c r="IJ412" t="n">
        <v>5.286051133518805</v>
      </c>
      <c r="IK412" t="n">
        <v>5.143495300192974</v>
      </c>
      <c r="IL412" t="n">
        <v>5.396905025486557</v>
      </c>
      <c r="IM412" t="n">
        <v>5.152427150212121</v>
      </c>
      <c r="KH412" t="n">
        <v>5.245</v>
      </c>
      <c r="KS412" t="n">
        <v>-11.85</v>
      </c>
      <c r="LD412" t="n">
        <v>1.99</v>
      </c>
    </row>
    <row r="413">
      <c r="A413" t="inlineStr">
        <is>
          <t>2026-05-04</t>
        </is>
      </c>
      <c r="B413" t="inlineStr">
        <is>
          <t>Equine 26</t>
        </is>
      </c>
      <c r="C413" t="inlineStr">
        <is>
          <t>106026050401</t>
        </is>
      </c>
      <c r="D413" t="inlineStr">
        <is>
          <t>Ca</t>
        </is>
      </c>
      <c r="G413" t="n">
        <v>9.1</v>
      </c>
      <c r="J413" t="n">
        <v>9.433355950098743</v>
      </c>
      <c r="K413" t="n">
        <v>9.424567861350813</v>
      </c>
      <c r="L413" t="n">
        <v>9.288310537290791</v>
      </c>
      <c r="M413" t="n">
        <v>9.377560709165191</v>
      </c>
      <c r="N413" t="n">
        <v>9.755344083228678</v>
      </c>
      <c r="O413" t="n">
        <v>9.651587282710608</v>
      </c>
      <c r="BH413" t="n">
        <v>9.488</v>
      </c>
      <c r="BS413" t="n">
        <v>4.27</v>
      </c>
      <c r="CD413" t="n">
        <v>1.71</v>
      </c>
      <c r="CG413" t="n">
        <v>12.4</v>
      </c>
      <c r="CJ413" t="n">
        <v>12.3909813845927</v>
      </c>
      <c r="CK413" t="n">
        <v>13.1017126657745</v>
      </c>
      <c r="CL413" t="n">
        <v>12.92686141999588</v>
      </c>
      <c r="CM413" t="n">
        <v>12.9458294139685</v>
      </c>
      <c r="CN413" t="n">
        <v>12.60512049506957</v>
      </c>
      <c r="EH413" t="n">
        <v>12.794</v>
      </c>
      <c r="ES413" t="n">
        <v>3.18</v>
      </c>
      <c r="FD413" t="n">
        <v>2.02</v>
      </c>
      <c r="FG413" t="n">
        <v>5.9</v>
      </c>
      <c r="FJ413" t="n">
        <v>5.5222425421596</v>
      </c>
      <c r="FK413" t="n">
        <v>5.337002300644785</v>
      </c>
      <c r="FL413" t="n">
        <v>5.604254831118454</v>
      </c>
      <c r="FM413" t="n">
        <v>5.923798318910827</v>
      </c>
      <c r="FN413" t="n">
        <v>5.538339837930269</v>
      </c>
      <c r="HH413" t="n">
        <v>5.585</v>
      </c>
      <c r="HS413" t="n">
        <v>-5.34</v>
      </c>
      <c r="ID413" t="n">
        <v>3.42</v>
      </c>
      <c r="IG413" t="n">
        <v>12.7</v>
      </c>
      <c r="IJ413" t="n">
        <v>12.30140420745389</v>
      </c>
      <c r="IK413" t="n">
        <v>12.60317408060335</v>
      </c>
      <c r="IL413" t="n">
        <v>12.9046519984721</v>
      </c>
      <c r="IM413" t="n">
        <v>12.73266465509577</v>
      </c>
      <c r="KH413" t="n">
        <v>12.635</v>
      </c>
      <c r="KS413" t="n">
        <v>-0.51</v>
      </c>
      <c r="LD413" t="n">
        <v>1.75</v>
      </c>
    </row>
    <row r="414">
      <c r="A414" t="inlineStr">
        <is>
          <t>2026-05-04</t>
        </is>
      </c>
      <c r="B414" t="inlineStr">
        <is>
          <t>Equine 26</t>
        </is>
      </c>
      <c r="C414" t="inlineStr">
        <is>
          <t>106026050401</t>
        </is>
      </c>
      <c r="D414" t="inlineStr">
        <is>
          <t>K</t>
        </is>
      </c>
      <c r="G414" t="n">
        <v>3.9</v>
      </c>
      <c r="J414" t="n">
        <v>3.993944645959535</v>
      </c>
      <c r="K414" t="n">
        <v>3.624808015696219</v>
      </c>
      <c r="L414" t="n">
        <v>3.711328679222493</v>
      </c>
      <c r="M414" t="n">
        <v>3.709230010773205</v>
      </c>
      <c r="N414" t="n">
        <v>3.729524779058877</v>
      </c>
      <c r="O414" t="n">
        <v>3.535190666178809</v>
      </c>
      <c r="BH414" t="n">
        <v>3.717</v>
      </c>
      <c r="BS414" t="n">
        <v>-4.68</v>
      </c>
      <c r="CD414" t="n">
        <v>3.78</v>
      </c>
      <c r="CG414" t="n">
        <v>6</v>
      </c>
      <c r="CJ414" t="n">
        <v>6.432480101076373</v>
      </c>
      <c r="CK414" t="n">
        <v>6.281030783726245</v>
      </c>
      <c r="CL414" t="n">
        <v>6.667756240656353</v>
      </c>
      <c r="CM414" t="n">
        <v>6.300205804502805</v>
      </c>
      <c r="CN414" t="n">
        <v>6.192303133579276</v>
      </c>
      <c r="EH414" t="n">
        <v>6.375</v>
      </c>
      <c r="ES414" t="n">
        <v>6.25</v>
      </c>
      <c r="FD414" t="n">
        <v>2.59</v>
      </c>
      <c r="FG414" t="n">
        <v>2.2</v>
      </c>
      <c r="FJ414" t="n">
        <v>2.391632569653811</v>
      </c>
      <c r="FK414" t="n">
        <v>2.226546661912845</v>
      </c>
      <c r="FL414" t="n">
        <v>2.360550337138623</v>
      </c>
      <c r="FM414" t="n">
        <v>2.265358411390153</v>
      </c>
      <c r="FN414" t="n">
        <v>2.215795613226939</v>
      </c>
      <c r="HH414" t="n">
        <v>2.292</v>
      </c>
      <c r="HS414" t="n">
        <v>4.18</v>
      </c>
      <c r="ID414" t="n">
        <v>3.11</v>
      </c>
      <c r="IG414" t="n">
        <v>8.4</v>
      </c>
      <c r="IJ414" t="n">
        <v>8.52202024583891</v>
      </c>
      <c r="IK414" t="n">
        <v>7.894353580031786</v>
      </c>
      <c r="IL414" t="n">
        <v>8.566798566142875</v>
      </c>
      <c r="IM414" t="n">
        <v>8.31240558264582</v>
      </c>
      <c r="KH414" t="n">
        <v>8.324</v>
      </c>
      <c r="KS414" t="n">
        <v>-0.91</v>
      </c>
      <c r="LD414" t="n">
        <v>3.19</v>
      </c>
    </row>
    <row r="415">
      <c r="A415" t="inlineStr">
        <is>
          <t>2026-05-04</t>
        </is>
      </c>
      <c r="B415" t="inlineStr">
        <is>
          <t>Equine 26</t>
        </is>
      </c>
      <c r="C415" t="inlineStr">
        <is>
          <t>106026050401</t>
        </is>
      </c>
      <c r="D415" t="inlineStr">
        <is>
          <t>Na</t>
        </is>
      </c>
      <c r="G415" t="n">
        <v>141</v>
      </c>
      <c r="J415" t="n">
        <v>152.4685262616571</v>
      </c>
      <c r="K415" t="n">
        <v>149.5409684616301</v>
      </c>
      <c r="L415" t="n">
        <v>149.7994231351691</v>
      </c>
      <c r="M415" t="n">
        <v>151.2522821226378</v>
      </c>
      <c r="N415" t="n">
        <v>148.7419271882639</v>
      </c>
      <c r="O415" t="n">
        <v>146.9121253489689</v>
      </c>
      <c r="BH415" t="n">
        <v>149.786</v>
      </c>
      <c r="BS415" t="n">
        <v>6.23</v>
      </c>
      <c r="CD415" t="n">
        <v>1.18</v>
      </c>
      <c r="CG415" t="n">
        <v>129</v>
      </c>
      <c r="CJ415" t="n">
        <v>137.7651612306384</v>
      </c>
      <c r="CK415" t="n">
        <v>139.7254901026849</v>
      </c>
      <c r="CL415" t="n">
        <v>140.6013931044211</v>
      </c>
      <c r="CM415" t="n">
        <v>138.752168859123</v>
      </c>
      <c r="CN415" t="n">
        <v>140.1113020425042</v>
      </c>
      <c r="EH415" t="n">
        <v>139.391</v>
      </c>
      <c r="ES415" t="n">
        <v>8.06</v>
      </c>
      <c r="FD415" t="n">
        <v>0.73</v>
      </c>
      <c r="FG415" t="n">
        <v>118</v>
      </c>
      <c r="FJ415" t="n">
        <v>125.3772131768346</v>
      </c>
      <c r="FK415" t="n">
        <v>123.6368082495636</v>
      </c>
      <c r="FL415" t="n">
        <v>123.9647288003303</v>
      </c>
      <c r="FM415" t="n">
        <v>123.3659358159376</v>
      </c>
      <c r="FN415" t="n">
        <v>124.2704635675811</v>
      </c>
      <c r="HH415" t="n">
        <v>124.123</v>
      </c>
      <c r="HS415" t="n">
        <v>5.19</v>
      </c>
      <c r="ID415" t="n">
        <v>0.5600000000000001</v>
      </c>
      <c r="IG415" t="n">
        <v>166</v>
      </c>
      <c r="IJ415" t="n">
        <v>167.9157811267607</v>
      </c>
      <c r="IK415" t="n">
        <v>167.4119281299204</v>
      </c>
      <c r="IL415" t="n">
        <v>168.6609763192431</v>
      </c>
      <c r="IM415" t="n">
        <v>166.4186943949509</v>
      </c>
      <c r="KH415" t="n">
        <v>167.602</v>
      </c>
      <c r="KS415" t="n">
        <v>0.96</v>
      </c>
      <c r="LD415" t="n">
        <v>0.49</v>
      </c>
    </row>
    <row r="416">
      <c r="A416" t="inlineStr">
        <is>
          <t>2026-05-04</t>
        </is>
      </c>
      <c r="B416" t="inlineStr">
        <is>
          <t>Equine 26</t>
        </is>
      </c>
      <c r="C416" t="inlineStr">
        <is>
          <t>106026050401</t>
        </is>
      </c>
      <c r="D416" t="inlineStr">
        <is>
          <t>PHOS</t>
        </is>
      </c>
      <c r="F416" t="n">
        <v>10</v>
      </c>
      <c r="G416" t="n">
        <v>3.3</v>
      </c>
      <c r="H416" t="n">
        <v>36.3</v>
      </c>
      <c r="I416" t="n">
        <v>-29.7</v>
      </c>
      <c r="J416" t="n">
        <v>3.273798150112422</v>
      </c>
      <c r="K416" t="n">
        <v>3.22595119637718</v>
      </c>
      <c r="L416" t="n">
        <v>3.234541026337351</v>
      </c>
      <c r="M416" t="n">
        <v>3.272114885042402</v>
      </c>
      <c r="N416" t="n">
        <v>3.277155812203473</v>
      </c>
      <c r="O416" t="n">
        <v>3.24049414140618</v>
      </c>
      <c r="BH416" t="n">
        <v>3.254</v>
      </c>
      <c r="BS416" t="n">
        <v>-1.39</v>
      </c>
      <c r="CD416" t="n">
        <v>0.64</v>
      </c>
      <c r="CF416" t="n">
        <v>10</v>
      </c>
      <c r="CG416" t="n">
        <v>7.2</v>
      </c>
      <c r="CH416" t="n">
        <v>79.2</v>
      </c>
      <c r="CI416" t="n">
        <v>-64.8</v>
      </c>
      <c r="CJ416" t="n">
        <v>7.248079093396234</v>
      </c>
      <c r="CK416" t="n">
        <v>7.313066685941346</v>
      </c>
      <c r="CL416" t="n">
        <v>7.473104665323058</v>
      </c>
      <c r="CM416" t="n">
        <v>7.303720226020165</v>
      </c>
      <c r="CN416" t="n">
        <v>7.187060689584486</v>
      </c>
      <c r="EH416" t="n">
        <v>7.305</v>
      </c>
      <c r="ES416" t="n">
        <v>1.46</v>
      </c>
      <c r="FD416" t="n">
        <v>1.31</v>
      </c>
      <c r="FF416" t="n">
        <v>10</v>
      </c>
      <c r="FG416" t="n">
        <v>1.9</v>
      </c>
      <c r="FH416" t="n">
        <v>20.9</v>
      </c>
      <c r="FI416" t="n">
        <v>-17.1</v>
      </c>
      <c r="FJ416" t="n">
        <v>1.916238051016702</v>
      </c>
      <c r="FK416" t="n">
        <v>1.904376072470636</v>
      </c>
      <c r="FL416" t="n">
        <v>1.927959371620479</v>
      </c>
      <c r="FM416" t="n">
        <v>1.907846235195691</v>
      </c>
      <c r="FN416" t="n">
        <v>1.932421304230114</v>
      </c>
      <c r="HH416" t="n">
        <v>1.918</v>
      </c>
      <c r="HS416" t="n">
        <v>0.9399999999999999</v>
      </c>
      <c r="ID416" t="n">
        <v>0.57</v>
      </c>
      <c r="IF416" t="n">
        <v>10</v>
      </c>
      <c r="IG416" t="n">
        <v>7.2</v>
      </c>
      <c r="IH416" t="n">
        <v>79.2</v>
      </c>
      <c r="II416" t="n">
        <v>-64.8</v>
      </c>
      <c r="IJ416" t="n">
        <v>7.287963321652864</v>
      </c>
      <c r="IK416" t="n">
        <v>7.222221336004685</v>
      </c>
      <c r="IL416" t="n">
        <v>7.310837148248039</v>
      </c>
      <c r="IM416" t="n">
        <v>7.235206049303574</v>
      </c>
      <c r="KH416" t="n">
        <v>7.264</v>
      </c>
      <c r="KS416" t="n">
        <v>0.89</v>
      </c>
      <c r="LD416" t="n">
        <v>0.5</v>
      </c>
    </row>
    <row r="417">
      <c r="A417" t="inlineStr">
        <is>
          <t>2026-05-04</t>
        </is>
      </c>
      <c r="B417" t="inlineStr">
        <is>
          <t>Equine 26</t>
        </is>
      </c>
      <c r="C417" t="inlineStr">
        <is>
          <t>106026050401</t>
        </is>
      </c>
      <c r="D417" t="inlineStr">
        <is>
          <t>TBIL</t>
        </is>
      </c>
      <c r="F417" t="n">
        <v>20</v>
      </c>
      <c r="G417" t="n">
        <v>1.1</v>
      </c>
      <c r="H417" t="n">
        <v>23.1</v>
      </c>
      <c r="I417" t="n">
        <v>-20.9</v>
      </c>
      <c r="J417" t="n">
        <v>1.380022068958763</v>
      </c>
      <c r="K417" t="n">
        <v>1.372773636420591</v>
      </c>
      <c r="L417" t="n">
        <v>1.336414601241113</v>
      </c>
      <c r="M417" t="n">
        <v>1.385858775059634</v>
      </c>
      <c r="N417" t="n">
        <v>1.379353853644949</v>
      </c>
      <c r="O417" t="n">
        <v>1.373455465230247</v>
      </c>
      <c r="BH417" t="n">
        <v>1.371</v>
      </c>
      <c r="BS417" t="n">
        <v>24.66</v>
      </c>
      <c r="CD417" t="n">
        <v>1.18</v>
      </c>
      <c r="CF417" t="n">
        <v>20</v>
      </c>
      <c r="CG417" t="n">
        <v>5.1</v>
      </c>
      <c r="CH417" t="n">
        <v>107.1</v>
      </c>
      <c r="CI417" t="n">
        <v>-96.89999999999999</v>
      </c>
      <c r="CJ417" t="n">
        <v>5.195330633582789</v>
      </c>
      <c r="CK417" t="n">
        <v>5.122033369315603</v>
      </c>
      <c r="CL417" t="n">
        <v>5.467822411697688</v>
      </c>
      <c r="CM417" t="n">
        <v>5.28847360150542</v>
      </c>
      <c r="CN417" t="n">
        <v>5.233986688620219</v>
      </c>
      <c r="EH417" t="n">
        <v>5.262</v>
      </c>
      <c r="ES417" t="n">
        <v>3.17</v>
      </c>
      <c r="FD417" t="n">
        <v>2.21</v>
      </c>
      <c r="FF417" t="n">
        <v>20</v>
      </c>
      <c r="FG417" t="n">
        <v>0.8</v>
      </c>
      <c r="FH417" t="n">
        <v>16.8</v>
      </c>
      <c r="FI417" t="n">
        <v>-15.2</v>
      </c>
      <c r="FJ417" t="n">
        <v>0.7026513333412741</v>
      </c>
      <c r="FK417" t="n">
        <v>0.651044498971495</v>
      </c>
      <c r="FL417" t="n">
        <v>0.7432379461920089</v>
      </c>
      <c r="FM417" t="n">
        <v>0.7515327647357823</v>
      </c>
      <c r="FN417" t="n">
        <v>0.7464779917020161</v>
      </c>
      <c r="HH417" t="n">
        <v>0.719</v>
      </c>
      <c r="HS417" t="n">
        <v>-10.13</v>
      </c>
      <c r="ID417" t="n">
        <v>5.31</v>
      </c>
      <c r="IF417" t="n">
        <v>20</v>
      </c>
      <c r="IG417" t="n">
        <v>8.4</v>
      </c>
      <c r="IH417" t="n">
        <v>176.4</v>
      </c>
      <c r="II417" t="n">
        <v>-159.6</v>
      </c>
      <c r="IJ417" t="n">
        <v>8.470844299770942</v>
      </c>
      <c r="IK417" t="n">
        <v>8.415393055852057</v>
      </c>
      <c r="IL417" t="n">
        <v>8.397737509310353</v>
      </c>
      <c r="IM417" t="n">
        <v>8.354576279741789</v>
      </c>
      <c r="KH417" t="n">
        <v>8.41</v>
      </c>
      <c r="KS417" t="n">
        <v>0.11</v>
      </c>
      <c r="LD417" t="n">
        <v>0.5</v>
      </c>
    </row>
    <row r="418">
      <c r="A418" t="inlineStr">
        <is>
          <t>2026-04-30</t>
        </is>
      </c>
      <c r="B418" t="inlineStr">
        <is>
          <t>Renal 15</t>
        </is>
      </c>
      <c r="C418" t="inlineStr">
        <is>
          <t>100726043001 &amp; 200726043001</t>
        </is>
      </c>
      <c r="D418" t="inlineStr">
        <is>
          <t>ALB</t>
        </is>
      </c>
      <c r="F418" t="n">
        <v>8</v>
      </c>
      <c r="G418" t="n">
        <v>4.2</v>
      </c>
      <c r="H418" t="n">
        <v>37.8</v>
      </c>
      <c r="I418" t="n">
        <v>-29.4</v>
      </c>
      <c r="J418" t="n">
        <v>4.180498276464666</v>
      </c>
      <c r="K418" t="n">
        <v>4.138327996572409</v>
      </c>
      <c r="L418" t="n">
        <v>4.086323991364713</v>
      </c>
      <c r="M418" t="n">
        <v>4.114851954846751</v>
      </c>
      <c r="N418" t="n">
        <v>4.104871978937345</v>
      </c>
      <c r="O418" t="n">
        <v>4.204338289100081</v>
      </c>
      <c r="P418" t="n">
        <v>4.104597131587342</v>
      </c>
      <c r="Q418" t="n">
        <v>4.277794203385193</v>
      </c>
      <c r="BH418" t="n">
        <v>4.151</v>
      </c>
      <c r="BS418" t="n">
        <v>-1.16</v>
      </c>
      <c r="CD418" t="n">
        <v>1.47</v>
      </c>
      <c r="CF418" t="n">
        <v>8</v>
      </c>
      <c r="CG418" t="n">
        <v>2.7</v>
      </c>
      <c r="CH418" t="n">
        <v>24.3</v>
      </c>
      <c r="CI418" t="n">
        <v>-18.9</v>
      </c>
      <c r="CJ418" t="n">
        <v>2.786106955647699</v>
      </c>
      <c r="CK418" t="n">
        <v>2.770361923948393</v>
      </c>
      <c r="CL418" t="n">
        <v>2.699508241096255</v>
      </c>
      <c r="CM418" t="n">
        <v>2.816796848515995</v>
      </c>
      <c r="CN418" t="n">
        <v>2.800805379704809</v>
      </c>
      <c r="CO418" t="n">
        <v>2.779325654454078</v>
      </c>
      <c r="CP418" t="n">
        <v>2.810123012834324</v>
      </c>
      <c r="CQ418" t="n">
        <v>2.744010423012774</v>
      </c>
      <c r="EH418" t="n">
        <v>2.776</v>
      </c>
      <c r="ES418" t="n">
        <v>2.81</v>
      </c>
      <c r="FD418" t="n">
        <v>1.3</v>
      </c>
      <c r="FF418" t="n">
        <v>8</v>
      </c>
      <c r="FG418" t="n">
        <v>2.6</v>
      </c>
      <c r="FH418" t="n">
        <v>23.4</v>
      </c>
      <c r="FI418" t="n">
        <v>-18.2</v>
      </c>
      <c r="FJ418" t="n">
        <v>2.624627566887936</v>
      </c>
      <c r="FK418" t="n">
        <v>2.554319627775183</v>
      </c>
      <c r="FL418" t="n">
        <v>2.64074656085579</v>
      </c>
      <c r="FM418" t="n">
        <v>2.616735953286462</v>
      </c>
      <c r="FN418" t="n">
        <v>2.631767230044304</v>
      </c>
      <c r="FO418" t="n">
        <v>2.582677053107593</v>
      </c>
      <c r="FP418" t="n">
        <v>2.632870928716842</v>
      </c>
      <c r="HH418" t="n">
        <v>2.612</v>
      </c>
      <c r="HS418" t="n">
        <v>0.46</v>
      </c>
      <c r="ID418" t="n">
        <v>1.12</v>
      </c>
      <c r="IF418" t="n">
        <v>8</v>
      </c>
      <c r="IG418" t="n">
        <v>4.2</v>
      </c>
      <c r="IH418" t="n">
        <v>37.8</v>
      </c>
      <c r="II418" t="n">
        <v>-29.4</v>
      </c>
      <c r="IJ418" t="n">
        <v>4.165422731576347</v>
      </c>
      <c r="IK418" t="n">
        <v>4.122726146428751</v>
      </c>
      <c r="IL418" t="n">
        <v>4.006704256913874</v>
      </c>
      <c r="IM418" t="n">
        <v>4.056568558866762</v>
      </c>
      <c r="IN418" t="n">
        <v>4.105248669842348</v>
      </c>
      <c r="IO418" t="n">
        <v>4.156032003614119</v>
      </c>
      <c r="IP418" t="n">
        <v>4.147050134568225</v>
      </c>
      <c r="KH418" t="n">
        <v>4.109</v>
      </c>
      <c r="KS418" t="n">
        <v>-2.18</v>
      </c>
      <c r="LD418" t="n">
        <v>1.31</v>
      </c>
    </row>
    <row r="419">
      <c r="A419" t="inlineStr">
        <is>
          <t>2026-04-30</t>
        </is>
      </c>
      <c r="B419" t="inlineStr">
        <is>
          <t>Renal 15</t>
        </is>
      </c>
      <c r="C419" t="inlineStr">
        <is>
          <t>100726043001 &amp; 200726043001</t>
        </is>
      </c>
      <c r="D419" t="inlineStr">
        <is>
          <t>BUN</t>
        </is>
      </c>
      <c r="F419" t="n">
        <v>9</v>
      </c>
      <c r="G419" t="n">
        <v>14.8</v>
      </c>
      <c r="H419" t="n">
        <v>148</v>
      </c>
      <c r="I419" t="n">
        <v>-118.4</v>
      </c>
      <c r="J419" t="n">
        <v>14.83577021123581</v>
      </c>
      <c r="K419" t="n">
        <v>14.51380530087998</v>
      </c>
      <c r="L419" t="n">
        <v>14.46659469448758</v>
      </c>
      <c r="M419" t="n">
        <v>14.14343736473375</v>
      </c>
      <c r="N419" t="n">
        <v>14.51233358600548</v>
      </c>
      <c r="O419" t="n">
        <v>15.01299238095453</v>
      </c>
      <c r="P419" t="n">
        <v>14.39352961804223</v>
      </c>
      <c r="Q419" t="n">
        <v>15.09229403571847</v>
      </c>
      <c r="BH419" t="n">
        <v>14.621</v>
      </c>
      <c r="BS419" t="n">
        <v>-1.21</v>
      </c>
      <c r="CD419" t="n">
        <v>2.09</v>
      </c>
      <c r="CF419" t="n">
        <v>9</v>
      </c>
      <c r="CG419" t="n">
        <v>44.7</v>
      </c>
      <c r="CH419" t="n">
        <v>447</v>
      </c>
      <c r="CI419" t="n">
        <v>-357.6</v>
      </c>
      <c r="CJ419" t="n">
        <v>45.39642486389788</v>
      </c>
      <c r="CK419" t="n">
        <v>44.58538558860308</v>
      </c>
      <c r="CL419" t="n">
        <v>44.45284237197762</v>
      </c>
      <c r="CM419" t="n">
        <v>45.60865645671628</v>
      </c>
      <c r="CN419" t="n">
        <v>45.17780130963904</v>
      </c>
      <c r="CO419" t="n">
        <v>46.43329928697496</v>
      </c>
      <c r="CP419" t="n">
        <v>44.7456109481839</v>
      </c>
      <c r="CQ419" t="n">
        <v>44.92140875791794</v>
      </c>
      <c r="EH419" t="n">
        <v>45.165</v>
      </c>
      <c r="ES419" t="n">
        <v>1.04</v>
      </c>
      <c r="FD419" t="n">
        <v>1.34</v>
      </c>
      <c r="FF419" t="n">
        <v>9</v>
      </c>
      <c r="FG419" t="n">
        <v>14.7</v>
      </c>
      <c r="FH419" t="n">
        <v>147</v>
      </c>
      <c r="FI419" t="n">
        <v>-117.6</v>
      </c>
      <c r="FJ419" t="n">
        <v>15.33343390459563</v>
      </c>
      <c r="FK419" t="n">
        <v>14.7106797043559</v>
      </c>
      <c r="FL419" t="n">
        <v>14.90489384053584</v>
      </c>
      <c r="FM419" t="n">
        <v>14.60283463948585</v>
      </c>
      <c r="FN419" t="n">
        <v>15.1197995129724</v>
      </c>
      <c r="FO419" t="n">
        <v>14.51254456858934</v>
      </c>
      <c r="FP419" t="n">
        <v>14.7413523140171</v>
      </c>
      <c r="HH419" t="n">
        <v>14.847</v>
      </c>
      <c r="HS419" t="n">
        <v>1</v>
      </c>
      <c r="ID419" t="n">
        <v>1.83</v>
      </c>
      <c r="IF419" t="n">
        <v>9</v>
      </c>
      <c r="IG419" t="n">
        <v>65.7</v>
      </c>
      <c r="IH419" t="n">
        <v>657</v>
      </c>
      <c r="II419" t="n">
        <v>-525.6</v>
      </c>
      <c r="IJ419" t="n">
        <v>66.70170528457427</v>
      </c>
      <c r="IK419" t="n">
        <v>65.23474046412734</v>
      </c>
      <c r="IL419" t="n">
        <v>65.71413386183391</v>
      </c>
      <c r="IM419" t="n">
        <v>64.15127208536713</v>
      </c>
      <c r="IN419" t="n">
        <v>65.75681230687762</v>
      </c>
      <c r="IO419" t="n">
        <v>65.08577977619372</v>
      </c>
      <c r="IP419" t="n">
        <v>66.57759472479393</v>
      </c>
      <c r="KH419" t="n">
        <v>65.60299999999999</v>
      </c>
      <c r="KS419" t="n">
        <v>-0.15</v>
      </c>
      <c r="LD419" t="n">
        <v>1.25</v>
      </c>
    </row>
    <row r="420">
      <c r="A420" t="inlineStr">
        <is>
          <t>2026-04-30</t>
        </is>
      </c>
      <c r="B420" t="inlineStr">
        <is>
          <t>Renal 15</t>
        </is>
      </c>
      <c r="C420" t="inlineStr">
        <is>
          <t>100726043001 &amp; 200726043001</t>
        </is>
      </c>
      <c r="D420" t="inlineStr">
        <is>
          <t>CREA</t>
        </is>
      </c>
      <c r="F420" t="n">
        <v>10</v>
      </c>
      <c r="G420" t="n">
        <v>1.5</v>
      </c>
      <c r="H420" t="n">
        <v>16.5</v>
      </c>
      <c r="I420" t="n">
        <v>-13.5</v>
      </c>
      <c r="J420" t="n">
        <v>1.123339788163213</v>
      </c>
      <c r="K420" t="n">
        <v>1.168467911219791</v>
      </c>
      <c r="L420" t="n">
        <v>1.277632924729122</v>
      </c>
      <c r="M420" t="n">
        <v>1.201929854011074</v>
      </c>
      <c r="N420" t="n">
        <v>1.202526587352282</v>
      </c>
      <c r="O420" t="n">
        <v>1.252944883118134</v>
      </c>
      <c r="P420" t="n">
        <v>1.172275615566285</v>
      </c>
      <c r="Q420" t="n">
        <v>1.248928031742738</v>
      </c>
      <c r="BH420" t="n">
        <v>1.206</v>
      </c>
      <c r="BS420" t="n">
        <v>-19.6</v>
      </c>
      <c r="CD420" t="n">
        <v>4</v>
      </c>
      <c r="CF420" t="n">
        <v>10</v>
      </c>
      <c r="CG420" t="n">
        <v>5.55</v>
      </c>
      <c r="CH420" t="n">
        <v>61.05</v>
      </c>
      <c r="CI420" t="n">
        <v>-49.95</v>
      </c>
      <c r="CJ420" t="n">
        <v>4.293947372514459</v>
      </c>
      <c r="CK420" t="n">
        <v>4.431011500257354</v>
      </c>
      <c r="CL420" t="n">
        <v>4.61895985605226</v>
      </c>
      <c r="CM420" t="n">
        <v>4.711743602936091</v>
      </c>
      <c r="CN420" t="n">
        <v>4.671315601212629</v>
      </c>
      <c r="CO420" t="n">
        <v>4.554197178539184</v>
      </c>
      <c r="CP420" t="n">
        <v>4.603359475492296</v>
      </c>
      <c r="CQ420" t="n">
        <v>4.64670595598428</v>
      </c>
      <c r="EH420" t="n">
        <v>4.566</v>
      </c>
      <c r="ES420" t="n">
        <v>-17.72</v>
      </c>
      <c r="FD420" t="n">
        <v>2.85</v>
      </c>
      <c r="FF420" t="n">
        <v>10</v>
      </c>
      <c r="FG420" t="n">
        <v>0.97</v>
      </c>
      <c r="FH420" t="n">
        <v>10.67</v>
      </c>
      <c r="FI420" t="n">
        <v>-8.73</v>
      </c>
      <c r="FJ420" t="n">
        <v>0.6953249113382675</v>
      </c>
      <c r="FK420" t="n">
        <v>0.6807436896597052</v>
      </c>
      <c r="FL420" t="n">
        <v>0.6514459684545121</v>
      </c>
      <c r="FM420" t="n">
        <v>0.6303416990720166</v>
      </c>
      <c r="FN420" t="n">
        <v>0.6046279859309818</v>
      </c>
      <c r="FO420" t="n">
        <v>0.6212398434523839</v>
      </c>
      <c r="FP420" t="n">
        <v>0.643546041738604</v>
      </c>
      <c r="HH420" t="n">
        <v>0.647</v>
      </c>
      <c r="HS420" t="n">
        <v>-33.32</v>
      </c>
      <c r="ID420" t="n">
        <v>4.62</v>
      </c>
      <c r="IF420" t="n">
        <v>10</v>
      </c>
      <c r="IG420" t="n">
        <v>5.95</v>
      </c>
      <c r="IH420" t="n">
        <v>65.45</v>
      </c>
      <c r="II420" t="n">
        <v>-53.55</v>
      </c>
      <c r="IJ420" t="n">
        <v>5.388675813367399</v>
      </c>
      <c r="IK420" t="n">
        <v>5.279049796232218</v>
      </c>
      <c r="IL420" t="n">
        <v>5.153962515001189</v>
      </c>
      <c r="IM420" t="n">
        <v>5.209378218418798</v>
      </c>
      <c r="IN420" t="n">
        <v>5.170353505488265</v>
      </c>
      <c r="IO420" t="n">
        <v>5.32533755174149</v>
      </c>
      <c r="IP420" t="n">
        <v>5.243458763729015</v>
      </c>
      <c r="KH420" t="n">
        <v>5.253</v>
      </c>
      <c r="KS420" t="n">
        <v>-11.72</v>
      </c>
      <c r="LD420" t="n">
        <v>1.49</v>
      </c>
    </row>
    <row r="421">
      <c r="A421" t="inlineStr">
        <is>
          <t>2026-04-30</t>
        </is>
      </c>
      <c r="B421" t="inlineStr">
        <is>
          <t>Renal 15</t>
        </is>
      </c>
      <c r="C421" t="inlineStr">
        <is>
          <t>100726043001 &amp; 200726043001</t>
        </is>
      </c>
      <c r="D421" t="inlineStr">
        <is>
          <t>Ca</t>
        </is>
      </c>
      <c r="G421" t="n">
        <v>9.1</v>
      </c>
      <c r="J421" t="n">
        <v>9.376032029022792</v>
      </c>
      <c r="K421" t="n">
        <v>9.437812773714342</v>
      </c>
      <c r="L421" t="n">
        <v>10.13550276196782</v>
      </c>
      <c r="M421" t="n">
        <v>9.285307792649348</v>
      </c>
      <c r="N421" t="n">
        <v>9.388055752616417</v>
      </c>
      <c r="O421" t="n">
        <v>9.181726382046939</v>
      </c>
      <c r="P421" t="n">
        <v>9.162991465024277</v>
      </c>
      <c r="Q421" t="n">
        <v>10.02007498922645</v>
      </c>
      <c r="BH421" t="n">
        <v>9.497999999999999</v>
      </c>
      <c r="BS421" t="n">
        <v>4.38</v>
      </c>
      <c r="CD421" t="n">
        <v>3.66</v>
      </c>
      <c r="CG421" t="n">
        <v>12.4</v>
      </c>
      <c r="CJ421" t="n">
        <v>12.29762512745792</v>
      </c>
      <c r="CK421" t="n">
        <v>12.40819867847978</v>
      </c>
      <c r="CL421" t="n">
        <v>12.24135338844948</v>
      </c>
      <c r="CM421" t="n">
        <v>13.14494086414796</v>
      </c>
      <c r="CN421" t="n">
        <v>12.35112423550077</v>
      </c>
      <c r="CO421" t="n">
        <v>12.20383595150052</v>
      </c>
      <c r="CP421" t="n">
        <v>12.42689527492192</v>
      </c>
      <c r="CQ421" t="n">
        <v>12.51549536092684</v>
      </c>
      <c r="EH421" t="n">
        <v>12.449</v>
      </c>
      <c r="ES421" t="n">
        <v>0.39</v>
      </c>
      <c r="FD421" t="n">
        <v>2.25</v>
      </c>
      <c r="FG421" t="n">
        <v>5.9</v>
      </c>
      <c r="FJ421" t="n">
        <v>5.696737395857398</v>
      </c>
      <c r="FK421" t="n">
        <v>5.601579117355489</v>
      </c>
      <c r="FL421" t="n">
        <v>5.856406852711092</v>
      </c>
      <c r="FM421" t="n">
        <v>5.556021691726012</v>
      </c>
      <c r="FN421" t="n">
        <v>5.512443284274398</v>
      </c>
      <c r="FO421" t="n">
        <v>5.83356603405736</v>
      </c>
      <c r="FP421" t="n">
        <v>5.668470096213801</v>
      </c>
      <c r="HH421" t="n">
        <v>5.675</v>
      </c>
      <c r="HS421" t="n">
        <v>-3.81</v>
      </c>
      <c r="ID421" t="n">
        <v>2.15</v>
      </c>
      <c r="IG421" t="n">
        <v>12.7</v>
      </c>
      <c r="IJ421" t="n">
        <v>12.31213189968438</v>
      </c>
      <c r="IK421" t="n">
        <v>12.88341440945744</v>
      </c>
      <c r="IL421" t="n">
        <v>12.67065691317695</v>
      </c>
      <c r="IM421" t="n">
        <v>12.33559861868249</v>
      </c>
      <c r="IN421" t="n">
        <v>12.08538490107517</v>
      </c>
      <c r="IO421" t="n">
        <v>12.99561251376952</v>
      </c>
      <c r="IP421" t="n">
        <v>12.58855995932714</v>
      </c>
      <c r="KH421" t="n">
        <v>12.553</v>
      </c>
      <c r="KS421" t="n">
        <v>-1.16</v>
      </c>
      <c r="LD421" t="n">
        <v>2.42</v>
      </c>
    </row>
    <row r="422">
      <c r="A422" t="inlineStr">
        <is>
          <t>2026-04-30</t>
        </is>
      </c>
      <c r="B422" t="inlineStr">
        <is>
          <t>Renal 15</t>
        </is>
      </c>
      <c r="C422" t="inlineStr">
        <is>
          <t>100726043001 &amp; 200726043001</t>
        </is>
      </c>
      <c r="D422" t="inlineStr">
        <is>
          <t>GLU</t>
        </is>
      </c>
      <c r="F422" t="n">
        <v>8</v>
      </c>
      <c r="G422" t="n">
        <v>90.16</v>
      </c>
      <c r="H422" t="n">
        <v>811.4399999999999</v>
      </c>
      <c r="I422" t="n">
        <v>-631.12</v>
      </c>
      <c r="J422" t="n">
        <v>93.07162180569699</v>
      </c>
      <c r="K422" t="n">
        <v>92.53403746810258</v>
      </c>
      <c r="L422" t="n">
        <v>92.22168771250627</v>
      </c>
      <c r="M422" t="n">
        <v>90.34254225130742</v>
      </c>
      <c r="N422" t="n">
        <v>90.1735716066882</v>
      </c>
      <c r="O422" t="n">
        <v>93.25394412859559</v>
      </c>
      <c r="P422" t="n">
        <v>89.77881419304228</v>
      </c>
      <c r="Q422" t="n">
        <v>94.11344110618816</v>
      </c>
      <c r="BH422" t="n">
        <v>91.93600000000001</v>
      </c>
      <c r="BS422" t="n">
        <v>1.97</v>
      </c>
      <c r="CD422" t="n">
        <v>1.65</v>
      </c>
      <c r="CF422" t="n">
        <v>8</v>
      </c>
      <c r="CG422" t="n">
        <v>293.02</v>
      </c>
      <c r="CH422" t="n">
        <v>2637.18</v>
      </c>
      <c r="CI422" t="n">
        <v>-2051.14</v>
      </c>
      <c r="CJ422" t="n">
        <v>306.3442202483843</v>
      </c>
      <c r="CK422" t="n">
        <v>302.5596939548319</v>
      </c>
      <c r="CL422" t="n">
        <v>296.0489075587628</v>
      </c>
      <c r="CM422" t="n">
        <v>307.6860830376826</v>
      </c>
      <c r="CN422" t="n">
        <v>307.2837132756478</v>
      </c>
      <c r="CO422" t="n">
        <v>304.6931578865111</v>
      </c>
      <c r="CP422" t="n">
        <v>304.2110885082844</v>
      </c>
      <c r="CQ422" t="n">
        <v>297.8279487680209</v>
      </c>
      <c r="EH422" t="n">
        <v>303.332</v>
      </c>
      <c r="ES422" t="n">
        <v>3.52</v>
      </c>
      <c r="FD422" t="n">
        <v>1.33</v>
      </c>
      <c r="FF422" t="n">
        <v>8</v>
      </c>
      <c r="FG422" t="n">
        <v>65.66</v>
      </c>
      <c r="FH422" t="n">
        <v>590.9399999999999</v>
      </c>
      <c r="FI422" t="n">
        <v>-459.62</v>
      </c>
      <c r="FJ422" t="n">
        <v>69.12784660391281</v>
      </c>
      <c r="FK422" t="n">
        <v>68.3953904522003</v>
      </c>
      <c r="FL422" t="n">
        <v>67.69477604547312</v>
      </c>
      <c r="FM422" t="n">
        <v>68.36370027921686</v>
      </c>
      <c r="FN422" t="n">
        <v>67.63020217603341</v>
      </c>
      <c r="FO422" t="n">
        <v>67.82809394650242</v>
      </c>
      <c r="FP422" t="n">
        <v>67.76875503633357</v>
      </c>
      <c r="HH422" t="n">
        <v>68.116</v>
      </c>
      <c r="HS422" t="n">
        <v>3.74</v>
      </c>
      <c r="ID422" t="n">
        <v>0.74</v>
      </c>
      <c r="IF422" t="n">
        <v>8</v>
      </c>
      <c r="IG422" t="n">
        <v>359.66</v>
      </c>
      <c r="IH422" t="n">
        <v>3236.94</v>
      </c>
      <c r="II422" t="n">
        <v>-2517.62</v>
      </c>
      <c r="IJ422" t="n">
        <v>368.6965494442828</v>
      </c>
      <c r="IK422" t="n">
        <v>365.1080027595812</v>
      </c>
      <c r="IL422" t="n">
        <v>365.8039647320928</v>
      </c>
      <c r="IM422" t="n">
        <v>366.6286143262056</v>
      </c>
      <c r="IN422" t="n">
        <v>370.4733909441939</v>
      </c>
      <c r="IO422" t="n">
        <v>364.7822243225938</v>
      </c>
      <c r="IP422" t="n">
        <v>365.6448764121212</v>
      </c>
      <c r="KH422" t="n">
        <v>366.734</v>
      </c>
      <c r="KS422" t="n">
        <v>1.97</v>
      </c>
      <c r="LD422" t="n">
        <v>0.53</v>
      </c>
    </row>
    <row r="423">
      <c r="A423" t="inlineStr">
        <is>
          <t>2026-04-30</t>
        </is>
      </c>
      <c r="B423" t="inlineStr">
        <is>
          <t>Renal 15</t>
        </is>
      </c>
      <c r="C423" t="inlineStr">
        <is>
          <t>100726043001 &amp; 200726043001</t>
        </is>
      </c>
      <c r="D423" t="inlineStr">
        <is>
          <t>PHOS</t>
        </is>
      </c>
      <c r="F423" t="n">
        <v>10</v>
      </c>
      <c r="G423" t="n">
        <v>3.3</v>
      </c>
      <c r="H423" t="n">
        <v>36.3</v>
      </c>
      <c r="I423" t="n">
        <v>-29.7</v>
      </c>
      <c r="J423" t="n">
        <v>3.323865690358119</v>
      </c>
      <c r="K423" t="n">
        <v>3.311140563482918</v>
      </c>
      <c r="L423" t="n">
        <v>3.218705809198854</v>
      </c>
      <c r="M423" t="n">
        <v>3.198895704331303</v>
      </c>
      <c r="N423" t="n">
        <v>3.173389456608218</v>
      </c>
      <c r="O423" t="n">
        <v>3.318078549228937</v>
      </c>
      <c r="P423" t="n">
        <v>3.179864443962551</v>
      </c>
      <c r="Q423" t="n">
        <v>3.320707334956813</v>
      </c>
      <c r="BH423" t="n">
        <v>3.256</v>
      </c>
      <c r="BS423" t="n">
        <v>-1.35</v>
      </c>
      <c r="CD423" t="n">
        <v>1.97</v>
      </c>
      <c r="CF423" t="n">
        <v>10</v>
      </c>
      <c r="CG423" t="n">
        <v>7.2</v>
      </c>
      <c r="CH423" t="n">
        <v>79.2</v>
      </c>
      <c r="CI423" t="n">
        <v>-64.8</v>
      </c>
      <c r="CJ423" t="n">
        <v>7.372974793849858</v>
      </c>
      <c r="CK423" t="n">
        <v>7.233878616394403</v>
      </c>
      <c r="CL423" t="n">
        <v>7.171921192269713</v>
      </c>
      <c r="CM423" t="n">
        <v>7.526515595644057</v>
      </c>
      <c r="CN423" t="n">
        <v>7.376781605258838</v>
      </c>
      <c r="CO423" t="n">
        <v>7.223636614639095</v>
      </c>
      <c r="CP423" t="n">
        <v>7.167781473771583</v>
      </c>
      <c r="CQ423" t="n">
        <v>7.213566207805306</v>
      </c>
      <c r="EH423" t="n">
        <v>7.286</v>
      </c>
      <c r="ES423" t="n">
        <v>1.19</v>
      </c>
      <c r="FD423" t="n">
        <v>1.63</v>
      </c>
      <c r="FF423" t="n">
        <v>10</v>
      </c>
      <c r="FG423" t="n">
        <v>1.9</v>
      </c>
      <c r="FH423" t="n">
        <v>20.9</v>
      </c>
      <c r="FI423" t="n">
        <v>-17.1</v>
      </c>
      <c r="FJ423" t="n">
        <v>1.995726040068377</v>
      </c>
      <c r="FK423" t="n">
        <v>1.94549179768806</v>
      </c>
      <c r="FL423" t="n">
        <v>1.938526685715146</v>
      </c>
      <c r="FM423" t="n">
        <v>1.967220545599989</v>
      </c>
      <c r="FN423" t="n">
        <v>1.98885731805275</v>
      </c>
      <c r="FO423" t="n">
        <v>1.996898923892265</v>
      </c>
      <c r="FP423" t="n">
        <v>2.02240203191363</v>
      </c>
      <c r="HH423" t="n">
        <v>1.979</v>
      </c>
      <c r="HS423" t="n">
        <v>4.17</v>
      </c>
      <c r="ID423" t="n">
        <v>1.41</v>
      </c>
      <c r="IF423" t="n">
        <v>10</v>
      </c>
      <c r="IG423" t="n">
        <v>7.2</v>
      </c>
      <c r="IH423" t="n">
        <v>79.2</v>
      </c>
      <c r="II423" t="n">
        <v>-64.8</v>
      </c>
      <c r="IJ423" t="n">
        <v>7.43700459376269</v>
      </c>
      <c r="IK423" t="n">
        <v>7.293552535464244</v>
      </c>
      <c r="IL423" t="n">
        <v>7.28177001096627</v>
      </c>
      <c r="IM423" t="n">
        <v>7.322052843186277</v>
      </c>
      <c r="IN423" t="n">
        <v>7.344106967923024</v>
      </c>
      <c r="IO423" t="n">
        <v>7.280749472489289</v>
      </c>
      <c r="IP423" t="n">
        <v>7.313517745311402</v>
      </c>
      <c r="KH423" t="n">
        <v>7.325</v>
      </c>
      <c r="KS423" t="n">
        <v>1.73</v>
      </c>
      <c r="LD423" t="n">
        <v>0.6899999999999999</v>
      </c>
    </row>
    <row r="424">
      <c r="A424" t="inlineStr">
        <is>
          <t>2026-04-30</t>
        </is>
      </c>
      <c r="B424" t="inlineStr">
        <is>
          <t>Renal 15</t>
        </is>
      </c>
      <c r="C424" t="inlineStr">
        <is>
          <t>100726043001 &amp; 200726043001</t>
        </is>
      </c>
      <c r="D424" t="inlineStr">
        <is>
          <t>TP</t>
        </is>
      </c>
      <c r="F424" t="n">
        <v>8</v>
      </c>
      <c r="G424" t="n">
        <v>6.4</v>
      </c>
      <c r="H424" t="n">
        <v>57.6</v>
      </c>
      <c r="I424" t="n">
        <v>-44.8</v>
      </c>
      <c r="J424" t="n">
        <v>6.592270041482287</v>
      </c>
      <c r="K424" t="n">
        <v>6.638141456170763</v>
      </c>
      <c r="L424" t="n">
        <v>6.52052915902213</v>
      </c>
      <c r="M424" t="n">
        <v>6.458151092980907</v>
      </c>
      <c r="N424" t="n">
        <v>6.557491256051261</v>
      </c>
      <c r="O424" t="n">
        <v>6.617188899653405</v>
      </c>
      <c r="P424" t="n">
        <v>6.448117019219623</v>
      </c>
      <c r="Q424" t="n">
        <v>6.857763989900461</v>
      </c>
      <c r="BH424" t="n">
        <v>6.586</v>
      </c>
      <c r="BS424" t="n">
        <v>2.91</v>
      </c>
      <c r="CD424" t="n">
        <v>1.84</v>
      </c>
      <c r="CF424" t="n">
        <v>8</v>
      </c>
      <c r="CG424" t="n">
        <v>4.1</v>
      </c>
      <c r="CH424" t="n">
        <v>36.9</v>
      </c>
      <c r="CI424" t="n">
        <v>-28.7</v>
      </c>
      <c r="CJ424" t="n">
        <v>4.424208241740793</v>
      </c>
      <c r="CK424" t="n">
        <v>4.396752403591327</v>
      </c>
      <c r="CL424" t="n">
        <v>4.317005642648608</v>
      </c>
      <c r="CM424" t="n">
        <v>4.557178653381781</v>
      </c>
      <c r="CN424" t="n">
        <v>4.498570248022382</v>
      </c>
      <c r="CO424" t="n">
        <v>4.344111996525179</v>
      </c>
      <c r="CP424" t="n">
        <v>4.422673389595021</v>
      </c>
      <c r="CQ424" t="n">
        <v>4.272433814968766</v>
      </c>
      <c r="EH424" t="n">
        <v>4.404</v>
      </c>
      <c r="ES424" t="n">
        <v>7.42</v>
      </c>
      <c r="FD424" t="n">
        <v>1.99</v>
      </c>
      <c r="FF424" t="n">
        <v>8</v>
      </c>
      <c r="FG424" t="n">
        <v>4.2</v>
      </c>
      <c r="FH424" t="n">
        <v>37.8</v>
      </c>
      <c r="FI424" t="n">
        <v>-29.4</v>
      </c>
      <c r="FJ424" t="n">
        <v>4.188654770401488</v>
      </c>
      <c r="FK424" t="n">
        <v>4.085157147716554</v>
      </c>
      <c r="FL424" t="n">
        <v>4.262315428232759</v>
      </c>
      <c r="FM424" t="n">
        <v>4.167145992940998</v>
      </c>
      <c r="FN424" t="n">
        <v>4.149399439969455</v>
      </c>
      <c r="FO424" t="n">
        <v>4.175077359678022</v>
      </c>
      <c r="FP424" t="n">
        <v>4.144166522739823</v>
      </c>
      <c r="HH424" t="n">
        <v>4.167</v>
      </c>
      <c r="HS424" t="n">
        <v>-0.78</v>
      </c>
      <c r="ID424" t="n">
        <v>1.19</v>
      </c>
      <c r="IF424" t="n">
        <v>8</v>
      </c>
      <c r="IG424" t="n">
        <v>7.5</v>
      </c>
      <c r="IH424" t="n">
        <v>67.5</v>
      </c>
      <c r="II424" t="n">
        <v>-52.5</v>
      </c>
      <c r="IJ424" t="n">
        <v>7.495878349227839</v>
      </c>
      <c r="IK424" t="n">
        <v>7.47723467888612</v>
      </c>
      <c r="IL424" t="n">
        <v>7.481848837849936</v>
      </c>
      <c r="IM424" t="n">
        <v>7.49397709860577</v>
      </c>
      <c r="IN424" t="n">
        <v>7.528004611982254</v>
      </c>
      <c r="IO424" t="n">
        <v>7.4723207172431</v>
      </c>
      <c r="IP424" t="n">
        <v>7.551852726160126</v>
      </c>
      <c r="KH424" t="n">
        <v>7.5</v>
      </c>
      <c r="KS424" t="n">
        <v>0</v>
      </c>
      <c r="LD424" t="n">
        <v>0.36</v>
      </c>
    </row>
    <row r="425">
      <c r="A425" t="inlineStr">
        <is>
          <t>2026-04-29</t>
        </is>
      </c>
      <c r="B425" t="inlineStr">
        <is>
          <t>Optimum Wellness 37</t>
        </is>
      </c>
      <c r="C425" t="inlineStr">
        <is>
          <t>209226042901</t>
        </is>
      </c>
      <c r="D425" t="inlineStr">
        <is>
          <t>AMY</t>
        </is>
      </c>
      <c r="F425" t="n">
        <v>10</v>
      </c>
      <c r="G425" t="n">
        <v>78</v>
      </c>
      <c r="H425" t="n">
        <v>858</v>
      </c>
      <c r="I425" t="n">
        <v>-702</v>
      </c>
      <c r="J425" t="n">
        <v>77.20167098481959</v>
      </c>
      <c r="K425" t="n">
        <v>75.37096895805632</v>
      </c>
      <c r="L425" t="n">
        <v>75.89967547039399</v>
      </c>
      <c r="M425" t="n">
        <v>78.23275675538488</v>
      </c>
      <c r="N425" t="n">
        <v>74.45599296797874</v>
      </c>
      <c r="O425" t="n">
        <v>74.96674232761494</v>
      </c>
      <c r="P425" t="n">
        <v>76.28240847963417</v>
      </c>
      <c r="BH425" t="n">
        <v>76.059</v>
      </c>
      <c r="BS425" t="n">
        <v>-2.49</v>
      </c>
      <c r="CD425" t="n">
        <v>1.6</v>
      </c>
      <c r="CF425" t="n">
        <v>10</v>
      </c>
      <c r="CG425" t="n">
        <v>404</v>
      </c>
      <c r="CH425" t="n">
        <v>4444</v>
      </c>
      <c r="CI425" t="n">
        <v>-3636</v>
      </c>
      <c r="CJ425" t="n">
        <v>405.616350388329</v>
      </c>
      <c r="CK425" t="n">
        <v>415.4364380807914</v>
      </c>
      <c r="CL425" t="n">
        <v>415.2429178853698</v>
      </c>
      <c r="CM425" t="n">
        <v>403.6898372458045</v>
      </c>
      <c r="CN425" t="n">
        <v>412.6767779259394</v>
      </c>
      <c r="CO425" t="n">
        <v>423.0213784059196</v>
      </c>
      <c r="EH425" t="n">
        <v>412.614</v>
      </c>
      <c r="ES425" t="n">
        <v>2.13</v>
      </c>
      <c r="FD425" t="n">
        <v>1.57</v>
      </c>
      <c r="FF425" t="n">
        <v>10</v>
      </c>
      <c r="FG425" t="n">
        <v>63</v>
      </c>
      <c r="FH425" t="n">
        <v>693</v>
      </c>
      <c r="FI425" t="n">
        <v>-567</v>
      </c>
      <c r="FJ425" t="n">
        <v>62.53377670117095</v>
      </c>
      <c r="FK425" t="n">
        <v>62.31542124575198</v>
      </c>
      <c r="FL425" t="n">
        <v>62.97235216284956</v>
      </c>
      <c r="FM425" t="n">
        <v>62.03982842748975</v>
      </c>
      <c r="FN425" t="n">
        <v>63.25652995301023</v>
      </c>
      <c r="HH425" t="n">
        <v>62.624</v>
      </c>
      <c r="HS425" t="n">
        <v>-0.6</v>
      </c>
      <c r="ID425" t="n">
        <v>0.7</v>
      </c>
      <c r="IF425" t="n">
        <v>10</v>
      </c>
      <c r="IG425" t="n">
        <v>297</v>
      </c>
      <c r="IH425" t="n">
        <v>3267</v>
      </c>
      <c r="II425" t="n">
        <v>-2673</v>
      </c>
      <c r="IJ425" t="n">
        <v>300.6661486401784</v>
      </c>
      <c r="IK425" t="n">
        <v>305.9289011524234</v>
      </c>
      <c r="IL425" t="n">
        <v>300.0361572507688</v>
      </c>
      <c r="IM425" t="n">
        <v>302.1558836185399</v>
      </c>
      <c r="IN425" t="n">
        <v>307.0398688813343</v>
      </c>
      <c r="IO425" t="n">
        <v>303.4203361683035</v>
      </c>
      <c r="KH425" t="n">
        <v>303.208</v>
      </c>
      <c r="KS425" t="n">
        <v>2.09</v>
      </c>
      <c r="LD425" t="n">
        <v>0.85</v>
      </c>
    </row>
    <row r="426">
      <c r="A426" t="inlineStr">
        <is>
          <t>2026-04-29</t>
        </is>
      </c>
      <c r="B426" t="inlineStr">
        <is>
          <t>Optimum Wellness 37</t>
        </is>
      </c>
      <c r="C426" t="inlineStr">
        <is>
          <t>209226042901</t>
        </is>
      </c>
      <c r="D426" t="inlineStr">
        <is>
          <t>AST</t>
        </is>
      </c>
      <c r="F426" t="n">
        <v>15</v>
      </c>
      <c r="G426" t="n">
        <v>44</v>
      </c>
      <c r="H426" t="n">
        <v>704</v>
      </c>
      <c r="I426" t="n">
        <v>-616</v>
      </c>
      <c r="J426" t="n">
        <v>45.76252692143086</v>
      </c>
      <c r="K426" t="n">
        <v>42.61604710747704</v>
      </c>
      <c r="L426" t="n">
        <v>44.94810522288369</v>
      </c>
      <c r="M426" t="n">
        <v>46.2748094057451</v>
      </c>
      <c r="N426" t="n">
        <v>42.04398402404335</v>
      </c>
      <c r="O426" t="n">
        <v>43.87584840357393</v>
      </c>
      <c r="P426" t="n">
        <v>44.35298261652182</v>
      </c>
      <c r="BH426" t="n">
        <v>44.268</v>
      </c>
      <c r="BS426" t="n">
        <v>0.61</v>
      </c>
      <c r="CD426" t="n">
        <v>3.26</v>
      </c>
      <c r="CF426" t="n">
        <v>15</v>
      </c>
      <c r="CG426" t="n">
        <v>221</v>
      </c>
      <c r="CH426" t="n">
        <v>3536</v>
      </c>
      <c r="CI426" t="n">
        <v>-3094</v>
      </c>
      <c r="CJ426" t="n">
        <v>228.0471257416337</v>
      </c>
      <c r="CK426" t="n">
        <v>233.1961764396286</v>
      </c>
      <c r="CL426" t="n">
        <v>226.7170467904431</v>
      </c>
      <c r="CM426" t="n">
        <v>224.1574450405986</v>
      </c>
      <c r="CN426" t="n">
        <v>230.8116772060774</v>
      </c>
      <c r="CO426" t="n">
        <v>232.0855571034811</v>
      </c>
      <c r="EH426" t="n">
        <v>229.169</v>
      </c>
      <c r="ES426" t="n">
        <v>3.7</v>
      </c>
      <c r="FD426" t="n">
        <v>1.38</v>
      </c>
      <c r="FF426" t="n">
        <v>15</v>
      </c>
      <c r="FG426" t="n">
        <v>45</v>
      </c>
      <c r="FH426" t="n">
        <v>720</v>
      </c>
      <c r="FI426" t="n">
        <v>-630</v>
      </c>
      <c r="FJ426" t="n">
        <v>47.83285612054907</v>
      </c>
      <c r="FK426" t="n">
        <v>45.42332155247207</v>
      </c>
      <c r="FL426" t="n">
        <v>45.78199992412618</v>
      </c>
      <c r="FM426" t="n">
        <v>44.55960845188856</v>
      </c>
      <c r="FN426" t="n">
        <v>45.84886609052307</v>
      </c>
      <c r="HH426" t="n">
        <v>45.889</v>
      </c>
      <c r="HS426" t="n">
        <v>1.98</v>
      </c>
      <c r="ID426" t="n">
        <v>2.34</v>
      </c>
      <c r="IF426" t="n">
        <v>15</v>
      </c>
      <c r="IG426" t="n">
        <v>282</v>
      </c>
      <c r="IH426" t="n">
        <v>4512</v>
      </c>
      <c r="II426" t="n">
        <v>-3948</v>
      </c>
      <c r="IJ426" t="n">
        <v>287.8642718127114</v>
      </c>
      <c r="IK426" t="n">
        <v>295.4000524192685</v>
      </c>
      <c r="IL426" t="n">
        <v>289.3811377261518</v>
      </c>
      <c r="IM426" t="n">
        <v>284.0749946948139</v>
      </c>
      <c r="IN426" t="n">
        <v>294.7967371367149</v>
      </c>
      <c r="IO426" t="n">
        <v>291.9076184077494</v>
      </c>
      <c r="KH426" t="n">
        <v>290.571</v>
      </c>
      <c r="KS426" t="n">
        <v>3.04</v>
      </c>
      <c r="LD426" t="n">
        <v>1.36</v>
      </c>
    </row>
    <row r="427">
      <c r="A427" t="inlineStr">
        <is>
          <t>2026-04-29</t>
        </is>
      </c>
      <c r="B427" t="inlineStr">
        <is>
          <t>Optimum Wellness 37</t>
        </is>
      </c>
      <c r="C427" t="inlineStr">
        <is>
          <t>209226042901</t>
        </is>
      </c>
      <c r="D427" t="inlineStr">
        <is>
          <t>CHOL</t>
        </is>
      </c>
      <c r="F427" t="n">
        <v>10</v>
      </c>
      <c r="G427" t="n">
        <v>228</v>
      </c>
      <c r="H427" t="n">
        <v>2508</v>
      </c>
      <c r="I427" t="n">
        <v>-2052</v>
      </c>
      <c r="J427" t="n">
        <v>227.4635724138355</v>
      </c>
      <c r="K427" t="n">
        <v>225.185060537012</v>
      </c>
      <c r="L427" t="n">
        <v>234.8011113214972</v>
      </c>
      <c r="M427" t="n">
        <v>236.7944986110706</v>
      </c>
      <c r="N427" t="n">
        <v>223.1746980604493</v>
      </c>
      <c r="O427" t="n">
        <v>232.605475760919</v>
      </c>
      <c r="P427" t="n">
        <v>229.3446873089291</v>
      </c>
      <c r="BH427" t="n">
        <v>229.91</v>
      </c>
      <c r="BS427" t="n">
        <v>0.84</v>
      </c>
      <c r="CD427" t="n">
        <v>2.03</v>
      </c>
      <c r="CF427" t="n">
        <v>10</v>
      </c>
      <c r="CG427" t="n">
        <v>99</v>
      </c>
      <c r="CH427" t="n">
        <v>1089</v>
      </c>
      <c r="CI427" t="n">
        <v>-891</v>
      </c>
      <c r="CJ427" t="n">
        <v>99.00255802851083</v>
      </c>
      <c r="CK427" t="n">
        <v>99.68926320365622</v>
      </c>
      <c r="CL427" t="n">
        <v>101.2903978770755</v>
      </c>
      <c r="CM427" t="n">
        <v>97.89030368051138</v>
      </c>
      <c r="CN427" t="n">
        <v>99.69499322432657</v>
      </c>
      <c r="CO427" t="n">
        <v>100.0495981558655</v>
      </c>
      <c r="EH427" t="n">
        <v>99.60299999999999</v>
      </c>
      <c r="ES427" t="n">
        <v>0.61</v>
      </c>
      <c r="FD427" t="n">
        <v>1.03</v>
      </c>
      <c r="FF427" t="n">
        <v>10</v>
      </c>
      <c r="FG427" t="n">
        <v>115</v>
      </c>
      <c r="FH427" t="n">
        <v>1265</v>
      </c>
      <c r="FI427" t="n">
        <v>-1035</v>
      </c>
      <c r="FJ427" t="n">
        <v>112.5150274606279</v>
      </c>
      <c r="FK427" t="n">
        <v>114.5641250415422</v>
      </c>
      <c r="FL427" t="n">
        <v>113.318618289691</v>
      </c>
      <c r="FM427" t="n">
        <v>112.6336045893673</v>
      </c>
      <c r="FN427" t="n">
        <v>115.2905786293718</v>
      </c>
      <c r="HH427" t="n">
        <v>113.664</v>
      </c>
      <c r="HS427" t="n">
        <v>-1.16</v>
      </c>
      <c r="ID427" t="n">
        <v>0.96</v>
      </c>
      <c r="IF427" t="n">
        <v>10</v>
      </c>
      <c r="IG427" t="n">
        <v>269</v>
      </c>
      <c r="IH427" t="n">
        <v>2959</v>
      </c>
      <c r="II427" t="n">
        <v>-2421</v>
      </c>
      <c r="IJ427" t="n">
        <v>268.1676886416595</v>
      </c>
      <c r="IK427" t="n">
        <v>264.1579437478404</v>
      </c>
      <c r="IL427" t="n">
        <v>270.3732283533454</v>
      </c>
      <c r="IM427" t="n">
        <v>267.8587106217349</v>
      </c>
      <c r="IN427" t="n">
        <v>271.3591428772299</v>
      </c>
      <c r="IO427" t="n">
        <v>266.0658222187486</v>
      </c>
      <c r="KH427" t="n">
        <v>267.997</v>
      </c>
      <c r="KS427" t="n">
        <v>-0.37</v>
      </c>
      <c r="LD427" t="n">
        <v>0.91</v>
      </c>
    </row>
    <row r="428">
      <c r="A428" t="inlineStr">
        <is>
          <t>2026-04-29</t>
        </is>
      </c>
      <c r="B428" t="inlineStr">
        <is>
          <t>Optimum Wellness 37</t>
        </is>
      </c>
      <c r="C428" t="inlineStr">
        <is>
          <t>209226042901</t>
        </is>
      </c>
      <c r="D428" t="inlineStr">
        <is>
          <t>CK</t>
        </is>
      </c>
      <c r="F428" t="n">
        <v>20</v>
      </c>
      <c r="J428" t="n">
        <v>145.7355601979864</v>
      </c>
      <c r="K428" t="n">
        <v>142.0195500726659</v>
      </c>
      <c r="L428" t="n">
        <v>139.5655029854724</v>
      </c>
      <c r="M428" t="n">
        <v>155.9101894635181</v>
      </c>
      <c r="N428" t="n">
        <v>136.8628702264538</v>
      </c>
      <c r="O428" t="n">
        <v>143.971043663017</v>
      </c>
      <c r="P428" t="n">
        <v>148.5444340440601</v>
      </c>
      <c r="BH428" t="n">
        <v>144.658</v>
      </c>
      <c r="CD428" t="n">
        <v>4.02</v>
      </c>
      <c r="CF428" t="n">
        <v>20</v>
      </c>
      <c r="CJ428" t="n">
        <v>500.7114393791057</v>
      </c>
      <c r="CK428" t="n">
        <v>549.6966311602883</v>
      </c>
      <c r="CL428" t="n">
        <v>527.1634738467618</v>
      </c>
      <c r="CM428" t="n">
        <v>499.3104595181268</v>
      </c>
      <c r="CN428" t="n">
        <v>525.0346029384915</v>
      </c>
      <c r="CO428" t="n">
        <v>565.0811340692466</v>
      </c>
      <c r="EH428" t="n">
        <v>527.833</v>
      </c>
      <c r="FD428" t="n">
        <v>4.53</v>
      </c>
      <c r="FF428" t="n">
        <v>20</v>
      </c>
      <c r="FJ428" t="n">
        <v>81.65549809948415</v>
      </c>
      <c r="FK428" t="n">
        <v>72.49185279203293</v>
      </c>
      <c r="FL428" t="n">
        <v>76.86381011652254</v>
      </c>
      <c r="FM428" t="n">
        <v>74.34238473340469</v>
      </c>
      <c r="FN428" t="n">
        <v>77.16027409527003</v>
      </c>
      <c r="HH428" t="n">
        <v>76.503</v>
      </c>
      <c r="ID428" t="n">
        <v>4.04</v>
      </c>
      <c r="IF428" t="n">
        <v>20</v>
      </c>
      <c r="IJ428" t="n">
        <v>677.211034534115</v>
      </c>
      <c r="IK428" t="n">
        <v>710.6812425020883</v>
      </c>
      <c r="IL428" t="n">
        <v>685.4580997969107</v>
      </c>
      <c r="IM428" t="n">
        <v>680.8327489638557</v>
      </c>
      <c r="IN428" t="n">
        <v>732.4837290594284</v>
      </c>
      <c r="IO428" t="n">
        <v>721.4455747115309</v>
      </c>
      <c r="KH428" t="n">
        <v>701.352</v>
      </c>
      <c r="LD428" t="n">
        <v>3.03</v>
      </c>
    </row>
    <row r="429">
      <c r="A429" t="inlineStr">
        <is>
          <t>2026-04-29</t>
        </is>
      </c>
      <c r="B429" t="inlineStr">
        <is>
          <t>Optimum Wellness 37</t>
        </is>
      </c>
      <c r="C429" t="inlineStr">
        <is>
          <t>209226042901</t>
        </is>
      </c>
      <c r="D429" t="inlineStr">
        <is>
          <t>Ca</t>
        </is>
      </c>
      <c r="G429" t="n">
        <v>9.1</v>
      </c>
      <c r="J429" t="n">
        <v>9.441223425224141</v>
      </c>
      <c r="K429" t="n">
        <v>9.767118310837532</v>
      </c>
      <c r="L429" t="n">
        <v>9.908612458917325</v>
      </c>
      <c r="M429" t="n">
        <v>10.02551594249531</v>
      </c>
      <c r="N429" t="n">
        <v>9.706735008127872</v>
      </c>
      <c r="O429" t="n">
        <v>10.09892420680586</v>
      </c>
      <c r="P429" t="n">
        <v>9.882811131750092</v>
      </c>
      <c r="BH429" t="n">
        <v>9.833</v>
      </c>
      <c r="BS429" t="n">
        <v>8.050000000000001</v>
      </c>
      <c r="CD429" t="n">
        <v>2.07</v>
      </c>
      <c r="CG429" t="n">
        <v>12.4</v>
      </c>
      <c r="CJ429" t="n">
        <v>12.71687841750273</v>
      </c>
      <c r="CK429" t="n">
        <v>12.87637362211203</v>
      </c>
      <c r="CL429" t="n">
        <v>13.16230013997399</v>
      </c>
      <c r="CM429" t="n">
        <v>12.96879590403124</v>
      </c>
      <c r="CN429" t="n">
        <v>12.79774858246078</v>
      </c>
      <c r="CO429" t="n">
        <v>13.00217611293591</v>
      </c>
      <c r="EH429" t="n">
        <v>12.921</v>
      </c>
      <c r="ES429" t="n">
        <v>4.2</v>
      </c>
      <c r="FD429" t="n">
        <v>1.12</v>
      </c>
      <c r="FG429" t="n">
        <v>5.9</v>
      </c>
      <c r="FJ429" t="n">
        <v>6.023606002337083</v>
      </c>
      <c r="FK429" t="n">
        <v>5.882560841761436</v>
      </c>
      <c r="FL429" t="n">
        <v>6.163913705298298</v>
      </c>
      <c r="FM429" t="n">
        <v>6.15186902604207</v>
      </c>
      <c r="FN429" t="n">
        <v>6.17408007408435</v>
      </c>
      <c r="HH429" t="n">
        <v>6.079</v>
      </c>
      <c r="HS429" t="n">
        <v>3.04</v>
      </c>
      <c r="ID429" t="n">
        <v>1.85</v>
      </c>
      <c r="IG429" t="n">
        <v>12.7</v>
      </c>
      <c r="IJ429" t="n">
        <v>13.27593286512294</v>
      </c>
      <c r="IK429" t="n">
        <v>13.00722872057961</v>
      </c>
      <c r="IL429" t="n">
        <v>13.14513515649421</v>
      </c>
      <c r="IM429" t="n">
        <v>13.36640062685048</v>
      </c>
      <c r="IN429" t="n">
        <v>13.06343442450533</v>
      </c>
      <c r="IO429" t="n">
        <v>13.33004622461116</v>
      </c>
      <c r="KH429" t="n">
        <v>13.198</v>
      </c>
      <c r="KS429" t="n">
        <v>3.92</v>
      </c>
      <c r="LD429" t="n">
        <v>1.02</v>
      </c>
    </row>
    <row r="430">
      <c r="A430" t="inlineStr">
        <is>
          <t>2026-04-29</t>
        </is>
      </c>
      <c r="B430" t="inlineStr">
        <is>
          <t>Optimum Wellness 37</t>
        </is>
      </c>
      <c r="C430" t="inlineStr">
        <is>
          <t>209226042901</t>
        </is>
      </c>
      <c r="D430" t="inlineStr">
        <is>
          <t>GGT</t>
        </is>
      </c>
      <c r="F430" t="n">
        <v>15</v>
      </c>
      <c r="G430" t="n">
        <v>57</v>
      </c>
      <c r="H430" t="n">
        <v>912</v>
      </c>
      <c r="I430" t="n">
        <v>-798</v>
      </c>
      <c r="J430" t="n">
        <v>57.01227180671354</v>
      </c>
      <c r="K430" t="n">
        <v>59.29531461455927</v>
      </c>
      <c r="L430" t="n">
        <v>62.50941459499697</v>
      </c>
      <c r="M430" t="n">
        <v>64.58067887169719</v>
      </c>
      <c r="N430" t="n">
        <v>61.38020610670607</v>
      </c>
      <c r="O430" t="n">
        <v>61.69267577993932</v>
      </c>
      <c r="P430" t="n">
        <v>61.76546813133338</v>
      </c>
      <c r="BH430" t="n">
        <v>61.177</v>
      </c>
      <c r="BS430" t="n">
        <v>7.33</v>
      </c>
      <c r="CD430" t="n">
        <v>3.65</v>
      </c>
      <c r="CF430" t="n">
        <v>15</v>
      </c>
      <c r="CG430" t="n">
        <v>164</v>
      </c>
      <c r="CH430" t="n">
        <v>2624</v>
      </c>
      <c r="CI430" t="n">
        <v>-2296</v>
      </c>
      <c r="CJ430" t="n">
        <v>177.7069112743069</v>
      </c>
      <c r="CK430" t="n">
        <v>179.6760415923826</v>
      </c>
      <c r="CL430" t="n">
        <v>179.5897068441092</v>
      </c>
      <c r="CM430" t="n">
        <v>168.6506498641314</v>
      </c>
      <c r="CN430" t="n">
        <v>179.7184723243233</v>
      </c>
      <c r="CO430" t="n">
        <v>183.2658143804381</v>
      </c>
      <c r="EH430" t="n">
        <v>178.101</v>
      </c>
      <c r="ES430" t="n">
        <v>8.6</v>
      </c>
      <c r="FD430" t="n">
        <v>2.55</v>
      </c>
      <c r="FF430" t="n">
        <v>15</v>
      </c>
      <c r="FG430" t="n">
        <v>23</v>
      </c>
      <c r="FH430" t="n">
        <v>368</v>
      </c>
      <c r="FI430" t="n">
        <v>-322</v>
      </c>
      <c r="FJ430" t="n">
        <v>23.26783464792349</v>
      </c>
      <c r="FK430" t="n">
        <v>23.85858668632629</v>
      </c>
      <c r="FL430" t="n">
        <v>25.78679681382225</v>
      </c>
      <c r="FM430" t="n">
        <v>23.11263943225673</v>
      </c>
      <c r="FN430" t="n">
        <v>25.19088581972194</v>
      </c>
      <c r="HH430" t="n">
        <v>24.243</v>
      </c>
      <c r="HS430" t="n">
        <v>5.41</v>
      </c>
      <c r="ID430" t="n">
        <v>4.39</v>
      </c>
      <c r="IF430" t="n">
        <v>15</v>
      </c>
      <c r="IG430" t="n">
        <v>126</v>
      </c>
      <c r="IH430" t="n">
        <v>2016</v>
      </c>
      <c r="II430" t="n">
        <v>-1764</v>
      </c>
      <c r="IJ430" t="n">
        <v>136.139012803604</v>
      </c>
      <c r="IK430" t="n">
        <v>140.1766699968678</v>
      </c>
      <c r="IL430" t="n">
        <v>136.0385115352559</v>
      </c>
      <c r="IM430" t="n">
        <v>138.1280898073697</v>
      </c>
      <c r="IN430" t="n">
        <v>142.8385939202899</v>
      </c>
      <c r="IO430" t="n">
        <v>141.0256564846685</v>
      </c>
      <c r="KH430" t="n">
        <v>139.058</v>
      </c>
      <c r="KS430" t="n">
        <v>10.36</v>
      </c>
      <c r="LD430" t="n">
        <v>1.81</v>
      </c>
    </row>
    <row r="431">
      <c r="A431" t="inlineStr">
        <is>
          <t>2026-04-29</t>
        </is>
      </c>
      <c r="B431" t="inlineStr">
        <is>
          <t>Optimum Wellness 37</t>
        </is>
      </c>
      <c r="C431" t="inlineStr">
        <is>
          <t>209226042901</t>
        </is>
      </c>
      <c r="D431" t="inlineStr">
        <is>
          <t>PHOS</t>
        </is>
      </c>
      <c r="F431" t="n">
        <v>10</v>
      </c>
      <c r="G431" t="n">
        <v>3.3</v>
      </c>
      <c r="H431" t="n">
        <v>36.3</v>
      </c>
      <c r="I431" t="n">
        <v>-29.7</v>
      </c>
      <c r="J431" t="n">
        <v>3.224811214407155</v>
      </c>
      <c r="K431" t="n">
        <v>3.227857305094999</v>
      </c>
      <c r="L431" t="n">
        <v>3.239696658422691</v>
      </c>
      <c r="M431" t="n">
        <v>3.401354421563088</v>
      </c>
      <c r="N431" t="n">
        <v>3.182601503371171</v>
      </c>
      <c r="O431" t="n">
        <v>3.264102917069529</v>
      </c>
      <c r="P431" t="n">
        <v>3.227989396186529</v>
      </c>
      <c r="BH431" t="n">
        <v>3.253</v>
      </c>
      <c r="BS431" t="n">
        <v>-1.44</v>
      </c>
      <c r="CD431" t="n">
        <v>1.99</v>
      </c>
      <c r="CF431" t="n">
        <v>10</v>
      </c>
      <c r="CG431" t="n">
        <v>7.2</v>
      </c>
      <c r="CH431" t="n">
        <v>79.2</v>
      </c>
      <c r="CI431" t="n">
        <v>-64.8</v>
      </c>
      <c r="CJ431" t="n">
        <v>7.190124408715691</v>
      </c>
      <c r="CK431" t="n">
        <v>7.394897395615234</v>
      </c>
      <c r="CL431" t="n">
        <v>7.260664928509932</v>
      </c>
      <c r="CM431" t="n">
        <v>7.212524250766197</v>
      </c>
      <c r="CN431" t="n">
        <v>7.126605794687693</v>
      </c>
      <c r="CO431" t="n">
        <v>7.297137984359636</v>
      </c>
      <c r="EH431" t="n">
        <v>7.247</v>
      </c>
      <c r="ES431" t="n">
        <v>0.65</v>
      </c>
      <c r="FD431" t="n">
        <v>1.17</v>
      </c>
      <c r="FF431" t="n">
        <v>10</v>
      </c>
      <c r="FG431" t="n">
        <v>1.9</v>
      </c>
      <c r="FH431" t="n">
        <v>20.9</v>
      </c>
      <c r="FI431" t="n">
        <v>-17.1</v>
      </c>
      <c r="FJ431" t="n">
        <v>1.979722628095486</v>
      </c>
      <c r="FK431" t="n">
        <v>1.91380372631197</v>
      </c>
      <c r="FL431" t="n">
        <v>1.952748003122736</v>
      </c>
      <c r="FM431" t="n">
        <v>1.943034310742743</v>
      </c>
      <c r="FN431" t="n">
        <v>1.944910728737685</v>
      </c>
      <c r="HH431" t="n">
        <v>1.947</v>
      </c>
      <c r="HS431" t="n">
        <v>2.47</v>
      </c>
      <c r="ID431" t="n">
        <v>1.08</v>
      </c>
      <c r="IF431" t="n">
        <v>10</v>
      </c>
      <c r="IG431" t="n">
        <v>7.2</v>
      </c>
      <c r="IH431" t="n">
        <v>79.2</v>
      </c>
      <c r="II431" t="n">
        <v>-64.8</v>
      </c>
      <c r="IJ431" t="n">
        <v>7.527231042722439</v>
      </c>
      <c r="IK431" t="n">
        <v>7.383406680869024</v>
      </c>
      <c r="IL431" t="n">
        <v>7.423796239450602</v>
      </c>
      <c r="IM431" t="n">
        <v>7.472604333772954</v>
      </c>
      <c r="IN431" t="n">
        <v>7.293934839261324</v>
      </c>
      <c r="IO431" t="n">
        <v>7.217008500053024</v>
      </c>
      <c r="KH431" t="n">
        <v>7.386</v>
      </c>
      <c r="KS431" t="n">
        <v>2.59</v>
      </c>
      <c r="LD431" t="n">
        <v>1.42</v>
      </c>
    </row>
    <row r="432">
      <c r="A432" t="inlineStr">
        <is>
          <t>2026-04-29</t>
        </is>
      </c>
      <c r="B432" t="inlineStr">
        <is>
          <t>Optimum Wellness 37</t>
        </is>
      </c>
      <c r="C432" t="inlineStr">
        <is>
          <t>209226042901</t>
        </is>
      </c>
      <c r="D432" t="inlineStr">
        <is>
          <t>TBIL</t>
        </is>
      </c>
      <c r="F432" t="n">
        <v>20</v>
      </c>
      <c r="G432" t="n">
        <v>1.1</v>
      </c>
      <c r="H432" t="n">
        <v>23.1</v>
      </c>
      <c r="I432" t="n">
        <v>-20.9</v>
      </c>
      <c r="J432" t="n">
        <v>1.357212939073028</v>
      </c>
      <c r="K432" t="n">
        <v>1.405434231017666</v>
      </c>
      <c r="L432" t="n">
        <v>1.429848082397342</v>
      </c>
      <c r="M432" t="n">
        <v>1.476054482129304</v>
      </c>
      <c r="N432" t="n">
        <v>1.411250939790182</v>
      </c>
      <c r="O432" t="n">
        <v>1.507149273500525</v>
      </c>
      <c r="P432" t="n">
        <v>1.415777648147209</v>
      </c>
      <c r="BH432" t="n">
        <v>1.429</v>
      </c>
      <c r="BS432" t="n">
        <v>29.91</v>
      </c>
      <c r="CD432" t="n">
        <v>3.19</v>
      </c>
      <c r="CF432" t="n">
        <v>20</v>
      </c>
      <c r="CG432" t="n">
        <v>5.1</v>
      </c>
      <c r="CH432" t="n">
        <v>107.1</v>
      </c>
      <c r="CI432" t="n">
        <v>-96.89999999999999</v>
      </c>
      <c r="CJ432" t="n">
        <v>5.369853379969092</v>
      </c>
      <c r="CK432" t="n">
        <v>5.50278883744606</v>
      </c>
      <c r="CL432" t="n">
        <v>5.548792553876087</v>
      </c>
      <c r="CM432" t="n">
        <v>5.391273934082736</v>
      </c>
      <c r="CN432" t="n">
        <v>5.2663051577792</v>
      </c>
      <c r="CO432" t="n">
        <v>5.486451746023372</v>
      </c>
      <c r="EH432" t="n">
        <v>5.428</v>
      </c>
      <c r="ES432" t="n">
        <v>6.42</v>
      </c>
      <c r="FD432" t="n">
        <v>1.76</v>
      </c>
      <c r="FF432" t="n">
        <v>20</v>
      </c>
      <c r="FG432" t="n">
        <v>0.8</v>
      </c>
      <c r="FH432" t="n">
        <v>16.8</v>
      </c>
      <c r="FI432" t="n">
        <v>-15.2</v>
      </c>
      <c r="FJ432" t="n">
        <v>0.780020623398368</v>
      </c>
      <c r="FK432" t="n">
        <v>0.7424443596671839</v>
      </c>
      <c r="FL432" t="n">
        <v>0.7839696314385947</v>
      </c>
      <c r="FM432" t="n">
        <v>0.7361003061270184</v>
      </c>
      <c r="FN432" t="n">
        <v>0.7803811446872952</v>
      </c>
      <c r="HH432" t="n">
        <v>0.765</v>
      </c>
      <c r="HS432" t="n">
        <v>-4.43</v>
      </c>
      <c r="ID432" t="n">
        <v>2.72</v>
      </c>
      <c r="IF432" t="n">
        <v>20</v>
      </c>
      <c r="IG432" t="n">
        <v>8.4</v>
      </c>
      <c r="IH432" t="n">
        <v>176.4</v>
      </c>
      <c r="II432" t="n">
        <v>-159.6</v>
      </c>
      <c r="IJ432" t="n">
        <v>8.818260903333162</v>
      </c>
      <c r="IK432" t="n">
        <v>8.81507921271465</v>
      </c>
      <c r="IL432" t="n">
        <v>8.833192097006453</v>
      </c>
      <c r="IM432" t="n">
        <v>8.716260299878455</v>
      </c>
      <c r="IN432" t="n">
        <v>8.770894282834492</v>
      </c>
      <c r="IO432" t="n">
        <v>8.722268648493712</v>
      </c>
      <c r="KH432" t="n">
        <v>8.779</v>
      </c>
      <c r="KS432" t="n">
        <v>4.52</v>
      </c>
      <c r="LD432" t="n">
        <v>0.53</v>
      </c>
    </row>
    <row r="433">
      <c r="A433" t="inlineStr">
        <is>
          <t>2026-04-29</t>
        </is>
      </c>
      <c r="B433" t="inlineStr">
        <is>
          <t>Optimum Wellness 37</t>
        </is>
      </c>
      <c r="C433" t="inlineStr">
        <is>
          <t>109126042901</t>
        </is>
      </c>
      <c r="D433" t="inlineStr">
        <is>
          <t>ALB</t>
        </is>
      </c>
      <c r="F433" t="n">
        <v>8</v>
      </c>
      <c r="G433" t="n">
        <v>4.2</v>
      </c>
      <c r="H433" t="n">
        <v>37.8</v>
      </c>
      <c r="I433" t="n">
        <v>-29.4</v>
      </c>
      <c r="J433" t="n">
        <v>4.079950979075553</v>
      </c>
      <c r="K433" t="n">
        <v>4.034812027505037</v>
      </c>
      <c r="L433" t="n">
        <v>4.035487686408411</v>
      </c>
      <c r="M433" t="n">
        <v>4.102649855554183</v>
      </c>
      <c r="N433" t="n">
        <v>4.088037978864611</v>
      </c>
      <c r="O433" t="n">
        <v>4.163544335233533</v>
      </c>
      <c r="P433" t="n">
        <v>4.102760136324724</v>
      </c>
      <c r="BH433" t="n">
        <v>4.087</v>
      </c>
      <c r="BS433" t="n">
        <v>-2.7</v>
      </c>
      <c r="CD433" t="n">
        <v>1</v>
      </c>
      <c r="CF433" t="n">
        <v>8</v>
      </c>
      <c r="CG433" t="n">
        <v>2.7</v>
      </c>
      <c r="CH433" t="n">
        <v>24.3</v>
      </c>
      <c r="CI433" t="n">
        <v>-18.9</v>
      </c>
      <c r="CJ433" t="n">
        <v>2.690207428373702</v>
      </c>
      <c r="CK433" t="n">
        <v>2.710510998668984</v>
      </c>
      <c r="CL433" t="n">
        <v>2.828098341288196</v>
      </c>
      <c r="CM433" t="n">
        <v>2.710579260126269</v>
      </c>
      <c r="CN433" t="n">
        <v>2.692308457365504</v>
      </c>
      <c r="CO433" t="n">
        <v>2.773165982919467</v>
      </c>
      <c r="EH433" t="n">
        <v>2.734</v>
      </c>
      <c r="ES433" t="n">
        <v>1.26</v>
      </c>
      <c r="FD433" t="n">
        <v>1.84</v>
      </c>
      <c r="FF433" t="n">
        <v>8</v>
      </c>
      <c r="FG433" t="n">
        <v>2.6</v>
      </c>
      <c r="FH433" t="n">
        <v>23.4</v>
      </c>
      <c r="FI433" t="n">
        <v>-18.2</v>
      </c>
      <c r="FJ433" t="n">
        <v>2.585379346927617</v>
      </c>
      <c r="FK433" t="n">
        <v>2.539975673462645</v>
      </c>
      <c r="FL433" t="n">
        <v>2.486568058911364</v>
      </c>
      <c r="FM433" t="n">
        <v>2.536965194022067</v>
      </c>
      <c r="FN433" t="n">
        <v>2.549141920615433</v>
      </c>
      <c r="FO433" t="n">
        <v>2.554858790200703</v>
      </c>
      <c r="HH433" t="n">
        <v>2.542</v>
      </c>
      <c r="HS433" t="n">
        <v>-2.23</v>
      </c>
      <c r="ID433" t="n">
        <v>1.16</v>
      </c>
      <c r="IF433" t="n">
        <v>8</v>
      </c>
      <c r="IG433" t="n">
        <v>4.2</v>
      </c>
      <c r="IH433" t="n">
        <v>37.8</v>
      </c>
      <c r="II433" t="n">
        <v>-29.4</v>
      </c>
      <c r="IJ433" t="n">
        <v>4.018844676762996</v>
      </c>
      <c r="IK433" t="n">
        <v>4.063478236478254</v>
      </c>
      <c r="IL433" t="n">
        <v>4.00712007919789</v>
      </c>
      <c r="IM433" t="n">
        <v>4.106697660711163</v>
      </c>
      <c r="IN433" t="n">
        <v>4.004323471526019</v>
      </c>
      <c r="IO433" t="n">
        <v>4.085898097245372</v>
      </c>
      <c r="KH433" t="n">
        <v>4.048</v>
      </c>
      <c r="KS433" t="n">
        <v>-3.63</v>
      </c>
      <c r="LD433" t="n">
        <v>0.99</v>
      </c>
    </row>
    <row r="434">
      <c r="A434" t="inlineStr">
        <is>
          <t>2026-04-29</t>
        </is>
      </c>
      <c r="B434" t="inlineStr">
        <is>
          <t>Optimum Wellness 37</t>
        </is>
      </c>
      <c r="C434" t="inlineStr">
        <is>
          <t>109126042901</t>
        </is>
      </c>
      <c r="D434" t="inlineStr">
        <is>
          <t>ALP</t>
        </is>
      </c>
      <c r="F434" t="n">
        <v>20</v>
      </c>
      <c r="G434" t="n">
        <v>136</v>
      </c>
      <c r="H434" t="n">
        <v>2856</v>
      </c>
      <c r="I434" t="n">
        <v>-2584</v>
      </c>
      <c r="J434" t="n">
        <v>146.0002465383956</v>
      </c>
      <c r="K434" t="n">
        <v>143.6460091166558</v>
      </c>
      <c r="L434" t="n">
        <v>142.8660500903318</v>
      </c>
      <c r="M434" t="n">
        <v>146.9957337409523</v>
      </c>
      <c r="N434" t="n">
        <v>143.3742141357044</v>
      </c>
      <c r="O434" t="n">
        <v>144.1322943614929</v>
      </c>
      <c r="P434" t="n">
        <v>143.3922072172239</v>
      </c>
      <c r="BH434" t="n">
        <v>144.344</v>
      </c>
      <c r="BS434" t="n">
        <v>6.14</v>
      </c>
      <c r="CD434" t="n">
        <v>0.99</v>
      </c>
      <c r="CF434" t="n">
        <v>20</v>
      </c>
      <c r="CG434" t="n">
        <v>456</v>
      </c>
      <c r="CH434" t="n">
        <v>9576</v>
      </c>
      <c r="CI434" t="n">
        <v>-8664</v>
      </c>
      <c r="CJ434" t="n">
        <v>452.3614567342504</v>
      </c>
      <c r="CK434" t="n">
        <v>465.4101249791296</v>
      </c>
      <c r="CL434" t="n">
        <v>466.6563486320732</v>
      </c>
      <c r="CM434" t="n">
        <v>463.1935454689157</v>
      </c>
      <c r="CN434" t="n">
        <v>462.3636873878911</v>
      </c>
      <c r="CO434" t="n">
        <v>467.8214728763101</v>
      </c>
      <c r="EH434" t="n">
        <v>462.968</v>
      </c>
      <c r="ES434" t="n">
        <v>1.53</v>
      </c>
      <c r="FD434" t="n">
        <v>1.1</v>
      </c>
      <c r="FF434" t="n">
        <v>20</v>
      </c>
      <c r="FG434" t="n">
        <v>75</v>
      </c>
      <c r="FH434" t="n">
        <v>1575</v>
      </c>
      <c r="FI434" t="n">
        <v>-1425</v>
      </c>
      <c r="FJ434" t="n">
        <v>76.71444903465857</v>
      </c>
      <c r="FK434" t="n">
        <v>75.13748738577432</v>
      </c>
      <c r="FL434" t="n">
        <v>76.46802254887231</v>
      </c>
      <c r="FM434" t="n">
        <v>76.75042545265568</v>
      </c>
      <c r="FN434" t="n">
        <v>76.36971963430221</v>
      </c>
      <c r="FO434" t="n">
        <v>76.81728631631977</v>
      </c>
      <c r="HH434" t="n">
        <v>76.376</v>
      </c>
      <c r="HS434" t="n">
        <v>1.83</v>
      </c>
      <c r="ID434" t="n">
        <v>0.75</v>
      </c>
      <c r="IF434" t="n">
        <v>20</v>
      </c>
      <c r="IG434" t="n">
        <v>251</v>
      </c>
      <c r="IH434" t="n">
        <v>5271</v>
      </c>
      <c r="II434" t="n">
        <v>-4769</v>
      </c>
      <c r="IJ434" t="n">
        <v>230.734279075668</v>
      </c>
      <c r="IK434" t="n">
        <v>231.5458085950641</v>
      </c>
      <c r="IL434" t="n">
        <v>231.9736037026546</v>
      </c>
      <c r="IM434" t="n">
        <v>229.2206150140127</v>
      </c>
      <c r="IN434" t="n">
        <v>230.270411548708</v>
      </c>
      <c r="IO434" t="n">
        <v>229.7504973152776</v>
      </c>
      <c r="KH434" t="n">
        <v>230.583</v>
      </c>
      <c r="KS434" t="n">
        <v>-8.130000000000001</v>
      </c>
      <c r="LD434" t="n">
        <v>0.42</v>
      </c>
    </row>
    <row r="435">
      <c r="A435" t="inlineStr">
        <is>
          <t>2026-04-29</t>
        </is>
      </c>
      <c r="B435" t="inlineStr">
        <is>
          <t>Optimum Wellness 37</t>
        </is>
      </c>
      <c r="C435" t="inlineStr">
        <is>
          <t>109126042901</t>
        </is>
      </c>
      <c r="D435" t="inlineStr">
        <is>
          <t>ALT</t>
        </is>
      </c>
      <c r="F435" t="n">
        <v>15</v>
      </c>
      <c r="G435" t="n">
        <v>28</v>
      </c>
      <c r="H435" t="n">
        <v>448</v>
      </c>
      <c r="I435" t="n">
        <v>-392</v>
      </c>
      <c r="J435" t="n">
        <v>26.77169794445194</v>
      </c>
      <c r="K435" t="n">
        <v>22.26729834166686</v>
      </c>
      <c r="L435" t="n">
        <v>25.76552258654299</v>
      </c>
      <c r="M435" t="n">
        <v>36.63075843211173</v>
      </c>
      <c r="N435" t="n">
        <v>27.73631887452398</v>
      </c>
      <c r="O435" t="n">
        <v>16.67449976130178</v>
      </c>
      <c r="P435" t="n">
        <v>27.87266757547933</v>
      </c>
      <c r="BH435" t="n">
        <v>26.246</v>
      </c>
      <c r="BS435" t="n">
        <v>-6.27</v>
      </c>
      <c r="CD435" t="n">
        <v>21.39</v>
      </c>
      <c r="CF435" t="n">
        <v>15</v>
      </c>
      <c r="CG435" t="n">
        <v>115</v>
      </c>
      <c r="CH435" t="n">
        <v>1840</v>
      </c>
      <c r="CI435" t="n">
        <v>-1610</v>
      </c>
      <c r="CJ435" t="n">
        <v>120.5704496728683</v>
      </c>
      <c r="CK435" t="n">
        <v>119.1125940233675</v>
      </c>
      <c r="CL435" t="n">
        <v>115.9574314293098</v>
      </c>
      <c r="CM435" t="n">
        <v>121.6100052410987</v>
      </c>
      <c r="CN435" t="n">
        <v>118.7260924744199</v>
      </c>
      <c r="CO435" t="n">
        <v>122.5336504376988</v>
      </c>
      <c r="EH435" t="n">
        <v>119.752</v>
      </c>
      <c r="ES435" t="n">
        <v>4.13</v>
      </c>
      <c r="FD435" t="n">
        <v>1.79</v>
      </c>
      <c r="FF435" t="n">
        <v>15</v>
      </c>
      <c r="FG435" t="n">
        <v>26</v>
      </c>
      <c r="FH435" t="n">
        <v>416</v>
      </c>
      <c r="FI435" t="n">
        <v>-364</v>
      </c>
      <c r="FJ435" t="n">
        <v>25.59369171446709</v>
      </c>
      <c r="FK435" t="n">
        <v>17.66475963431306</v>
      </c>
      <c r="FL435" t="n">
        <v>20.39887308043365</v>
      </c>
      <c r="FM435" t="n">
        <v>22.620596189829</v>
      </c>
      <c r="FN435" t="n">
        <v>20.64007600907695</v>
      </c>
      <c r="FO435" t="n">
        <v>21.62405664466254</v>
      </c>
      <c r="HH435" t="n">
        <v>21.424</v>
      </c>
      <c r="HS435" t="n">
        <v>-17.6</v>
      </c>
      <c r="ID435" t="n">
        <v>11.22</v>
      </c>
      <c r="IF435" t="n">
        <v>15</v>
      </c>
      <c r="IG435" t="n">
        <v>217</v>
      </c>
      <c r="IH435" t="n">
        <v>3472</v>
      </c>
      <c r="II435" t="n">
        <v>-3038</v>
      </c>
      <c r="IJ435" t="n">
        <v>217.9871584116144</v>
      </c>
      <c r="IK435" t="n">
        <v>224.6040508067634</v>
      </c>
      <c r="IL435" t="n">
        <v>216.7828679762973</v>
      </c>
      <c r="IM435" t="n">
        <v>213.5134400657495</v>
      </c>
      <c r="IN435" t="n">
        <v>210.3839068088539</v>
      </c>
      <c r="IO435" t="n">
        <v>212.5409443363141</v>
      </c>
      <c r="KH435" t="n">
        <v>215.969</v>
      </c>
      <c r="KS435" t="n">
        <v>-0.48</v>
      </c>
      <c r="LD435" t="n">
        <v>2.14</v>
      </c>
    </row>
    <row r="436">
      <c r="A436" t="inlineStr">
        <is>
          <t>2026-04-29</t>
        </is>
      </c>
      <c r="B436" t="inlineStr">
        <is>
          <t>Optimum Wellness 37</t>
        </is>
      </c>
      <c r="C436" t="inlineStr">
        <is>
          <t>109126042901</t>
        </is>
      </c>
      <c r="D436" t="inlineStr">
        <is>
          <t>BUN</t>
        </is>
      </c>
      <c r="F436" t="n">
        <v>9</v>
      </c>
      <c r="G436" t="n">
        <v>14.8</v>
      </c>
      <c r="H436" t="n">
        <v>148</v>
      </c>
      <c r="I436" t="n">
        <v>-118.4</v>
      </c>
      <c r="J436" t="n">
        <v>14.64004999454772</v>
      </c>
      <c r="K436" t="n">
        <v>14.42988392826446</v>
      </c>
      <c r="L436" t="n">
        <v>14.56735326522834</v>
      </c>
      <c r="M436" t="n">
        <v>14.71640199454832</v>
      </c>
      <c r="N436" t="n">
        <v>14.8405586332286</v>
      </c>
      <c r="O436" t="n">
        <v>14.73146202541647</v>
      </c>
      <c r="P436" t="n">
        <v>14.59748254877961</v>
      </c>
      <c r="BH436" t="n">
        <v>14.646</v>
      </c>
      <c r="BS436" t="n">
        <v>-1.04</v>
      </c>
      <c r="CD436" t="n">
        <v>0.84</v>
      </c>
      <c r="CF436" t="n">
        <v>9</v>
      </c>
      <c r="CG436" t="n">
        <v>44.7</v>
      </c>
      <c r="CH436" t="n">
        <v>447</v>
      </c>
      <c r="CI436" t="n">
        <v>-357.6</v>
      </c>
      <c r="CJ436" t="n">
        <v>43.90870403301683</v>
      </c>
      <c r="CK436" t="n">
        <v>45.83106992387386</v>
      </c>
      <c r="CL436" t="n">
        <v>44.38092784801327</v>
      </c>
      <c r="CM436" t="n">
        <v>44.99523259394999</v>
      </c>
      <c r="CN436" t="n">
        <v>45.13512898922301</v>
      </c>
      <c r="CO436" t="n">
        <v>45.5217933378213</v>
      </c>
      <c r="EH436" t="n">
        <v>44.962</v>
      </c>
      <c r="ES436" t="n">
        <v>0.59</v>
      </c>
      <c r="FD436" t="n">
        <v>1.45</v>
      </c>
      <c r="FF436" t="n">
        <v>9</v>
      </c>
      <c r="FG436" t="n">
        <v>14.7</v>
      </c>
      <c r="FH436" t="n">
        <v>147</v>
      </c>
      <c r="FI436" t="n">
        <v>-117.6</v>
      </c>
      <c r="FJ436" t="n">
        <v>14.98911278926507</v>
      </c>
      <c r="FK436" t="n">
        <v>14.6245985224082</v>
      </c>
      <c r="FL436" t="n">
        <v>14.66484195775228</v>
      </c>
      <c r="FM436" t="n">
        <v>14.75249030870385</v>
      </c>
      <c r="FN436" t="n">
        <v>14.69469859803094</v>
      </c>
      <c r="FO436" t="n">
        <v>14.61774003769787</v>
      </c>
      <c r="HH436" t="n">
        <v>14.724</v>
      </c>
      <c r="HS436" t="n">
        <v>0.16</v>
      </c>
      <c r="ID436" t="n">
        <v>0.86</v>
      </c>
      <c r="IF436" t="n">
        <v>9</v>
      </c>
      <c r="IG436" t="n">
        <v>65.7</v>
      </c>
      <c r="IH436" t="n">
        <v>657</v>
      </c>
      <c r="II436" t="n">
        <v>-525.6</v>
      </c>
      <c r="IJ436" t="n">
        <v>66.25075354521768</v>
      </c>
      <c r="IK436" t="n">
        <v>66.15925771731789</v>
      </c>
      <c r="IL436" t="n">
        <v>65.67298686932182</v>
      </c>
      <c r="IM436" t="n">
        <v>64.05778923148546</v>
      </c>
      <c r="IN436" t="n">
        <v>65.19376839115419</v>
      </c>
      <c r="IO436" t="n">
        <v>64.79865889012348</v>
      </c>
      <c r="KH436" t="n">
        <v>65.35599999999999</v>
      </c>
      <c r="KS436" t="n">
        <v>-0.52</v>
      </c>
      <c r="LD436" t="n">
        <v>1.18</v>
      </c>
    </row>
    <row r="437">
      <c r="A437" t="inlineStr">
        <is>
          <t>2026-04-29</t>
        </is>
      </c>
      <c r="B437" t="inlineStr">
        <is>
          <t>Optimum Wellness 37</t>
        </is>
      </c>
      <c r="C437" t="inlineStr">
        <is>
          <t>109126042901</t>
        </is>
      </c>
      <c r="D437" t="inlineStr">
        <is>
          <t>CREA</t>
        </is>
      </c>
      <c r="F437" t="n">
        <v>10</v>
      </c>
      <c r="G437" t="n">
        <v>1.5</v>
      </c>
      <c r="H437" t="n">
        <v>16.5</v>
      </c>
      <c r="I437" t="n">
        <v>-13.5</v>
      </c>
      <c r="J437" t="n">
        <v>1.261987739868516</v>
      </c>
      <c r="K437" t="n">
        <v>1.272142351940078</v>
      </c>
      <c r="L437" t="n">
        <v>1.334325497901032</v>
      </c>
      <c r="M437" t="n">
        <v>1.322281197891102</v>
      </c>
      <c r="N437" t="n">
        <v>1.272467408997065</v>
      </c>
      <c r="O437" t="n">
        <v>0.9756017149305592</v>
      </c>
      <c r="P437" t="n">
        <v>1.311929670165867</v>
      </c>
      <c r="BH437" t="n">
        <v>1.25</v>
      </c>
      <c r="BS437" t="n">
        <v>-16.66</v>
      </c>
      <c r="CD437" t="n">
        <v>9.199999999999999</v>
      </c>
      <c r="CF437" t="n">
        <v>10</v>
      </c>
      <c r="CG437" t="n">
        <v>5.55</v>
      </c>
      <c r="CH437" t="n">
        <v>61.05</v>
      </c>
      <c r="CI437" t="n">
        <v>-49.95</v>
      </c>
      <c r="CJ437" t="n">
        <v>4.731600614663708</v>
      </c>
      <c r="CK437" t="n">
        <v>4.814819706245189</v>
      </c>
      <c r="CL437" t="n">
        <v>4.745639523873428</v>
      </c>
      <c r="CM437" t="n">
        <v>4.730352303122054</v>
      </c>
      <c r="CN437" t="n">
        <v>4.772242275334828</v>
      </c>
      <c r="CO437" t="n">
        <v>4.691158882094146</v>
      </c>
      <c r="EH437" t="n">
        <v>4.748</v>
      </c>
      <c r="ES437" t="n">
        <v>-14.46</v>
      </c>
      <c r="FD437" t="n">
        <v>0.8100000000000001</v>
      </c>
      <c r="FF437" t="n">
        <v>10</v>
      </c>
      <c r="FG437" t="n">
        <v>0.97</v>
      </c>
      <c r="FH437" t="n">
        <v>10.67</v>
      </c>
      <c r="FI437" t="n">
        <v>-8.73</v>
      </c>
      <c r="FJ437" t="n">
        <v>0.7337327827435638</v>
      </c>
      <c r="FK437" t="n">
        <v>0.6995632071676846</v>
      </c>
      <c r="FL437" t="n">
        <v>0.6733584613624831</v>
      </c>
      <c r="FM437" t="n">
        <v>0.6663556461456289</v>
      </c>
      <c r="FN437" t="n">
        <v>0.729885050229316</v>
      </c>
      <c r="FO437" t="n">
        <v>0.6822838670976468</v>
      </c>
      <c r="HH437" t="n">
        <v>0.698</v>
      </c>
      <c r="HS437" t="n">
        <v>-28.09</v>
      </c>
      <c r="ID437" t="n">
        <v>3.77</v>
      </c>
      <c r="IF437" t="n">
        <v>10</v>
      </c>
      <c r="IG437" t="n">
        <v>5.95</v>
      </c>
      <c r="IH437" t="n">
        <v>65.45</v>
      </c>
      <c r="II437" t="n">
        <v>-53.55</v>
      </c>
      <c r="IJ437" t="n">
        <v>5.402972860027543</v>
      </c>
      <c r="IK437" t="n">
        <v>5.596124930960088</v>
      </c>
      <c r="IL437" t="n">
        <v>5.372666321209474</v>
      </c>
      <c r="IM437" t="n">
        <v>5.320265652536113</v>
      </c>
      <c r="IN437" t="n">
        <v>5.40384402650897</v>
      </c>
      <c r="IO437" t="n">
        <v>5.396473698952025</v>
      </c>
      <c r="KH437" t="n">
        <v>5.415</v>
      </c>
      <c r="KS437" t="n">
        <v>-8.99</v>
      </c>
      <c r="LD437" t="n">
        <v>1.58</v>
      </c>
    </row>
    <row r="438">
      <c r="A438" t="inlineStr">
        <is>
          <t>2026-04-29</t>
        </is>
      </c>
      <c r="B438" t="inlineStr">
        <is>
          <t>Optimum Wellness 37</t>
        </is>
      </c>
      <c r="C438" t="inlineStr">
        <is>
          <t>109126042901</t>
        </is>
      </c>
      <c r="D438" t="inlineStr">
        <is>
          <t>GLU</t>
        </is>
      </c>
      <c r="F438" t="n">
        <v>8</v>
      </c>
      <c r="G438" t="n">
        <v>90.16</v>
      </c>
      <c r="H438" t="n">
        <v>811.4399999999999</v>
      </c>
      <c r="I438" t="n">
        <v>-631.12</v>
      </c>
      <c r="J438" t="n">
        <v>90.33848475286607</v>
      </c>
      <c r="K438" t="n">
        <v>89.68274683280214</v>
      </c>
      <c r="L438" t="n">
        <v>91.12021481951948</v>
      </c>
      <c r="M438" t="n">
        <v>92.08401658363377</v>
      </c>
      <c r="N438" t="n">
        <v>90.17722033550004</v>
      </c>
      <c r="O438" t="n">
        <v>91.28450084358363</v>
      </c>
      <c r="P438" t="n">
        <v>89.57966242188178</v>
      </c>
      <c r="BH438" t="n">
        <v>90.61</v>
      </c>
      <c r="BS438" t="n">
        <v>0.5</v>
      </c>
      <c r="CD438" t="n">
        <v>0.9399999999999999</v>
      </c>
      <c r="CF438" t="n">
        <v>8</v>
      </c>
      <c r="CG438" t="n">
        <v>293.02</v>
      </c>
      <c r="CH438" t="n">
        <v>2637.18</v>
      </c>
      <c r="CI438" t="n">
        <v>-2051.14</v>
      </c>
      <c r="CJ438" t="n">
        <v>299.6106290622593</v>
      </c>
      <c r="CK438" t="n">
        <v>300.5769857509223</v>
      </c>
      <c r="CL438" t="n">
        <v>300.4201580173958</v>
      </c>
      <c r="CM438" t="n">
        <v>301.8715344357634</v>
      </c>
      <c r="CN438" t="n">
        <v>300.6433453706128</v>
      </c>
      <c r="CO438" t="n">
        <v>296.5187803656169</v>
      </c>
      <c r="EH438" t="n">
        <v>299.94</v>
      </c>
      <c r="ES438" t="n">
        <v>2.36</v>
      </c>
      <c r="FD438" t="n">
        <v>0.5600000000000001</v>
      </c>
      <c r="FF438" t="n">
        <v>8</v>
      </c>
      <c r="FG438" t="n">
        <v>65.66</v>
      </c>
      <c r="FH438" t="n">
        <v>590.9399999999999</v>
      </c>
      <c r="FI438" t="n">
        <v>-459.62</v>
      </c>
      <c r="FJ438" t="n">
        <v>66.9782472350339</v>
      </c>
      <c r="FK438" t="n">
        <v>65.94347229059559</v>
      </c>
      <c r="FL438" t="n">
        <v>66.16686252598018</v>
      </c>
      <c r="FM438" t="n">
        <v>67.00396410524598</v>
      </c>
      <c r="FN438" t="n">
        <v>67.08598537536963</v>
      </c>
      <c r="FO438" t="n">
        <v>66.93326748632177</v>
      </c>
      <c r="HH438" t="n">
        <v>66.685</v>
      </c>
      <c r="HS438" t="n">
        <v>1.56</v>
      </c>
      <c r="ID438" t="n">
        <v>0.68</v>
      </c>
      <c r="IF438" t="n">
        <v>8</v>
      </c>
      <c r="IG438" t="n">
        <v>359.66</v>
      </c>
      <c r="IH438" t="n">
        <v>3236.94</v>
      </c>
      <c r="II438" t="n">
        <v>-2517.62</v>
      </c>
      <c r="IJ438" t="n">
        <v>360.9683649540779</v>
      </c>
      <c r="IK438" t="n">
        <v>369.2046954708833</v>
      </c>
      <c r="IL438" t="n">
        <v>365.0428571612378</v>
      </c>
      <c r="IM438" t="n">
        <v>360.0839055050171</v>
      </c>
      <c r="IN438" t="n">
        <v>358.4164090525294</v>
      </c>
      <c r="IO438" t="n">
        <v>362.2196260745131</v>
      </c>
      <c r="KH438" t="n">
        <v>362.656</v>
      </c>
      <c r="KS438" t="n">
        <v>0.83</v>
      </c>
      <c r="LD438" t="n">
        <v>0.98</v>
      </c>
    </row>
    <row r="439">
      <c r="A439" t="inlineStr">
        <is>
          <t>2026-04-29</t>
        </is>
      </c>
      <c r="B439" t="inlineStr">
        <is>
          <t>Optimum Wellness 37</t>
        </is>
      </c>
      <c r="C439" t="inlineStr">
        <is>
          <t>109126042901</t>
        </is>
      </c>
      <c r="D439" t="inlineStr">
        <is>
          <t>TP</t>
        </is>
      </c>
      <c r="F439" t="n">
        <v>8</v>
      </c>
      <c r="G439" t="n">
        <v>6.4</v>
      </c>
      <c r="H439" t="n">
        <v>57.6</v>
      </c>
      <c r="I439" t="n">
        <v>-44.8</v>
      </c>
      <c r="J439" t="n">
        <v>6.34858846992053</v>
      </c>
      <c r="K439" t="n">
        <v>6.385006777937145</v>
      </c>
      <c r="L439" t="n">
        <v>6.400947786390365</v>
      </c>
      <c r="M439" t="n">
        <v>6.514204530377786</v>
      </c>
      <c r="N439" t="n">
        <v>6.468834089804728</v>
      </c>
      <c r="O439" t="n">
        <v>6.463482961233964</v>
      </c>
      <c r="P439" t="n">
        <v>6.341641074328601</v>
      </c>
      <c r="BH439" t="n">
        <v>6.418</v>
      </c>
      <c r="BS439" t="n">
        <v>0.27</v>
      </c>
      <c r="CD439" t="n">
        <v>0.95</v>
      </c>
      <c r="CF439" t="n">
        <v>8</v>
      </c>
      <c r="CG439" t="n">
        <v>4.1</v>
      </c>
      <c r="CH439" t="n">
        <v>36.9</v>
      </c>
      <c r="CI439" t="n">
        <v>-28.7</v>
      </c>
      <c r="CJ439" t="n">
        <v>4.26236566028925</v>
      </c>
      <c r="CK439" t="n">
        <v>4.29613223476256</v>
      </c>
      <c r="CL439" t="n">
        <v>4.2777134478909</v>
      </c>
      <c r="CM439" t="n">
        <v>4.318762517711162</v>
      </c>
      <c r="CN439" t="n">
        <v>4.270796575181821</v>
      </c>
      <c r="CO439" t="n">
        <v>4.27632759700912</v>
      </c>
      <c r="EH439" t="n">
        <v>4.284</v>
      </c>
      <c r="ES439" t="n">
        <v>4.48</v>
      </c>
      <c r="FD439" t="n">
        <v>0.44</v>
      </c>
      <c r="FF439" t="n">
        <v>8</v>
      </c>
      <c r="FG439" t="n">
        <v>4.2</v>
      </c>
      <c r="FH439" t="n">
        <v>37.8</v>
      </c>
      <c r="FI439" t="n">
        <v>-29.4</v>
      </c>
      <c r="FJ439" t="n">
        <v>4.071267680728983</v>
      </c>
      <c r="FK439" t="n">
        <v>3.935811763775401</v>
      </c>
      <c r="FL439" t="n">
        <v>4.02291791025856</v>
      </c>
      <c r="FM439" t="n">
        <v>4.059202847217453</v>
      </c>
      <c r="FN439" t="n">
        <v>4.038378230964303</v>
      </c>
      <c r="FO439" t="n">
        <v>4.044141155780736</v>
      </c>
      <c r="HH439" t="n">
        <v>4.029</v>
      </c>
      <c r="HS439" t="n">
        <v>-4.08</v>
      </c>
      <c r="ID439" t="n">
        <v>1.1</v>
      </c>
      <c r="IF439" t="n">
        <v>8</v>
      </c>
      <c r="IG439" t="n">
        <v>7.5</v>
      </c>
      <c r="IH439" t="n">
        <v>67.5</v>
      </c>
      <c r="II439" t="n">
        <v>-52.5</v>
      </c>
      <c r="IJ439" t="n">
        <v>7.468312645739111</v>
      </c>
      <c r="IK439" t="n">
        <v>7.527488291796741</v>
      </c>
      <c r="IL439" t="n">
        <v>7.522819809979236</v>
      </c>
      <c r="IM439" t="n">
        <v>7.349973225571309</v>
      </c>
      <c r="IN439" t="n">
        <v>7.341471458965509</v>
      </c>
      <c r="IO439" t="n">
        <v>7.424586097877608</v>
      </c>
      <c r="KH439" t="n">
        <v>7.439</v>
      </c>
      <c r="KS439" t="n">
        <v>-0.8100000000000001</v>
      </c>
      <c r="LD439" t="n">
        <v>1</v>
      </c>
    </row>
    <row r="440">
      <c r="A440" t="inlineStr">
        <is>
          <t>2026-04-28</t>
        </is>
      </c>
      <c r="B440" t="inlineStr">
        <is>
          <t>General Chem 26</t>
        </is>
      </c>
      <c r="C440" t="inlineStr">
        <is>
          <t>205426042801</t>
        </is>
      </c>
      <c r="D440" t="inlineStr">
        <is>
          <t>AMY</t>
        </is>
      </c>
      <c r="F440" t="n">
        <v>10</v>
      </c>
      <c r="G440" t="n">
        <v>78</v>
      </c>
      <c r="H440" t="n">
        <v>858</v>
      </c>
      <c r="I440" t="n">
        <v>-702</v>
      </c>
      <c r="J440" t="n">
        <v>77.39322946679256</v>
      </c>
      <c r="K440" t="n">
        <v>75.71510329641976</v>
      </c>
      <c r="L440" t="n">
        <v>75.87354728506669</v>
      </c>
      <c r="M440" t="n">
        <v>77.41040666669437</v>
      </c>
      <c r="N440" t="n">
        <v>76.77863903314768</v>
      </c>
      <c r="O440" t="n">
        <v>75.36210508427899</v>
      </c>
      <c r="P440" t="n">
        <v>76.63539436926661</v>
      </c>
      <c r="BH440" t="n">
        <v>76.453</v>
      </c>
      <c r="BS440" t="n">
        <v>-1.98</v>
      </c>
      <c r="CD440" t="n">
        <v>0.99</v>
      </c>
      <c r="CF440" t="n">
        <v>10</v>
      </c>
      <c r="CG440" t="n">
        <v>404</v>
      </c>
      <c r="CH440" t="n">
        <v>4444</v>
      </c>
      <c r="CI440" t="n">
        <v>-3636</v>
      </c>
      <c r="CJ440" t="n">
        <v>411.0390732761942</v>
      </c>
      <c r="CK440" t="n">
        <v>409.1888146376206</v>
      </c>
      <c r="CL440" t="n">
        <v>415.7890578411357</v>
      </c>
      <c r="CM440" t="n">
        <v>432.9933128705574</v>
      </c>
      <c r="CN440" t="n">
        <v>401.4037559031865</v>
      </c>
      <c r="CO440" t="n">
        <v>430.1315328939107</v>
      </c>
      <c r="CP440" t="n">
        <v>405.7213733383809</v>
      </c>
      <c r="EH440" t="n">
        <v>415.181</v>
      </c>
      <c r="ES440" t="n">
        <v>2.77</v>
      </c>
      <c r="FD440" t="n">
        <v>2.69</v>
      </c>
      <c r="FF440" t="n">
        <v>10</v>
      </c>
      <c r="FG440" t="n">
        <v>63</v>
      </c>
      <c r="FH440" t="n">
        <v>693</v>
      </c>
      <c r="FI440" t="n">
        <v>-567</v>
      </c>
      <c r="FJ440" t="n">
        <v>62.136213552732</v>
      </c>
      <c r="FK440" t="n">
        <v>61.9621937599142</v>
      </c>
      <c r="FL440" t="n">
        <v>63.90742223679777</v>
      </c>
      <c r="FM440" t="n">
        <v>62.34038332572538</v>
      </c>
      <c r="FN440" t="n">
        <v>61.94421945291718</v>
      </c>
      <c r="HH440" t="n">
        <v>62.458</v>
      </c>
      <c r="HS440" t="n">
        <v>-0.86</v>
      </c>
      <c r="ID440" t="n">
        <v>1.18</v>
      </c>
      <c r="IF440" t="n">
        <v>10</v>
      </c>
      <c r="IG440" t="n">
        <v>297</v>
      </c>
      <c r="IH440" t="n">
        <v>3267</v>
      </c>
      <c r="II440" t="n">
        <v>-2673</v>
      </c>
      <c r="IJ440" t="n">
        <v>304.8756614364693</v>
      </c>
      <c r="IK440" t="n">
        <v>305.2103456667948</v>
      </c>
      <c r="IL440" t="n">
        <v>304.0987818946565</v>
      </c>
      <c r="IM440" t="n">
        <v>294.0355868387019</v>
      </c>
      <c r="IN440" t="n">
        <v>304.507775301546</v>
      </c>
      <c r="KH440" t="n">
        <v>302.546</v>
      </c>
      <c r="KS440" t="n">
        <v>1.87</v>
      </c>
      <c r="LD440" t="n">
        <v>1.41</v>
      </c>
    </row>
    <row r="441">
      <c r="A441" t="inlineStr">
        <is>
          <t>2026-04-28</t>
        </is>
      </c>
      <c r="B441" t="inlineStr">
        <is>
          <t>General Chem 26</t>
        </is>
      </c>
      <c r="C441" t="inlineStr">
        <is>
          <t>205426042801</t>
        </is>
      </c>
      <c r="D441" t="inlineStr">
        <is>
          <t>AST</t>
        </is>
      </c>
      <c r="F441" t="n">
        <v>15</v>
      </c>
      <c r="G441" t="n">
        <v>44</v>
      </c>
      <c r="H441" t="n">
        <v>704</v>
      </c>
      <c r="I441" t="n">
        <v>-616</v>
      </c>
      <c r="J441" t="n">
        <v>46.17848779362072</v>
      </c>
      <c r="K441" t="n">
        <v>43.34062623417823</v>
      </c>
      <c r="L441" t="n">
        <v>44.00916187944533</v>
      </c>
      <c r="M441" t="n">
        <v>47.58669770346008</v>
      </c>
      <c r="N441" t="n">
        <v>45.64638374361276</v>
      </c>
      <c r="O441" t="n">
        <v>44.28772220190515</v>
      </c>
      <c r="P441" t="n">
        <v>43.52209235714797</v>
      </c>
      <c r="BH441" t="n">
        <v>44.939</v>
      </c>
      <c r="BS441" t="n">
        <v>2.13</v>
      </c>
      <c r="CD441" t="n">
        <v>3.25</v>
      </c>
      <c r="CF441" t="n">
        <v>15</v>
      </c>
      <c r="CG441" t="n">
        <v>221</v>
      </c>
      <c r="CH441" t="n">
        <v>3536</v>
      </c>
      <c r="CI441" t="n">
        <v>-3094</v>
      </c>
      <c r="CJ441" t="n">
        <v>228.497395676403</v>
      </c>
      <c r="CK441" t="n">
        <v>226.0991346171137</v>
      </c>
      <c r="CL441" t="n">
        <v>228.1659248121674</v>
      </c>
      <c r="CM441" t="n">
        <v>247.5308840694724</v>
      </c>
      <c r="CN441" t="n">
        <v>213.5700339411952</v>
      </c>
      <c r="CO441" t="n">
        <v>234.8376975855289</v>
      </c>
      <c r="CP441" t="n">
        <v>221.4023509697664</v>
      </c>
      <c r="EH441" t="n">
        <v>228.586</v>
      </c>
      <c r="ES441" t="n">
        <v>3.43</v>
      </c>
      <c r="FD441" t="n">
        <v>4.32</v>
      </c>
      <c r="FF441" t="n">
        <v>15</v>
      </c>
      <c r="FG441" t="n">
        <v>45</v>
      </c>
      <c r="FH441" t="n">
        <v>720</v>
      </c>
      <c r="FI441" t="n">
        <v>-630</v>
      </c>
      <c r="FJ441" t="n">
        <v>47.01790733049751</v>
      </c>
      <c r="FK441" t="n">
        <v>49.84327539097431</v>
      </c>
      <c r="FL441" t="n">
        <v>47.38493913653628</v>
      </c>
      <c r="FM441" t="n">
        <v>45.34490135612676</v>
      </c>
      <c r="FN441" t="n">
        <v>44.51125055319567</v>
      </c>
      <c r="HH441" t="n">
        <v>46.82</v>
      </c>
      <c r="HS441" t="n">
        <v>4.05</v>
      </c>
      <c r="ID441" t="n">
        <v>3.94</v>
      </c>
      <c r="IF441" t="n">
        <v>15</v>
      </c>
      <c r="IG441" t="n">
        <v>282</v>
      </c>
      <c r="IH441" t="n">
        <v>4512</v>
      </c>
      <c r="II441" t="n">
        <v>-3948</v>
      </c>
      <c r="IJ441" t="n">
        <v>288.6334689912472</v>
      </c>
      <c r="IK441" t="n">
        <v>287.97057356172</v>
      </c>
      <c r="IL441" t="n">
        <v>287.7982214884976</v>
      </c>
      <c r="IM441" t="n">
        <v>282.5234103167567</v>
      </c>
      <c r="IN441" t="n">
        <v>289.9105012330347</v>
      </c>
      <c r="KH441" t="n">
        <v>287.367</v>
      </c>
      <c r="KS441" t="n">
        <v>1.9</v>
      </c>
      <c r="LD441" t="n">
        <v>0.88</v>
      </c>
    </row>
    <row r="442">
      <c r="A442" t="inlineStr">
        <is>
          <t>2026-04-28</t>
        </is>
      </c>
      <c r="B442" t="inlineStr">
        <is>
          <t>General Chem 26</t>
        </is>
      </c>
      <c r="C442" t="inlineStr">
        <is>
          <t>205426042801</t>
        </is>
      </c>
      <c r="D442" t="inlineStr">
        <is>
          <t>CHOL</t>
        </is>
      </c>
      <c r="F442" t="n">
        <v>10</v>
      </c>
      <c r="G442" t="n">
        <v>228</v>
      </c>
      <c r="H442" t="n">
        <v>2508</v>
      </c>
      <c r="I442" t="n">
        <v>-2052</v>
      </c>
      <c r="J442" t="n">
        <v>230.471990716349</v>
      </c>
      <c r="K442" t="n">
        <v>233.9826969902102</v>
      </c>
      <c r="L442" t="n">
        <v>234.0611011555817</v>
      </c>
      <c r="M442" t="n">
        <v>236.1997937810936</v>
      </c>
      <c r="N442" t="n">
        <v>234.6125567055681</v>
      </c>
      <c r="O442" t="n">
        <v>235.004969312728</v>
      </c>
      <c r="P442" t="n">
        <v>233.5931708205563</v>
      </c>
      <c r="BH442" t="n">
        <v>233.989</v>
      </c>
      <c r="BS442" t="n">
        <v>2.63</v>
      </c>
      <c r="CD442" t="n">
        <v>0.7</v>
      </c>
      <c r="CF442" t="n">
        <v>10</v>
      </c>
      <c r="CG442" t="n">
        <v>99</v>
      </c>
      <c r="CH442" t="n">
        <v>1089</v>
      </c>
      <c r="CI442" t="n">
        <v>-891</v>
      </c>
      <c r="CJ442" t="n">
        <v>96.48352346206723</v>
      </c>
      <c r="CK442" t="n">
        <v>99.28895260156258</v>
      </c>
      <c r="CL442" t="n">
        <v>98.47115314873386</v>
      </c>
      <c r="CM442" t="n">
        <v>102.7130556877818</v>
      </c>
      <c r="CN442" t="n">
        <v>100.1852683085335</v>
      </c>
      <c r="CO442" t="n">
        <v>104.9377338045423</v>
      </c>
      <c r="CP442" t="n">
        <v>96.9698671489047</v>
      </c>
      <c r="EH442" t="n">
        <v>99.864</v>
      </c>
      <c r="ES442" t="n">
        <v>0.87</v>
      </c>
      <c r="FD442" t="n">
        <v>2.83</v>
      </c>
      <c r="FF442" t="n">
        <v>10</v>
      </c>
      <c r="FG442" t="n">
        <v>115</v>
      </c>
      <c r="FH442" t="n">
        <v>1265</v>
      </c>
      <c r="FI442" t="n">
        <v>-1035</v>
      </c>
      <c r="FJ442" t="n">
        <v>112.4020487748562</v>
      </c>
      <c r="FK442" t="n">
        <v>113.4518965806041</v>
      </c>
      <c r="FL442" t="n">
        <v>114.7127192331735</v>
      </c>
      <c r="FM442" t="n">
        <v>112.1752622258977</v>
      </c>
      <c r="FN442" t="n">
        <v>113.4673807754552</v>
      </c>
      <c r="HH442" t="n">
        <v>113.242</v>
      </c>
      <c r="HS442" t="n">
        <v>-1.53</v>
      </c>
      <c r="ID442" t="n">
        <v>0.8</v>
      </c>
      <c r="IF442" t="n">
        <v>10</v>
      </c>
      <c r="IG442" t="n">
        <v>269</v>
      </c>
      <c r="IH442" t="n">
        <v>2959</v>
      </c>
      <c r="II442" t="n">
        <v>-2421</v>
      </c>
      <c r="IJ442" t="n">
        <v>266.9528701419451</v>
      </c>
      <c r="IK442" t="n">
        <v>264.6560956326337</v>
      </c>
      <c r="IL442" t="n">
        <v>264.1936384642114</v>
      </c>
      <c r="IM442" t="n">
        <v>265.1098200067316</v>
      </c>
      <c r="IN442" t="n">
        <v>265.9607498017959</v>
      </c>
      <c r="KH442" t="n">
        <v>265.375</v>
      </c>
      <c r="KS442" t="n">
        <v>-1.35</v>
      </c>
      <c r="LD442" t="n">
        <v>0.37</v>
      </c>
    </row>
    <row r="443">
      <c r="A443" t="inlineStr">
        <is>
          <t>2026-04-28</t>
        </is>
      </c>
      <c r="B443" t="inlineStr">
        <is>
          <t>General Chem 26</t>
        </is>
      </c>
      <c r="C443" t="inlineStr">
        <is>
          <t>205426042801</t>
        </is>
      </c>
      <c r="D443" t="inlineStr">
        <is>
          <t>CK</t>
        </is>
      </c>
      <c r="F443" t="n">
        <v>20</v>
      </c>
      <c r="J443" t="n">
        <v>152.5830140928298</v>
      </c>
      <c r="K443" t="n">
        <v>149.1970066454115</v>
      </c>
      <c r="L443" t="n">
        <v>143.104571065131</v>
      </c>
      <c r="M443" t="n">
        <v>139.1524142111458</v>
      </c>
      <c r="N443" t="n">
        <v>150.1888637162683</v>
      </c>
      <c r="O443" t="n">
        <v>147.066477751135</v>
      </c>
      <c r="P443" t="n">
        <v>146.8377640135568</v>
      </c>
      <c r="BH443" t="n">
        <v>146.876</v>
      </c>
      <c r="CD443" t="n">
        <v>2.85</v>
      </c>
      <c r="CF443" t="n">
        <v>20</v>
      </c>
      <c r="CJ443" t="n">
        <v>517.5564165644948</v>
      </c>
      <c r="CK443" t="n">
        <v>513.4674449219706</v>
      </c>
      <c r="CL443" t="n">
        <v>508.2775003874783</v>
      </c>
      <c r="CM443" t="n">
        <v>576.3238464048335</v>
      </c>
      <c r="CN443" t="n">
        <v>500.1567215584917</v>
      </c>
      <c r="CO443" t="n">
        <v>554.3544626083598</v>
      </c>
      <c r="CP443" t="n">
        <v>519.9026614588379</v>
      </c>
      <c r="EH443" t="n">
        <v>527.148</v>
      </c>
      <c r="FD443" t="n">
        <v>4.85</v>
      </c>
      <c r="FF443" t="n">
        <v>20</v>
      </c>
      <c r="FJ443" t="n">
        <v>73.56053079713365</v>
      </c>
      <c r="FK443" t="n">
        <v>72.27062668993256</v>
      </c>
      <c r="FL443" t="n">
        <v>75.12592446841136</v>
      </c>
      <c r="FM443" t="n">
        <v>71.91609825209483</v>
      </c>
      <c r="FN443" t="n">
        <v>74.42928410142009</v>
      </c>
      <c r="HH443" t="n">
        <v>73.45999999999999</v>
      </c>
      <c r="ID443" t="n">
        <v>1.67</v>
      </c>
      <c r="IF443" t="n">
        <v>20</v>
      </c>
      <c r="IJ443" t="n">
        <v>677.4166553899394</v>
      </c>
      <c r="IK443" t="n">
        <v>670.7681667976454</v>
      </c>
      <c r="IL443" t="n">
        <v>703.983474273271</v>
      </c>
      <c r="IM443" t="n">
        <v>664.7871522423733</v>
      </c>
      <c r="IN443" t="n">
        <v>681.4844834993677</v>
      </c>
      <c r="KH443" t="n">
        <v>679.688</v>
      </c>
      <c r="LD443" t="n">
        <v>1.97</v>
      </c>
    </row>
    <row r="444">
      <c r="A444" t="inlineStr">
        <is>
          <t>2026-04-28</t>
        </is>
      </c>
      <c r="B444" t="inlineStr">
        <is>
          <t>General Chem 26</t>
        </is>
      </c>
      <c r="C444" t="inlineStr">
        <is>
          <t>205426042801</t>
        </is>
      </c>
      <c r="D444" t="inlineStr">
        <is>
          <t>Ca</t>
        </is>
      </c>
      <c r="G444" t="n">
        <v>9.1</v>
      </c>
      <c r="J444" t="n">
        <v>9.732852253675567</v>
      </c>
      <c r="K444" t="n">
        <v>10.01993961621736</v>
      </c>
      <c r="L444" t="n">
        <v>9.973086243769842</v>
      </c>
      <c r="M444" t="n">
        <v>9.80193004046594</v>
      </c>
      <c r="N444" t="n">
        <v>9.698310425519104</v>
      </c>
      <c r="O444" t="n">
        <v>9.927972676039342</v>
      </c>
      <c r="P444" t="n">
        <v>10.24538287824369</v>
      </c>
      <c r="BH444" t="n">
        <v>9.914</v>
      </c>
      <c r="BS444" t="n">
        <v>8.949999999999999</v>
      </c>
      <c r="CD444" t="n">
        <v>1.77</v>
      </c>
      <c r="CG444" t="n">
        <v>12.4</v>
      </c>
      <c r="CJ444" t="n">
        <v>12.86630801230672</v>
      </c>
      <c r="CK444" t="n">
        <v>13.14276242971459</v>
      </c>
      <c r="CL444" t="n">
        <v>12.64234280716611</v>
      </c>
      <c r="CM444" t="n">
        <v>13.19570788073198</v>
      </c>
      <c r="CN444" t="n">
        <v>12.61183007117249</v>
      </c>
      <c r="CO444" t="n">
        <v>13.19001800044607</v>
      </c>
      <c r="CP444" t="n">
        <v>12.93253628643277</v>
      </c>
      <c r="EH444" t="n">
        <v>12.94</v>
      </c>
      <c r="ES444" t="n">
        <v>4.36</v>
      </c>
      <c r="FD444" t="n">
        <v>1.78</v>
      </c>
      <c r="FG444" t="n">
        <v>5.9</v>
      </c>
      <c r="FJ444" t="n">
        <v>6.103628101904744</v>
      </c>
      <c r="FK444" t="n">
        <v>6.164389652552273</v>
      </c>
      <c r="FL444" t="n">
        <v>5.996438007103953</v>
      </c>
      <c r="FM444" t="n">
        <v>5.995261433742837</v>
      </c>
      <c r="FN444" t="n">
        <v>5.978920842334374</v>
      </c>
      <c r="HH444" t="n">
        <v>6.048</v>
      </c>
      <c r="HS444" t="n">
        <v>2.5</v>
      </c>
      <c r="ID444" t="n">
        <v>1.21</v>
      </c>
      <c r="IG444" t="n">
        <v>12.7</v>
      </c>
      <c r="IJ444" t="n">
        <v>12.96247077750073</v>
      </c>
      <c r="IK444" t="n">
        <v>13.18074140075406</v>
      </c>
      <c r="IL444" t="n">
        <v>12.74781813963019</v>
      </c>
      <c r="IM444" t="n">
        <v>13.14229338039423</v>
      </c>
      <c r="IN444" t="n">
        <v>12.94489686539321</v>
      </c>
      <c r="KH444" t="n">
        <v>12.996</v>
      </c>
      <c r="KS444" t="n">
        <v>2.33</v>
      </c>
      <c r="LD444" t="n">
        <v>1.2</v>
      </c>
    </row>
    <row r="445">
      <c r="A445" t="inlineStr">
        <is>
          <t>2026-04-28</t>
        </is>
      </c>
      <c r="B445" t="inlineStr">
        <is>
          <t>General Chem 26</t>
        </is>
      </c>
      <c r="C445" t="inlineStr">
        <is>
          <t>205426042801</t>
        </is>
      </c>
      <c r="D445" t="inlineStr">
        <is>
          <t>GGT</t>
        </is>
      </c>
      <c r="F445" t="n">
        <v>15</v>
      </c>
      <c r="G445" t="n">
        <v>57</v>
      </c>
      <c r="H445" t="n">
        <v>912</v>
      </c>
      <c r="I445" t="n">
        <v>-798</v>
      </c>
      <c r="J445" t="n">
        <v>62.98106041792306</v>
      </c>
      <c r="K445" t="n">
        <v>61.95716205709012</v>
      </c>
      <c r="L445" t="n">
        <v>62.16438288929861</v>
      </c>
      <c r="M445" t="n">
        <v>63.0670382653537</v>
      </c>
      <c r="N445" t="n">
        <v>63.64998904474211</v>
      </c>
      <c r="O445" t="n">
        <v>63.0850811590699</v>
      </c>
      <c r="P445" t="n">
        <v>64.0749883516287</v>
      </c>
      <c r="BH445" t="n">
        <v>62.997</v>
      </c>
      <c r="BS445" t="n">
        <v>10.52</v>
      </c>
      <c r="CD445" t="n">
        <v>1.1</v>
      </c>
      <c r="CF445" t="n">
        <v>15</v>
      </c>
      <c r="CG445" t="n">
        <v>164</v>
      </c>
      <c r="CH445" t="n">
        <v>2624</v>
      </c>
      <c r="CI445" t="n">
        <v>-2296</v>
      </c>
      <c r="CJ445" t="n">
        <v>174.6205613048567</v>
      </c>
      <c r="CK445" t="n">
        <v>172.31775805211</v>
      </c>
      <c r="CL445" t="n">
        <v>175.9329310284655</v>
      </c>
      <c r="CM445" t="n">
        <v>190.8507245928848</v>
      </c>
      <c r="CN445" t="n">
        <v>168.9685295738736</v>
      </c>
      <c r="CO445" t="n">
        <v>186.7605973564802</v>
      </c>
      <c r="CP445" t="n">
        <v>176.0918571629549</v>
      </c>
      <c r="EH445" t="n">
        <v>177.935</v>
      </c>
      <c r="ES445" t="n">
        <v>8.5</v>
      </c>
      <c r="FD445" t="n">
        <v>4.11</v>
      </c>
      <c r="FF445" t="n">
        <v>15</v>
      </c>
      <c r="FG445" t="n">
        <v>23</v>
      </c>
      <c r="FH445" t="n">
        <v>368</v>
      </c>
      <c r="FI445" t="n">
        <v>-322</v>
      </c>
      <c r="FJ445" t="n">
        <v>24.72816363989376</v>
      </c>
      <c r="FK445" t="n">
        <v>22.76922303408592</v>
      </c>
      <c r="FL445" t="n">
        <v>25.11992834143116</v>
      </c>
      <c r="FM445" t="n">
        <v>23.24036055760797</v>
      </c>
      <c r="FN445" t="n">
        <v>23.63771611348071</v>
      </c>
      <c r="HH445" t="n">
        <v>23.899</v>
      </c>
      <c r="HS445" t="n">
        <v>3.91</v>
      </c>
      <c r="ID445" t="n">
        <v>3.72</v>
      </c>
      <c r="IF445" t="n">
        <v>15</v>
      </c>
      <c r="IG445" t="n">
        <v>126</v>
      </c>
      <c r="IH445" t="n">
        <v>2016</v>
      </c>
      <c r="II445" t="n">
        <v>-1764</v>
      </c>
      <c r="IJ445" t="n">
        <v>139.0167583560596</v>
      </c>
      <c r="IK445" t="n">
        <v>139.4397545537513</v>
      </c>
      <c r="IL445" t="n">
        <v>138.7130072962919</v>
      </c>
      <c r="IM445" t="n">
        <v>132.5088965269687</v>
      </c>
      <c r="IN445" t="n">
        <v>137.7602983463105</v>
      </c>
      <c r="KH445" t="n">
        <v>137.488</v>
      </c>
      <c r="KS445" t="n">
        <v>9.119999999999999</v>
      </c>
      <c r="LD445" t="n">
        <v>1.85</v>
      </c>
    </row>
    <row r="446">
      <c r="A446" t="inlineStr">
        <is>
          <t>2026-04-28</t>
        </is>
      </c>
      <c r="B446" t="inlineStr">
        <is>
          <t>General Chem 26</t>
        </is>
      </c>
      <c r="C446" t="inlineStr">
        <is>
          <t>205426042801</t>
        </is>
      </c>
      <c r="D446" t="inlineStr">
        <is>
          <t>PHOS</t>
        </is>
      </c>
      <c r="F446" t="n">
        <v>10</v>
      </c>
      <c r="G446" t="n">
        <v>3.3</v>
      </c>
      <c r="H446" t="n">
        <v>36.3</v>
      </c>
      <c r="I446" t="n">
        <v>-29.7</v>
      </c>
      <c r="J446" t="n">
        <v>3.32311458445262</v>
      </c>
      <c r="K446" t="n">
        <v>3.266948382484206</v>
      </c>
      <c r="L446" t="n">
        <v>3.280730913306167</v>
      </c>
      <c r="M446" t="n">
        <v>3.409522122259837</v>
      </c>
      <c r="N446" t="n">
        <v>3.24971033763898</v>
      </c>
      <c r="O446" t="n">
        <v>3.228263216656718</v>
      </c>
      <c r="P446" t="n">
        <v>3.302776178765632</v>
      </c>
      <c r="BH446" t="n">
        <v>3.294</v>
      </c>
      <c r="BS446" t="n">
        <v>-0.17</v>
      </c>
      <c r="CD446" t="n">
        <v>1.68</v>
      </c>
      <c r="CF446" t="n">
        <v>10</v>
      </c>
      <c r="CG446" t="n">
        <v>7.2</v>
      </c>
      <c r="CH446" t="n">
        <v>79.2</v>
      </c>
      <c r="CI446" t="n">
        <v>-64.8</v>
      </c>
      <c r="CJ446" t="n">
        <v>7.17350425712864</v>
      </c>
      <c r="CK446" t="n">
        <v>7.215057469261178</v>
      </c>
      <c r="CL446" t="n">
        <v>7.137240586365677</v>
      </c>
      <c r="CM446" t="n">
        <v>7.617669414738152</v>
      </c>
      <c r="CN446" t="n">
        <v>7.122077390480207</v>
      </c>
      <c r="CO446" t="n">
        <v>7.458386441347386</v>
      </c>
      <c r="CP446" t="n">
        <v>7.286446325298648</v>
      </c>
      <c r="EH446" t="n">
        <v>7.287</v>
      </c>
      <c r="ES446" t="n">
        <v>1.21</v>
      </c>
      <c r="FD446" t="n">
        <v>2.36</v>
      </c>
      <c r="FF446" t="n">
        <v>10</v>
      </c>
      <c r="FG446" t="n">
        <v>1.9</v>
      </c>
      <c r="FH446" t="n">
        <v>20.9</v>
      </c>
      <c r="FI446" t="n">
        <v>-17.1</v>
      </c>
      <c r="FJ446" t="n">
        <v>1.955429718278046</v>
      </c>
      <c r="FK446" t="n">
        <v>1.933862579757955</v>
      </c>
      <c r="FL446" t="n">
        <v>1.994976434584315</v>
      </c>
      <c r="FM446" t="n">
        <v>1.94168962389376</v>
      </c>
      <c r="FN446" t="n">
        <v>1.949458675692078</v>
      </c>
      <c r="HH446" t="n">
        <v>1.955</v>
      </c>
      <c r="HS446" t="n">
        <v>2.9</v>
      </c>
      <c r="ID446" t="n">
        <v>1.09</v>
      </c>
      <c r="IF446" t="n">
        <v>10</v>
      </c>
      <c r="IG446" t="n">
        <v>7.2</v>
      </c>
      <c r="IH446" t="n">
        <v>79.2</v>
      </c>
      <c r="II446" t="n">
        <v>-64.8</v>
      </c>
      <c r="IJ446" t="n">
        <v>7.417894532792779</v>
      </c>
      <c r="IK446" t="n">
        <v>7.311284313167393</v>
      </c>
      <c r="IL446" t="n">
        <v>7.417469210072273</v>
      </c>
      <c r="IM446" t="n">
        <v>7.243748781414123</v>
      </c>
      <c r="IN446" t="n">
        <v>7.469477468920896</v>
      </c>
      <c r="KH446" t="n">
        <v>7.372</v>
      </c>
      <c r="KS446" t="n">
        <v>2.39</v>
      </c>
      <c r="LD446" t="n">
        <v>1.12</v>
      </c>
    </row>
    <row r="447">
      <c r="A447" t="inlineStr">
        <is>
          <t>2026-04-28</t>
        </is>
      </c>
      <c r="B447" t="inlineStr">
        <is>
          <t>General Chem 26</t>
        </is>
      </c>
      <c r="C447" t="inlineStr">
        <is>
          <t>205426042801</t>
        </is>
      </c>
      <c r="D447" t="inlineStr">
        <is>
          <t>TBIL</t>
        </is>
      </c>
      <c r="F447" t="n">
        <v>20</v>
      </c>
      <c r="G447" t="n">
        <v>1.1</v>
      </c>
      <c r="H447" t="n">
        <v>23.1</v>
      </c>
      <c r="I447" t="n">
        <v>-20.9</v>
      </c>
      <c r="J447" t="n">
        <v>1.397893559169052</v>
      </c>
      <c r="K447" t="n">
        <v>1.425036483434091</v>
      </c>
      <c r="L447" t="n">
        <v>1.377361388456282</v>
      </c>
      <c r="M447" t="n">
        <v>1.416965646666068</v>
      </c>
      <c r="N447" t="n">
        <v>1.461347008653237</v>
      </c>
      <c r="O447" t="n">
        <v>1.440818750615994</v>
      </c>
      <c r="P447" t="n">
        <v>1.45126353401331</v>
      </c>
      <c r="BH447" t="n">
        <v>1.424</v>
      </c>
      <c r="BS447" t="n">
        <v>29.49</v>
      </c>
      <c r="CD447" t="n">
        <v>1.94</v>
      </c>
      <c r="CF447" t="n">
        <v>20</v>
      </c>
      <c r="CG447" t="n">
        <v>5.1</v>
      </c>
      <c r="CH447" t="n">
        <v>107.1</v>
      </c>
      <c r="CI447" t="n">
        <v>-96.89999999999999</v>
      </c>
      <c r="CJ447" t="n">
        <v>5.217453009791909</v>
      </c>
      <c r="CK447" t="n">
        <v>5.302492508105098</v>
      </c>
      <c r="CL447" t="n">
        <v>5.277435290933239</v>
      </c>
      <c r="CM447" t="n">
        <v>5.658140754776642</v>
      </c>
      <c r="CN447" t="n">
        <v>5.255495919592867</v>
      </c>
      <c r="CO447" t="n">
        <v>5.703679927590466</v>
      </c>
      <c r="CP447" t="n">
        <v>5.360548058617084</v>
      </c>
      <c r="EH447" t="n">
        <v>5.396</v>
      </c>
      <c r="ES447" t="n">
        <v>5.81</v>
      </c>
      <c r="FD447" t="n">
        <v>3.42</v>
      </c>
      <c r="FF447" t="n">
        <v>20</v>
      </c>
      <c r="FG447" t="n">
        <v>0.8</v>
      </c>
      <c r="FH447" t="n">
        <v>16.8</v>
      </c>
      <c r="FI447" t="n">
        <v>-15.2</v>
      </c>
      <c r="FJ447" t="n">
        <v>0.7977867426051004</v>
      </c>
      <c r="FK447" t="n">
        <v>0.764499603499126</v>
      </c>
      <c r="FL447" t="n">
        <v>0.7801405775519923</v>
      </c>
      <c r="FM447" t="n">
        <v>0.7748084412540024</v>
      </c>
      <c r="FN447" t="n">
        <v>0.7926448754863342</v>
      </c>
      <c r="HH447" t="n">
        <v>0.782</v>
      </c>
      <c r="HS447" t="n">
        <v>-2.25</v>
      </c>
      <c r="ID447" t="n">
        <v>1.54</v>
      </c>
      <c r="IF447" t="n">
        <v>20</v>
      </c>
      <c r="IG447" t="n">
        <v>8.4</v>
      </c>
      <c r="IH447" t="n">
        <v>176.4</v>
      </c>
      <c r="II447" t="n">
        <v>-159.6</v>
      </c>
      <c r="IJ447" t="n">
        <v>8.695499389579393</v>
      </c>
      <c r="IK447" t="n">
        <v>8.611505677014827</v>
      </c>
      <c r="IL447" t="n">
        <v>8.649410316746506</v>
      </c>
      <c r="IM447" t="n">
        <v>8.659578494200888</v>
      </c>
      <c r="IN447" t="n">
        <v>8.70937109012254</v>
      </c>
      <c r="KH447" t="n">
        <v>8.664999999999999</v>
      </c>
      <c r="KS447" t="n">
        <v>3.16</v>
      </c>
      <c r="LD447" t="n">
        <v>0.4</v>
      </c>
    </row>
    <row r="448">
      <c r="A448" t="inlineStr">
        <is>
          <t>2026-04-28</t>
        </is>
      </c>
      <c r="B448" t="inlineStr">
        <is>
          <t>General Chem 26</t>
        </is>
      </c>
      <c r="C448" t="inlineStr">
        <is>
          <t>105326042801</t>
        </is>
      </c>
      <c r="D448" t="inlineStr">
        <is>
          <t>ALB</t>
        </is>
      </c>
      <c r="F448" t="n">
        <v>8</v>
      </c>
      <c r="G448" t="n">
        <v>4.2</v>
      </c>
      <c r="H448" t="n">
        <v>37.8</v>
      </c>
      <c r="I448" t="n">
        <v>-29.4</v>
      </c>
      <c r="J448" t="n">
        <v>4.023377242048591</v>
      </c>
      <c r="K448" t="n">
        <v>3.988160380057296</v>
      </c>
      <c r="L448" t="n">
        <v>4.060292363353433</v>
      </c>
      <c r="M448" t="n">
        <v>4.028116193609064</v>
      </c>
      <c r="N448" t="n">
        <v>3.987795221100676</v>
      </c>
      <c r="O448" t="n">
        <v>4.090402955903517</v>
      </c>
      <c r="P448" t="n">
        <v>4.097068403514978</v>
      </c>
      <c r="BH448" t="n">
        <v>4.039</v>
      </c>
      <c r="BS448" t="n">
        <v>-3.83</v>
      </c>
      <c r="CD448" t="n">
        <v>1.03</v>
      </c>
      <c r="CF448" t="n">
        <v>8</v>
      </c>
      <c r="CG448" t="n">
        <v>2.7</v>
      </c>
      <c r="CH448" t="n">
        <v>24.3</v>
      </c>
      <c r="CI448" t="n">
        <v>-18.9</v>
      </c>
      <c r="CJ448" t="n">
        <v>2.777262261129045</v>
      </c>
      <c r="CK448" t="n">
        <v>2.645228204413007</v>
      </c>
      <c r="CL448" t="n">
        <v>2.782741071668281</v>
      </c>
      <c r="CM448" t="n">
        <v>2.818938022799236</v>
      </c>
      <c r="CN448" t="n">
        <v>2.608356277691617</v>
      </c>
      <c r="CO448" t="n">
        <v>2.884811494335371</v>
      </c>
      <c r="CP448" t="n">
        <v>2.679627145238447</v>
      </c>
      <c r="EH448" t="n">
        <v>2.742</v>
      </c>
      <c r="ES448" t="n">
        <v>1.57</v>
      </c>
      <c r="FD448" t="n">
        <v>3.39</v>
      </c>
      <c r="FF448" t="n">
        <v>8</v>
      </c>
      <c r="FG448" t="n">
        <v>2.6</v>
      </c>
      <c r="FH448" t="n">
        <v>23.4</v>
      </c>
      <c r="FI448" t="n">
        <v>-18.2</v>
      </c>
      <c r="FJ448" t="n">
        <v>2.544537933557125</v>
      </c>
      <c r="FK448" t="n">
        <v>2.619987368891952</v>
      </c>
      <c r="FL448" t="n">
        <v>2.549937309070207</v>
      </c>
      <c r="FM448" t="n">
        <v>2.577105993737129</v>
      </c>
      <c r="FN448" t="n">
        <v>2.537944826647778</v>
      </c>
      <c r="HH448" t="n">
        <v>2.566</v>
      </c>
      <c r="HS448" t="n">
        <v>-1.31</v>
      </c>
      <c r="ID448" t="n">
        <v>1.17</v>
      </c>
      <c r="IF448" t="n">
        <v>8</v>
      </c>
      <c r="IG448" t="n">
        <v>4.2</v>
      </c>
      <c r="IH448" t="n">
        <v>37.8</v>
      </c>
      <c r="II448" t="n">
        <v>-29.4</v>
      </c>
      <c r="IJ448" t="n">
        <v>3.979798000749824</v>
      </c>
      <c r="IK448" t="n">
        <v>4.121617877127358</v>
      </c>
      <c r="IL448" t="n">
        <v>4.097205923478255</v>
      </c>
      <c r="IM448" t="n">
        <v>4.109666588192082</v>
      </c>
      <c r="IN448" t="n">
        <v>4.065958807175299</v>
      </c>
      <c r="KH448" t="n">
        <v>4.075</v>
      </c>
      <c r="KS448" t="n">
        <v>-2.98</v>
      </c>
      <c r="LD448" t="n">
        <v>1.25</v>
      </c>
    </row>
    <row r="449">
      <c r="A449" t="inlineStr">
        <is>
          <t>2026-04-28</t>
        </is>
      </c>
      <c r="B449" t="inlineStr">
        <is>
          <t>General Chem 26</t>
        </is>
      </c>
      <c r="C449" t="inlineStr">
        <is>
          <t>105326042801</t>
        </is>
      </c>
      <c r="D449" t="inlineStr">
        <is>
          <t>ALP</t>
        </is>
      </c>
      <c r="F449" t="n">
        <v>20</v>
      </c>
      <c r="G449" t="n">
        <v>136</v>
      </c>
      <c r="H449" t="n">
        <v>2856</v>
      </c>
      <c r="I449" t="n">
        <v>-2584</v>
      </c>
      <c r="J449" t="n">
        <v>147.5165212514652</v>
      </c>
      <c r="K449" t="n">
        <v>145.0701075796878</v>
      </c>
      <c r="L449" t="n">
        <v>144.8764758048134</v>
      </c>
      <c r="M449" t="n">
        <v>147.2421982030505</v>
      </c>
      <c r="N449" t="n">
        <v>145.1107271908631</v>
      </c>
      <c r="O449" t="n">
        <v>143.7480823109167</v>
      </c>
      <c r="P449" t="n">
        <v>144.1703147267379</v>
      </c>
      <c r="BH449" t="n">
        <v>145.391</v>
      </c>
      <c r="BS449" t="n">
        <v>6.9</v>
      </c>
      <c r="CD449" t="n">
        <v>0.92</v>
      </c>
      <c r="CF449" t="n">
        <v>20</v>
      </c>
      <c r="CG449" t="n">
        <v>456</v>
      </c>
      <c r="CH449" t="n">
        <v>9576</v>
      </c>
      <c r="CI449" t="n">
        <v>-8664</v>
      </c>
      <c r="CJ449" t="n">
        <v>464.5903047780153</v>
      </c>
      <c r="CK449" t="n">
        <v>453.8455981521633</v>
      </c>
      <c r="CL449" t="n">
        <v>460.1274111557577</v>
      </c>
      <c r="CM449" t="n">
        <v>482.6191240873486</v>
      </c>
      <c r="CN449" t="n">
        <v>455.7154012765174</v>
      </c>
      <c r="CO449" t="n">
        <v>479.9075084450027</v>
      </c>
      <c r="CP449" t="n">
        <v>459.5178554639396</v>
      </c>
      <c r="EH449" t="n">
        <v>465.189</v>
      </c>
      <c r="ES449" t="n">
        <v>2.02</v>
      </c>
      <c r="FD449" t="n">
        <v>2.29</v>
      </c>
      <c r="FF449" t="n">
        <v>20</v>
      </c>
      <c r="FG449" t="n">
        <v>75</v>
      </c>
      <c r="FH449" t="n">
        <v>1575</v>
      </c>
      <c r="FI449" t="n">
        <v>-1425</v>
      </c>
      <c r="FJ449" t="n">
        <v>76.19237248158203</v>
      </c>
      <c r="FK449" t="n">
        <v>76.00032948901176</v>
      </c>
      <c r="FL449" t="n">
        <v>76.86879104001689</v>
      </c>
      <c r="FM449" t="n">
        <v>75.63444432872842</v>
      </c>
      <c r="FN449" t="n">
        <v>76.04435261119787</v>
      </c>
      <c r="HH449" t="n">
        <v>76.148</v>
      </c>
      <c r="HS449" t="n">
        <v>1.53</v>
      </c>
      <c r="ID449" t="n">
        <v>0.53</v>
      </c>
      <c r="IF449" t="n">
        <v>20</v>
      </c>
      <c r="IG449" t="n">
        <v>251</v>
      </c>
      <c r="IH449" t="n">
        <v>5271</v>
      </c>
      <c r="II449" t="n">
        <v>-4769</v>
      </c>
      <c r="IJ449" t="n">
        <v>234.5773674981984</v>
      </c>
      <c r="IK449" t="n">
        <v>231.0455760631259</v>
      </c>
      <c r="IL449" t="n">
        <v>231.9910268126597</v>
      </c>
      <c r="IM449" t="n">
        <v>230.035522173573</v>
      </c>
      <c r="IN449" t="n">
        <v>232.7322970757514</v>
      </c>
      <c r="KH449" t="n">
        <v>232.076</v>
      </c>
      <c r="KS449" t="n">
        <v>-7.54</v>
      </c>
      <c r="LD449" t="n">
        <v>0.67</v>
      </c>
    </row>
    <row r="450">
      <c r="A450" t="inlineStr">
        <is>
          <t>2026-04-28</t>
        </is>
      </c>
      <c r="B450" t="inlineStr">
        <is>
          <t>General Chem 26</t>
        </is>
      </c>
      <c r="C450" t="inlineStr">
        <is>
          <t>105326042801</t>
        </is>
      </c>
      <c r="D450" t="inlineStr">
        <is>
          <t>ALT</t>
        </is>
      </c>
      <c r="F450" t="n">
        <v>15</v>
      </c>
      <c r="G450" t="n">
        <v>28</v>
      </c>
      <c r="H450" t="n">
        <v>448</v>
      </c>
      <c r="I450" t="n">
        <v>-392</v>
      </c>
      <c r="J450" t="n">
        <v>28.18628998317909</v>
      </c>
      <c r="K450" t="n">
        <v>28.19304222704773</v>
      </c>
      <c r="L450" t="n">
        <v>30.96630604873151</v>
      </c>
      <c r="M450" t="n">
        <v>27.93688596075933</v>
      </c>
      <c r="N450" t="n">
        <v>28.29414434875416</v>
      </c>
      <c r="O450" t="n">
        <v>28.18025934074866</v>
      </c>
      <c r="P450" t="n">
        <v>25.40047231796945</v>
      </c>
      <c r="BH450" t="n">
        <v>28.165</v>
      </c>
      <c r="BS450" t="n">
        <v>0.59</v>
      </c>
      <c r="CD450" t="n">
        <v>5.29</v>
      </c>
      <c r="CF450" t="n">
        <v>15</v>
      </c>
      <c r="CG450" t="n">
        <v>115</v>
      </c>
      <c r="CH450" t="n">
        <v>1840</v>
      </c>
      <c r="CI450" t="n">
        <v>-1610</v>
      </c>
      <c r="CJ450" t="n">
        <v>122.0988341469302</v>
      </c>
      <c r="CK450" t="n">
        <v>116.8006269941853</v>
      </c>
      <c r="CL450" t="n">
        <v>118.7552918453475</v>
      </c>
      <c r="CM450" t="n">
        <v>131.7875437946039</v>
      </c>
      <c r="CN450" t="n">
        <v>113.5812651073132</v>
      </c>
      <c r="CO450" t="n">
        <v>120.5667987289678</v>
      </c>
      <c r="CP450" t="n">
        <v>120.8240697923022</v>
      </c>
      <c r="EH450" t="n">
        <v>120.631</v>
      </c>
      <c r="ES450" t="n">
        <v>4.9</v>
      </c>
      <c r="FD450" t="n">
        <v>4.37</v>
      </c>
      <c r="FF450" t="n">
        <v>15</v>
      </c>
      <c r="FG450" t="n">
        <v>26</v>
      </c>
      <c r="FH450" t="n">
        <v>416</v>
      </c>
      <c r="FI450" t="n">
        <v>-364</v>
      </c>
      <c r="FJ450" t="n">
        <v>24.5065029699316</v>
      </c>
      <c r="FK450" t="n">
        <v>25.8918056419465</v>
      </c>
      <c r="FL450" t="n">
        <v>24.09673791225783</v>
      </c>
      <c r="FM450" t="n">
        <v>23.42221223911206</v>
      </c>
      <c r="FN450" t="n">
        <v>22.68066819343189</v>
      </c>
      <c r="HH450" t="n">
        <v>24.12</v>
      </c>
      <c r="HS450" t="n">
        <v>-7.23</v>
      </c>
      <c r="ID450" t="n">
        <v>4.48</v>
      </c>
      <c r="IF450" t="n">
        <v>15</v>
      </c>
      <c r="IG450" t="n">
        <v>217</v>
      </c>
      <c r="IH450" t="n">
        <v>3472</v>
      </c>
      <c r="II450" t="n">
        <v>-3038</v>
      </c>
      <c r="IJ450" t="n">
        <v>217.5447059873122</v>
      </c>
      <c r="IK450" t="n">
        <v>211.2787268936177</v>
      </c>
      <c r="IL450" t="n">
        <v>216.8815170940767</v>
      </c>
      <c r="IM450" t="n">
        <v>208.320033201605</v>
      </c>
      <c r="IN450" t="n">
        <v>211.3163910408693</v>
      </c>
      <c r="KH450" t="n">
        <v>213.068</v>
      </c>
      <c r="KS450" t="n">
        <v>-1.81</v>
      </c>
      <c r="LD450" t="n">
        <v>1.67</v>
      </c>
    </row>
    <row r="451">
      <c r="A451" t="inlineStr">
        <is>
          <t>2026-04-28</t>
        </is>
      </c>
      <c r="B451" t="inlineStr">
        <is>
          <t>General Chem 26</t>
        </is>
      </c>
      <c r="C451" t="inlineStr">
        <is>
          <t>105326042801</t>
        </is>
      </c>
      <c r="D451" t="inlineStr">
        <is>
          <t>BUN</t>
        </is>
      </c>
      <c r="F451" t="n">
        <v>9</v>
      </c>
      <c r="G451" t="n">
        <v>14.8</v>
      </c>
      <c r="H451" t="n">
        <v>148</v>
      </c>
      <c r="I451" t="n">
        <v>-118.4</v>
      </c>
      <c r="J451" t="n">
        <v>14.97834382150076</v>
      </c>
      <c r="K451" t="n">
        <v>14.60573735124147</v>
      </c>
      <c r="L451" t="n">
        <v>14.48053802695828</v>
      </c>
      <c r="M451" t="n">
        <v>14.90179552011899</v>
      </c>
      <c r="N451" t="n">
        <v>14.52689876569643</v>
      </c>
      <c r="O451" t="n">
        <v>14.2877572176355</v>
      </c>
      <c r="P451" t="n">
        <v>14.62400563084129</v>
      </c>
      <c r="BH451" t="n">
        <v>14.629</v>
      </c>
      <c r="BS451" t="n">
        <v>-1.15</v>
      </c>
      <c r="CD451" t="n">
        <v>1.52</v>
      </c>
      <c r="CF451" t="n">
        <v>9</v>
      </c>
      <c r="CG451" t="n">
        <v>44.7</v>
      </c>
      <c r="CH451" t="n">
        <v>447</v>
      </c>
      <c r="CI451" t="n">
        <v>-357.6</v>
      </c>
      <c r="CJ451" t="n">
        <v>44.58982536079068</v>
      </c>
      <c r="CK451" t="n">
        <v>43.916394440026</v>
      </c>
      <c r="CL451" t="n">
        <v>44.77888886141168</v>
      </c>
      <c r="CM451" t="n">
        <v>46.47952460001301</v>
      </c>
      <c r="CN451" t="n">
        <v>44.41831731173391</v>
      </c>
      <c r="CO451" t="n">
        <v>45.15139848165474</v>
      </c>
      <c r="CP451" t="n">
        <v>44.53626537182242</v>
      </c>
      <c r="EH451" t="n">
        <v>44.839</v>
      </c>
      <c r="ES451" t="n">
        <v>0.31</v>
      </c>
      <c r="FD451" t="n">
        <v>1.68</v>
      </c>
      <c r="FF451" t="n">
        <v>9</v>
      </c>
      <c r="FG451" t="n">
        <v>14.7</v>
      </c>
      <c r="FH451" t="n">
        <v>147</v>
      </c>
      <c r="FI451" t="n">
        <v>-117.6</v>
      </c>
      <c r="FJ451" t="n">
        <v>14.9145178839407</v>
      </c>
      <c r="FK451" t="n">
        <v>14.58039899155594</v>
      </c>
      <c r="FL451" t="n">
        <v>14.61681972063156</v>
      </c>
      <c r="FM451" t="n">
        <v>14.57764868072798</v>
      </c>
      <c r="FN451" t="n">
        <v>14.66005512308029</v>
      </c>
      <c r="HH451" t="n">
        <v>14.67</v>
      </c>
      <c r="HS451" t="n">
        <v>-0.2</v>
      </c>
      <c r="ID451" t="n">
        <v>0.86</v>
      </c>
      <c r="IF451" t="n">
        <v>9</v>
      </c>
      <c r="IG451" t="n">
        <v>65.7</v>
      </c>
      <c r="IH451" t="n">
        <v>657</v>
      </c>
      <c r="II451" t="n">
        <v>-525.6</v>
      </c>
      <c r="IJ451" t="n">
        <v>66.18149236807612</v>
      </c>
      <c r="IK451" t="n">
        <v>65.47981475321755</v>
      </c>
      <c r="IL451" t="n">
        <v>66.31062703930883</v>
      </c>
      <c r="IM451" t="n">
        <v>64.42063257314042</v>
      </c>
      <c r="IN451" t="n">
        <v>65.78768613894435</v>
      </c>
      <c r="KH451" t="n">
        <v>65.636</v>
      </c>
      <c r="KS451" t="n">
        <v>-0.1</v>
      </c>
      <c r="LD451" t="n">
        <v>1.03</v>
      </c>
    </row>
    <row r="452">
      <c r="A452" t="inlineStr">
        <is>
          <t>2026-04-28</t>
        </is>
      </c>
      <c r="B452" t="inlineStr">
        <is>
          <t>General Chem 26</t>
        </is>
      </c>
      <c r="C452" t="inlineStr">
        <is>
          <t>105326042801</t>
        </is>
      </c>
      <c r="D452" t="inlineStr">
        <is>
          <t>CREA</t>
        </is>
      </c>
      <c r="F452" t="n">
        <v>10</v>
      </c>
      <c r="G452" t="n">
        <v>1.5</v>
      </c>
      <c r="H452" t="n">
        <v>16.5</v>
      </c>
      <c r="I452" t="n">
        <v>-13.5</v>
      </c>
      <c r="J452" t="n">
        <v>1.270374516359532</v>
      </c>
      <c r="K452" t="n">
        <v>1.249899833414286</v>
      </c>
      <c r="L452" t="n">
        <v>1.284949140242042</v>
      </c>
      <c r="M452" t="n">
        <v>1.292100875383962</v>
      </c>
      <c r="N452" t="n">
        <v>1.282763494064388</v>
      </c>
      <c r="O452" t="n">
        <v>1.284008689332771</v>
      </c>
      <c r="P452" t="n">
        <v>1.309369504413401</v>
      </c>
      <c r="BH452" t="n">
        <v>1.282</v>
      </c>
      <c r="BS452" t="n">
        <v>-14.54</v>
      </c>
      <c r="CD452" t="n">
        <v>1.33</v>
      </c>
      <c r="CF452" t="n">
        <v>10</v>
      </c>
      <c r="CG452" t="n">
        <v>5.55</v>
      </c>
      <c r="CH452" t="n">
        <v>61.05</v>
      </c>
      <c r="CI452" t="n">
        <v>-49.95</v>
      </c>
      <c r="CJ452" t="n">
        <v>4.595912867481768</v>
      </c>
      <c r="CK452" t="n">
        <v>4.506370629942829</v>
      </c>
      <c r="CL452" t="n">
        <v>4.626337313366546</v>
      </c>
      <c r="CM452" t="n">
        <v>4.825333782450866</v>
      </c>
      <c r="CN452" t="n">
        <v>4.574320751633405</v>
      </c>
      <c r="CO452" t="n">
        <v>4.792105161457903</v>
      </c>
      <c r="CP452" t="n">
        <v>4.78612390162837</v>
      </c>
      <c r="EH452" t="n">
        <v>4.672</v>
      </c>
      <c r="ES452" t="n">
        <v>-15.81</v>
      </c>
      <c r="FD452" t="n">
        <v>2.5</v>
      </c>
      <c r="FF452" t="n">
        <v>10</v>
      </c>
      <c r="FG452" t="n">
        <v>0.97</v>
      </c>
      <c r="FH452" t="n">
        <v>10.67</v>
      </c>
      <c r="FI452" t="n">
        <v>-8.73</v>
      </c>
      <c r="FJ452" t="n">
        <v>0.6771191831145975</v>
      </c>
      <c r="FK452" t="n">
        <v>0.6479358886353483</v>
      </c>
      <c r="FL452" t="n">
        <v>0.6833490929492452</v>
      </c>
      <c r="FM452" t="n">
        <v>0.6704051230435889</v>
      </c>
      <c r="FN452" t="n">
        <v>0.6423985490468133</v>
      </c>
      <c r="HH452" t="n">
        <v>0.664</v>
      </c>
      <c r="HS452" t="n">
        <v>-31.52</v>
      </c>
      <c r="ID452" t="n">
        <v>2.44</v>
      </c>
      <c r="IF452" t="n">
        <v>10</v>
      </c>
      <c r="IG452" t="n">
        <v>5.95</v>
      </c>
      <c r="IH452" t="n">
        <v>65.45</v>
      </c>
      <c r="II452" t="n">
        <v>-53.55</v>
      </c>
      <c r="IJ452" t="n">
        <v>5.309489405036001</v>
      </c>
      <c r="IK452" t="n">
        <v>5.395975996691129</v>
      </c>
      <c r="IL452" t="n">
        <v>5.262872132132698</v>
      </c>
      <c r="IM452" t="n">
        <v>5.258725234073632</v>
      </c>
      <c r="IN452" t="n">
        <v>5.315235049403984</v>
      </c>
      <c r="KH452" t="n">
        <v>5.308</v>
      </c>
      <c r="KS452" t="n">
        <v>-10.78</v>
      </c>
      <c r="LD452" t="n">
        <v>0.93</v>
      </c>
    </row>
    <row r="453">
      <c r="A453" t="inlineStr">
        <is>
          <t>2026-04-28</t>
        </is>
      </c>
      <c r="B453" t="inlineStr">
        <is>
          <t>General Chem 26</t>
        </is>
      </c>
      <c r="C453" t="inlineStr">
        <is>
          <t>105326042801</t>
        </is>
      </c>
      <c r="D453" t="inlineStr">
        <is>
          <t>GLU</t>
        </is>
      </c>
      <c r="F453" t="n">
        <v>8</v>
      </c>
      <c r="G453" t="n">
        <v>90.16</v>
      </c>
      <c r="H453" t="n">
        <v>811.4399999999999</v>
      </c>
      <c r="I453" t="n">
        <v>-631.12</v>
      </c>
      <c r="J453" t="n">
        <v>92.12049506850525</v>
      </c>
      <c r="K453" t="n">
        <v>90.05517676716104</v>
      </c>
      <c r="L453" t="n">
        <v>90.45590685217084</v>
      </c>
      <c r="M453" t="n">
        <v>90.65313539157393</v>
      </c>
      <c r="N453" t="n">
        <v>89.50655888798804</v>
      </c>
      <c r="O453" t="n">
        <v>89.90709521017342</v>
      </c>
      <c r="P453" t="n">
        <v>90.57331187858404</v>
      </c>
      <c r="BH453" t="n">
        <v>90.467</v>
      </c>
      <c r="BS453" t="n">
        <v>0.34</v>
      </c>
      <c r="CD453" t="n">
        <v>0.85</v>
      </c>
      <c r="CF453" t="n">
        <v>8</v>
      </c>
      <c r="CG453" t="n">
        <v>293.02</v>
      </c>
      <c r="CH453" t="n">
        <v>2637.18</v>
      </c>
      <c r="CI453" t="n">
        <v>-2051.14</v>
      </c>
      <c r="CJ453" t="n">
        <v>298.6467669565423</v>
      </c>
      <c r="CK453" t="n">
        <v>293.5856577947384</v>
      </c>
      <c r="CL453" t="n">
        <v>298.3067484751899</v>
      </c>
      <c r="CM453" t="n">
        <v>311.004722945314</v>
      </c>
      <c r="CN453" t="n">
        <v>291.5629277467092</v>
      </c>
      <c r="CO453" t="n">
        <v>305.1740947407916</v>
      </c>
      <c r="CP453" t="n">
        <v>297.4350649435597</v>
      </c>
      <c r="EH453" t="n">
        <v>299.388</v>
      </c>
      <c r="ES453" t="n">
        <v>2.17</v>
      </c>
      <c r="FD453" t="n">
        <v>2.07</v>
      </c>
      <c r="FF453" t="n">
        <v>8</v>
      </c>
      <c r="FG453" t="n">
        <v>65.66</v>
      </c>
      <c r="FH453" t="n">
        <v>590.9399999999999</v>
      </c>
      <c r="FI453" t="n">
        <v>-459.62</v>
      </c>
      <c r="FJ453" t="n">
        <v>66.63255107457906</v>
      </c>
      <c r="FK453" t="n">
        <v>65.68858499211936</v>
      </c>
      <c r="FL453" t="n">
        <v>66.04070038267884</v>
      </c>
      <c r="FM453" t="n">
        <v>65.67597560487314</v>
      </c>
      <c r="FN453" t="n">
        <v>65.75233782430274</v>
      </c>
      <c r="HH453" t="n">
        <v>65.958</v>
      </c>
      <c r="HS453" t="n">
        <v>0.45</v>
      </c>
      <c r="ID453" t="n">
        <v>0.55</v>
      </c>
      <c r="IF453" t="n">
        <v>8</v>
      </c>
      <c r="IG453" t="n">
        <v>359.66</v>
      </c>
      <c r="IH453" t="n">
        <v>3236.94</v>
      </c>
      <c r="II453" t="n">
        <v>-2517.62</v>
      </c>
      <c r="IJ453" t="n">
        <v>362.6705001040555</v>
      </c>
      <c r="IK453" t="n">
        <v>360.3413307350041</v>
      </c>
      <c r="IL453" t="n">
        <v>360.5887058070358</v>
      </c>
      <c r="IM453" t="n">
        <v>363.2603153293141</v>
      </c>
      <c r="IN453" t="n">
        <v>359.3028729919178</v>
      </c>
      <c r="KH453" t="n">
        <v>361.233</v>
      </c>
      <c r="KS453" t="n">
        <v>0.44</v>
      </c>
      <c r="LD453" t="n">
        <v>0.41</v>
      </c>
    </row>
    <row r="454">
      <c r="A454" t="inlineStr">
        <is>
          <t>2026-04-28</t>
        </is>
      </c>
      <c r="B454" t="inlineStr">
        <is>
          <t>General Chem 26</t>
        </is>
      </c>
      <c r="C454" t="inlineStr">
        <is>
          <t>105326042801</t>
        </is>
      </c>
      <c r="D454" t="inlineStr">
        <is>
          <t>TP</t>
        </is>
      </c>
      <c r="F454" t="n">
        <v>8</v>
      </c>
      <c r="G454" t="n">
        <v>6.4</v>
      </c>
      <c r="H454" t="n">
        <v>57.6</v>
      </c>
      <c r="I454" t="n">
        <v>-44.8</v>
      </c>
      <c r="J454" t="n">
        <v>6.541728381909412</v>
      </c>
      <c r="K454" t="n">
        <v>6.40691209748992</v>
      </c>
      <c r="L454" t="n">
        <v>6.409307748736662</v>
      </c>
      <c r="M454" t="n">
        <v>6.461882972622574</v>
      </c>
      <c r="N454" t="n">
        <v>6.502070462345765</v>
      </c>
      <c r="O454" t="n">
        <v>6.381539478168229</v>
      </c>
      <c r="P454" t="n">
        <v>6.527814407941083</v>
      </c>
      <c r="BH454" t="n">
        <v>6.462</v>
      </c>
      <c r="BS454" t="n">
        <v>0.96</v>
      </c>
      <c r="CD454" t="n">
        <v>0.92</v>
      </c>
      <c r="CF454" t="n">
        <v>8</v>
      </c>
      <c r="CG454" t="n">
        <v>4.1</v>
      </c>
      <c r="CH454" t="n">
        <v>36.9</v>
      </c>
      <c r="CI454" t="n">
        <v>-28.7</v>
      </c>
      <c r="CJ454" t="n">
        <v>4.238796396719117</v>
      </c>
      <c r="CK454" t="n">
        <v>4.244672558295814</v>
      </c>
      <c r="CL454" t="n">
        <v>4.184452757206721</v>
      </c>
      <c r="CM454" t="n">
        <v>4.510258682055212</v>
      </c>
      <c r="CN454" t="n">
        <v>4.172031346280441</v>
      </c>
      <c r="CO454" t="n">
        <v>4.439723758800527</v>
      </c>
      <c r="CP454" t="n">
        <v>4.30075751507361</v>
      </c>
      <c r="EH454" t="n">
        <v>4.299</v>
      </c>
      <c r="ES454" t="n">
        <v>4.85</v>
      </c>
      <c r="FD454" t="n">
        <v>2.78</v>
      </c>
      <c r="FF454" t="n">
        <v>8</v>
      </c>
      <c r="FG454" t="n">
        <v>4.2</v>
      </c>
      <c r="FH454" t="n">
        <v>37.8</v>
      </c>
      <c r="FI454" t="n">
        <v>-29.4</v>
      </c>
      <c r="FJ454" t="n">
        <v>4.024619442960379</v>
      </c>
      <c r="FK454" t="n">
        <v>3.96689443382025</v>
      </c>
      <c r="FL454" t="n">
        <v>4.045965136156226</v>
      </c>
      <c r="FM454" t="n">
        <v>4.051704734107806</v>
      </c>
      <c r="FN454" t="n">
        <v>4.08058860411856</v>
      </c>
      <c r="HH454" t="n">
        <v>4.034</v>
      </c>
      <c r="HS454" t="n">
        <v>-3.95</v>
      </c>
      <c r="ID454" t="n">
        <v>0.9399999999999999</v>
      </c>
      <c r="IF454" t="n">
        <v>8</v>
      </c>
      <c r="IG454" t="n">
        <v>7.5</v>
      </c>
      <c r="IH454" t="n">
        <v>67.5</v>
      </c>
      <c r="II454" t="n">
        <v>-52.5</v>
      </c>
      <c r="IJ454" t="n">
        <v>7.406601877006743</v>
      </c>
      <c r="IK454" t="n">
        <v>7.377339029541469</v>
      </c>
      <c r="IL454" t="n">
        <v>7.328506904638225</v>
      </c>
      <c r="IM454" t="n">
        <v>7.504824216731272</v>
      </c>
      <c r="IN454" t="n">
        <v>7.430063741558682</v>
      </c>
      <c r="KH454" t="n">
        <v>7.409</v>
      </c>
      <c r="KS454" t="n">
        <v>-1.21</v>
      </c>
      <c r="LD454" t="n">
        <v>0.79</v>
      </c>
    </row>
    <row r="455">
      <c r="A455" t="inlineStr">
        <is>
          <t>2026-04-27</t>
        </is>
      </c>
      <c r="B455" t="inlineStr">
        <is>
          <t>Equine 26</t>
        </is>
      </c>
      <c r="C455" t="inlineStr">
        <is>
          <t>206026042701</t>
        </is>
      </c>
      <c r="D455" t="inlineStr">
        <is>
          <t>ALP</t>
        </is>
      </c>
      <c r="F455" t="n">
        <v>20</v>
      </c>
      <c r="G455" t="n">
        <v>136</v>
      </c>
      <c r="H455" t="n">
        <v>2856</v>
      </c>
      <c r="I455" t="n">
        <v>-2584</v>
      </c>
      <c r="J455" t="n">
        <v>143.040645995251</v>
      </c>
      <c r="K455" t="n">
        <v>141.8459045628246</v>
      </c>
      <c r="L455" t="n">
        <v>140.016940734892</v>
      </c>
      <c r="M455" t="n">
        <v>140.1612090014361</v>
      </c>
      <c r="BH455" t="n">
        <v>141.266</v>
      </c>
      <c r="BS455" t="n">
        <v>3.87</v>
      </c>
      <c r="CD455" t="n">
        <v>0.89</v>
      </c>
      <c r="CF455" t="n">
        <v>20</v>
      </c>
      <c r="CG455" t="n">
        <v>456</v>
      </c>
      <c r="CH455" t="n">
        <v>9576</v>
      </c>
      <c r="CI455" t="n">
        <v>-8664</v>
      </c>
      <c r="CJ455" t="n">
        <v>452.6639555031119</v>
      </c>
      <c r="CK455" t="n">
        <v>438.9382347451996</v>
      </c>
      <c r="CL455" t="n">
        <v>444.2182142985025</v>
      </c>
      <c r="CM455" t="n">
        <v>434.4546798355624</v>
      </c>
      <c r="EH455" t="n">
        <v>442.569</v>
      </c>
      <c r="ES455" t="n">
        <v>-2.95</v>
      </c>
      <c r="FD455" t="n">
        <v>1.53</v>
      </c>
      <c r="FF455" t="n">
        <v>20</v>
      </c>
      <c r="FG455" t="n">
        <v>75</v>
      </c>
      <c r="FH455" t="n">
        <v>1575</v>
      </c>
      <c r="FI455" t="n">
        <v>-1425</v>
      </c>
      <c r="FJ455" t="n">
        <v>77.33878490608419</v>
      </c>
      <c r="FK455" t="n">
        <v>76.32046331948061</v>
      </c>
      <c r="FL455" t="n">
        <v>77.01394115885067</v>
      </c>
      <c r="FM455" t="n">
        <v>76.80966684406164</v>
      </c>
      <c r="HH455" t="n">
        <v>76.871</v>
      </c>
      <c r="HS455" t="n">
        <v>2.49</v>
      </c>
      <c r="ID455" t="n">
        <v>0.48</v>
      </c>
      <c r="IF455" t="n">
        <v>20</v>
      </c>
      <c r="IG455" t="n">
        <v>251</v>
      </c>
      <c r="IH455" t="n">
        <v>5271</v>
      </c>
      <c r="II455" t="n">
        <v>-4769</v>
      </c>
      <c r="IJ455" t="n">
        <v>222.9717417968826</v>
      </c>
      <c r="IK455" t="n">
        <v>220.4664769859598</v>
      </c>
      <c r="IL455" t="n">
        <v>220.1518614246144</v>
      </c>
      <c r="IM455" t="n">
        <v>218.9193134458854</v>
      </c>
      <c r="KH455" t="n">
        <v>220.627</v>
      </c>
      <c r="KS455" t="n">
        <v>-12.1</v>
      </c>
      <c r="LD455" t="n">
        <v>0.67</v>
      </c>
    </row>
    <row r="456">
      <c r="A456" t="inlineStr">
        <is>
          <t>2026-04-27</t>
        </is>
      </c>
      <c r="B456" t="inlineStr">
        <is>
          <t>Equine 26</t>
        </is>
      </c>
      <c r="C456" t="inlineStr">
        <is>
          <t>206026042701</t>
        </is>
      </c>
      <c r="D456" t="inlineStr">
        <is>
          <t>CREA</t>
        </is>
      </c>
      <c r="F456" t="n">
        <v>10</v>
      </c>
      <c r="G456" t="n">
        <v>1.5</v>
      </c>
      <c r="H456" t="n">
        <v>16.5</v>
      </c>
      <c r="I456" t="n">
        <v>-13.5</v>
      </c>
      <c r="J456" t="n">
        <v>1.165485149695775</v>
      </c>
      <c r="K456" t="n">
        <v>1.154178367689643</v>
      </c>
      <c r="L456" t="n">
        <v>1.182847562814983</v>
      </c>
      <c r="M456" t="n">
        <v>1.138199044016053</v>
      </c>
      <c r="BH456" t="n">
        <v>1.16</v>
      </c>
      <c r="BS456" t="n">
        <v>-22.65</v>
      </c>
      <c r="CD456" t="n">
        <v>1.4</v>
      </c>
      <c r="CF456" t="n">
        <v>10</v>
      </c>
      <c r="CG456" t="n">
        <v>5.55</v>
      </c>
      <c r="CH456" t="n">
        <v>61.05</v>
      </c>
      <c r="CI456" t="n">
        <v>-49.95</v>
      </c>
      <c r="CJ456" t="n">
        <v>4.443834246345294</v>
      </c>
      <c r="CK456" t="n">
        <v>4.333646138078282</v>
      </c>
      <c r="CL456" t="n">
        <v>4.410021572806226</v>
      </c>
      <c r="CM456" t="n">
        <v>4.45145047797437</v>
      </c>
      <c r="EH456" t="n">
        <v>4.41</v>
      </c>
      <c r="ES456" t="n">
        <v>-20.55</v>
      </c>
      <c r="FD456" t="n">
        <v>1.06</v>
      </c>
      <c r="FF456" t="n">
        <v>10</v>
      </c>
      <c r="FG456" t="n">
        <v>0.97</v>
      </c>
      <c r="FH456" t="n">
        <v>10.67</v>
      </c>
      <c r="FI456" t="n">
        <v>-8.73</v>
      </c>
      <c r="FJ456" t="n">
        <v>0.69732651767096</v>
      </c>
      <c r="FK456" t="n">
        <v>0.6389551901150886</v>
      </c>
      <c r="FL456" t="n">
        <v>0.6590517752390128</v>
      </c>
      <c r="FM456" t="n">
        <v>0.6891712419875941</v>
      </c>
      <c r="HH456" t="n">
        <v>0.671</v>
      </c>
      <c r="HS456" t="n">
        <v>-30.81</v>
      </c>
      <c r="ID456" t="n">
        <v>3.49</v>
      </c>
      <c r="IF456" t="n">
        <v>10</v>
      </c>
      <c r="IG456" t="n">
        <v>5.95</v>
      </c>
      <c r="IH456" t="n">
        <v>65.45</v>
      </c>
      <c r="II456" t="n">
        <v>-53.55</v>
      </c>
      <c r="IJ456" t="n">
        <v>5.123140937268144</v>
      </c>
      <c r="IK456" t="n">
        <v>5.005055351689255</v>
      </c>
      <c r="IL456" t="n">
        <v>5.190061338604952</v>
      </c>
      <c r="IM456" t="n">
        <v>5.100175738669454</v>
      </c>
      <c r="KH456" t="n">
        <v>5.105</v>
      </c>
      <c r="KS456" t="n">
        <v>-14.21</v>
      </c>
      <c r="LD456" t="n">
        <v>1.3</v>
      </c>
    </row>
    <row r="457">
      <c r="A457" t="inlineStr">
        <is>
          <t>2026-04-27</t>
        </is>
      </c>
      <c r="B457" t="inlineStr">
        <is>
          <t>Equine 26</t>
        </is>
      </c>
      <c r="C457" t="inlineStr">
        <is>
          <t>206026042701</t>
        </is>
      </c>
      <c r="D457" t="inlineStr">
        <is>
          <t>Ca</t>
        </is>
      </c>
      <c r="G457" t="n">
        <v>9.1</v>
      </c>
      <c r="J457" t="n">
        <v>9.468507928222536</v>
      </c>
      <c r="K457" t="n">
        <v>-5.029312959288477</v>
      </c>
      <c r="L457" t="n">
        <v>9.498679396773728</v>
      </c>
      <c r="M457" t="n">
        <v>9.555547487080576</v>
      </c>
      <c r="BH457" t="n">
        <v>5.873</v>
      </c>
      <c r="BS457" t="n">
        <v>-35.46</v>
      </c>
      <c r="CD457" t="n">
        <v>107.17</v>
      </c>
      <c r="CG457" t="n">
        <v>12.4</v>
      </c>
      <c r="CJ457" t="n">
        <v>12.66609878278029</v>
      </c>
      <c r="CK457" t="n">
        <v>12.75046797388519</v>
      </c>
      <c r="CL457" t="n">
        <v>12.77950075799006</v>
      </c>
      <c r="CM457" t="n">
        <v>12.58977989019913</v>
      </c>
      <c r="EH457" t="n">
        <v>12.696</v>
      </c>
      <c r="ES457" t="n">
        <v>2.39</v>
      </c>
      <c r="FD457" t="n">
        <v>0.59</v>
      </c>
      <c r="FG457" t="n">
        <v>5.9</v>
      </c>
      <c r="FJ457" t="n">
        <v>5.950522103046783</v>
      </c>
      <c r="FK457" t="n">
        <v>5.9335835562086</v>
      </c>
      <c r="FL457" t="n">
        <v>5.746572134997498</v>
      </c>
      <c r="FM457" t="n">
        <v>5.862114890771929</v>
      </c>
      <c r="HH457" t="n">
        <v>5.873</v>
      </c>
      <c r="HS457" t="n">
        <v>-0.45</v>
      </c>
      <c r="ID457" t="n">
        <v>1.37</v>
      </c>
      <c r="IG457" t="n">
        <v>12.7</v>
      </c>
      <c r="IJ457" t="n">
        <v>12.49252919891658</v>
      </c>
      <c r="IK457" t="n">
        <v>12.45818336389138</v>
      </c>
      <c r="IL457" t="n">
        <v>12.89910928889627</v>
      </c>
      <c r="IM457" t="n">
        <v>12.35423532009427</v>
      </c>
      <c r="KH457" t="n">
        <v>12.551</v>
      </c>
      <c r="KS457" t="n">
        <v>-1.17</v>
      </c>
      <c r="LD457" t="n">
        <v>1.65</v>
      </c>
    </row>
    <row r="458">
      <c r="A458" t="inlineStr">
        <is>
          <t>2026-04-27</t>
        </is>
      </c>
      <c r="B458" t="inlineStr">
        <is>
          <t>Equine 26</t>
        </is>
      </c>
      <c r="C458" t="inlineStr">
        <is>
          <t>206026042701</t>
        </is>
      </c>
      <c r="D458" t="inlineStr">
        <is>
          <t>K</t>
        </is>
      </c>
      <c r="G458" t="n">
        <v>3.9</v>
      </c>
      <c r="J458" t="n">
        <v>4.013377134951178</v>
      </c>
      <c r="K458" t="n">
        <v>3.773769867414052</v>
      </c>
      <c r="L458" t="n">
        <v>3.834208080160893</v>
      </c>
      <c r="M458" t="n">
        <v>3.76545959826685</v>
      </c>
      <c r="BH458" t="n">
        <v>3.847</v>
      </c>
      <c r="BS458" t="n">
        <v>-1.37</v>
      </c>
      <c r="CD458" t="n">
        <v>2.59</v>
      </c>
      <c r="CG458" t="n">
        <v>6</v>
      </c>
      <c r="CJ458" t="n">
        <v>6.496869719464806</v>
      </c>
      <c r="CK458" t="n">
        <v>6.329726216917161</v>
      </c>
      <c r="CL458" t="n">
        <v>6.430533641637362</v>
      </c>
      <c r="CM458" t="n">
        <v>6.577033409046978</v>
      </c>
      <c r="EH458" t="n">
        <v>6.459</v>
      </c>
      <c r="ES458" t="n">
        <v>7.64</v>
      </c>
      <c r="FD458" t="n">
        <v>1.4</v>
      </c>
      <c r="FG458" t="n">
        <v>2.2</v>
      </c>
      <c r="FJ458" t="n">
        <v>2.4447734916944</v>
      </c>
      <c r="FK458" t="n">
        <v>2.367619525572015</v>
      </c>
      <c r="FL458" t="n">
        <v>2.413539827807715</v>
      </c>
      <c r="FM458" t="n">
        <v>2.370777310757869</v>
      </c>
      <c r="HH458" t="n">
        <v>2.399</v>
      </c>
      <c r="HS458" t="n">
        <v>9.050000000000001</v>
      </c>
      <c r="ID458" t="n">
        <v>1.33</v>
      </c>
      <c r="IG458" t="n">
        <v>8.4</v>
      </c>
      <c r="IJ458" t="n">
        <v>8.751287472682728</v>
      </c>
      <c r="IK458" t="n">
        <v>8.585455301854985</v>
      </c>
      <c r="IL458" t="n">
        <v>8.980830896587843</v>
      </c>
      <c r="IM458" t="n">
        <v>8.647681307049304</v>
      </c>
      <c r="KH458" t="n">
        <v>8.741</v>
      </c>
      <c r="KS458" t="n">
        <v>4.06</v>
      </c>
      <c r="LD458" t="n">
        <v>1.72</v>
      </c>
    </row>
    <row r="459">
      <c r="A459" t="inlineStr">
        <is>
          <t>2026-04-27</t>
        </is>
      </c>
      <c r="B459" t="inlineStr">
        <is>
          <t>Equine 26</t>
        </is>
      </c>
      <c r="C459" t="inlineStr">
        <is>
          <t>206026042701</t>
        </is>
      </c>
      <c r="D459" t="inlineStr">
        <is>
          <t>Na</t>
        </is>
      </c>
      <c r="G459" t="n">
        <v>141</v>
      </c>
      <c r="J459" t="n">
        <v>144.9182203064514</v>
      </c>
      <c r="K459" t="n">
        <v>142.6048357072736</v>
      </c>
      <c r="L459" t="n">
        <v>144.4694071773718</v>
      </c>
      <c r="M459" t="n">
        <v>142.8991980006554</v>
      </c>
      <c r="BH459" t="n">
        <v>143.723</v>
      </c>
      <c r="BS459" t="n">
        <v>1.93</v>
      </c>
      <c r="CD459" t="n">
        <v>0.6899999999999999</v>
      </c>
      <c r="CG459" t="n">
        <v>129</v>
      </c>
      <c r="CJ459" t="n">
        <v>133.9349624180995</v>
      </c>
      <c r="CK459" t="n">
        <v>131.1448343658574</v>
      </c>
      <c r="CL459" t="n">
        <v>135.1867069097092</v>
      </c>
      <c r="CM459" t="n">
        <v>133.1836792360643</v>
      </c>
      <c r="EH459" t="n">
        <v>133.363</v>
      </c>
      <c r="ES459" t="n">
        <v>3.38</v>
      </c>
      <c r="FD459" t="n">
        <v>1.1</v>
      </c>
      <c r="FG459" t="n">
        <v>118</v>
      </c>
      <c r="FJ459" t="n">
        <v>120.7184041852291</v>
      </c>
      <c r="FK459" t="n">
        <v>117.6767410912962</v>
      </c>
      <c r="FL459" t="n">
        <v>120.6544224402285</v>
      </c>
      <c r="FM459" t="n">
        <v>120.0245195820349</v>
      </c>
      <c r="HH459" t="n">
        <v>119.769</v>
      </c>
      <c r="HS459" t="n">
        <v>1.5</v>
      </c>
      <c r="ID459" t="n">
        <v>1.03</v>
      </c>
      <c r="IG459" t="n">
        <v>166</v>
      </c>
      <c r="IJ459" t="n">
        <v>160.6889684044244</v>
      </c>
      <c r="IK459" t="n">
        <v>158.7877899142291</v>
      </c>
      <c r="IL459" t="n">
        <v>164.1436032755973</v>
      </c>
      <c r="IM459" t="n">
        <v>162.1175326242825</v>
      </c>
      <c r="KH459" t="n">
        <v>161.434</v>
      </c>
      <c r="KS459" t="n">
        <v>-2.75</v>
      </c>
      <c r="LD459" t="n">
        <v>1.21</v>
      </c>
    </row>
    <row r="460">
      <c r="A460" t="inlineStr">
        <is>
          <t>2026-04-27</t>
        </is>
      </c>
      <c r="B460" t="inlineStr">
        <is>
          <t>Equine 26</t>
        </is>
      </c>
      <c r="C460" t="inlineStr">
        <is>
          <t>206026042701</t>
        </is>
      </c>
      <c r="D460" t="inlineStr">
        <is>
          <t>PHOS</t>
        </is>
      </c>
      <c r="F460" t="n">
        <v>10</v>
      </c>
      <c r="G460" t="n">
        <v>3.3</v>
      </c>
      <c r="H460" t="n">
        <v>36.3</v>
      </c>
      <c r="I460" t="n">
        <v>-29.7</v>
      </c>
      <c r="J460" t="n">
        <v>3.197067035886612</v>
      </c>
      <c r="K460" t="n">
        <v>3.13294722350304</v>
      </c>
      <c r="L460" t="n">
        <v>3.112481650494233</v>
      </c>
      <c r="M460" t="n">
        <v>3.158087100662551</v>
      </c>
      <c r="BH460" t="n">
        <v>3.15</v>
      </c>
      <c r="BS460" t="n">
        <v>-4.54</v>
      </c>
      <c r="CD460" t="n">
        <v>1</v>
      </c>
      <c r="CF460" t="n">
        <v>10</v>
      </c>
      <c r="CG460" t="n">
        <v>7.2</v>
      </c>
      <c r="CH460" t="n">
        <v>79.2</v>
      </c>
      <c r="CI460" t="n">
        <v>-64.8</v>
      </c>
      <c r="CJ460" t="n">
        <v>7.161183651309277</v>
      </c>
      <c r="CK460" t="n">
        <v>7.040464524964404</v>
      </c>
      <c r="CL460" t="n">
        <v>6.973325506848089</v>
      </c>
      <c r="CM460" t="n">
        <v>7.043604140091163</v>
      </c>
      <c r="EH460" t="n">
        <v>7.055</v>
      </c>
      <c r="ES460" t="n">
        <v>-2.02</v>
      </c>
      <c r="FD460" t="n">
        <v>0.96</v>
      </c>
      <c r="FF460" t="n">
        <v>10</v>
      </c>
      <c r="FG460" t="n">
        <v>1.9</v>
      </c>
      <c r="FH460" t="n">
        <v>20.9</v>
      </c>
      <c r="FI460" t="n">
        <v>-17.1</v>
      </c>
      <c r="FJ460" t="n">
        <v>1.941649966170261</v>
      </c>
      <c r="FK460" t="n">
        <v>1.85884077249163</v>
      </c>
      <c r="FL460" t="n">
        <v>1.860995630220842</v>
      </c>
      <c r="FM460" t="n">
        <v>1.90226623438379</v>
      </c>
      <c r="HH460" t="n">
        <v>1.891</v>
      </c>
      <c r="HS460" t="n">
        <v>-0.48</v>
      </c>
      <c r="ID460" t="n">
        <v>1.8</v>
      </c>
      <c r="IF460" t="n">
        <v>10</v>
      </c>
      <c r="IG460" t="n">
        <v>7.2</v>
      </c>
      <c r="IH460" t="n">
        <v>79.2</v>
      </c>
      <c r="II460" t="n">
        <v>-64.8</v>
      </c>
      <c r="IJ460" t="n">
        <v>7.226720176191136</v>
      </c>
      <c r="IK460" t="n">
        <v>7.136878069479871</v>
      </c>
      <c r="IL460" t="n">
        <v>7.088561826784419</v>
      </c>
      <c r="IM460" t="n">
        <v>7.194002297316976</v>
      </c>
      <c r="KH460" t="n">
        <v>7.162</v>
      </c>
      <c r="KS460" t="n">
        <v>-0.53</v>
      </c>
      <c r="LD460" t="n">
        <v>0.74</v>
      </c>
    </row>
    <row r="461">
      <c r="A461" t="inlineStr">
        <is>
          <t>2026-04-27</t>
        </is>
      </c>
      <c r="B461" t="inlineStr">
        <is>
          <t>Equine 26</t>
        </is>
      </c>
      <c r="C461" t="inlineStr">
        <is>
          <t>206026042701</t>
        </is>
      </c>
      <c r="D461" t="inlineStr">
        <is>
          <t>TBIL</t>
        </is>
      </c>
      <c r="F461" t="n">
        <v>20</v>
      </c>
      <c r="G461" t="n">
        <v>1.1</v>
      </c>
      <c r="H461" t="n">
        <v>23.1</v>
      </c>
      <c r="I461" t="n">
        <v>-20.9</v>
      </c>
      <c r="J461" t="n">
        <v>1.319338335754264</v>
      </c>
      <c r="K461" t="n">
        <v>1.289185076153848</v>
      </c>
      <c r="L461" t="n">
        <v>1.340139146431945</v>
      </c>
      <c r="M461" t="n">
        <v>1.290972726528804</v>
      </c>
      <c r="BH461" t="n">
        <v>1.31</v>
      </c>
      <c r="BS461" t="n">
        <v>19.08</v>
      </c>
      <c r="CD461" t="n">
        <v>1.62</v>
      </c>
      <c r="CF461" t="n">
        <v>20</v>
      </c>
      <c r="CG461" t="n">
        <v>5.1</v>
      </c>
      <c r="CH461" t="n">
        <v>107.1</v>
      </c>
      <c r="CI461" t="n">
        <v>-96.89999999999999</v>
      </c>
      <c r="CJ461" t="n">
        <v>5.291798086802609</v>
      </c>
      <c r="CK461" t="n">
        <v>5.226185646794391</v>
      </c>
      <c r="CL461" t="n">
        <v>5.274254310336826</v>
      </c>
      <c r="CM461" t="n">
        <v>5.247379905074522</v>
      </c>
      <c r="EH461" t="n">
        <v>5.26</v>
      </c>
      <c r="ES461" t="n">
        <v>3.14</v>
      </c>
      <c r="FD461" t="n">
        <v>0.48</v>
      </c>
      <c r="FF461" t="n">
        <v>20</v>
      </c>
      <c r="FG461" t="n">
        <v>0.8</v>
      </c>
      <c r="FH461" t="n">
        <v>16.8</v>
      </c>
      <c r="FI461" t="n">
        <v>-15.2</v>
      </c>
      <c r="FJ461" t="n">
        <v>0.7111584858916711</v>
      </c>
      <c r="FK461" t="n">
        <v>0.6882865260240987</v>
      </c>
      <c r="FL461" t="n">
        <v>0.6994560343985059</v>
      </c>
      <c r="FM461" t="n">
        <v>0.7097853068433251</v>
      </c>
      <c r="HH461" t="n">
        <v>0.702</v>
      </c>
      <c r="HS461" t="n">
        <v>-12.23</v>
      </c>
      <c r="ID461" t="n">
        <v>1.31</v>
      </c>
      <c r="IF461" t="n">
        <v>20</v>
      </c>
      <c r="IG461" t="n">
        <v>8.4</v>
      </c>
      <c r="IH461" t="n">
        <v>176.4</v>
      </c>
      <c r="II461" t="n">
        <v>-159.6</v>
      </c>
      <c r="IJ461" t="n">
        <v>8.285564048586547</v>
      </c>
      <c r="IK461" t="n">
        <v>8.288548245053757</v>
      </c>
      <c r="IL461" t="n">
        <v>8.262634757825083</v>
      </c>
      <c r="IM461" t="n">
        <v>8.358766009724246</v>
      </c>
      <c r="KH461" t="n">
        <v>8.298999999999999</v>
      </c>
      <c r="KS461" t="n">
        <v>-1.2</v>
      </c>
      <c r="LD461" t="n">
        <v>0.43</v>
      </c>
    </row>
    <row r="462">
      <c r="A462" t="inlineStr">
        <is>
          <t>2026-04-27</t>
        </is>
      </c>
      <c r="B462" t="inlineStr">
        <is>
          <t>Optimum Wellness 37</t>
        </is>
      </c>
      <c r="C462" t="inlineStr">
        <is>
          <t>109326042701</t>
        </is>
      </c>
      <c r="D462" t="inlineStr">
        <is>
          <t>BA</t>
        </is>
      </c>
      <c r="J462" t="n">
        <v>4.651162947469377</v>
      </c>
      <c r="K462" t="n">
        <v>4.037117758401328</v>
      </c>
      <c r="L462" t="n">
        <v>3.885680747509685</v>
      </c>
      <c r="M462" t="n">
        <v>4.528763092524207</v>
      </c>
      <c r="BH462" t="n">
        <v>4.276</v>
      </c>
      <c r="CD462" t="n">
        <v>7.52</v>
      </c>
      <c r="CJ462" t="n">
        <v>3.451784377383828</v>
      </c>
      <c r="CK462" t="n">
        <v>4.048875057816343</v>
      </c>
      <c r="CL462" t="n">
        <v>3.95737107617805</v>
      </c>
      <c r="CM462" t="n">
        <v>3.839385732897308</v>
      </c>
      <c r="EH462" t="n">
        <v>3.824</v>
      </c>
      <c r="FD462" t="n">
        <v>5.95</v>
      </c>
      <c r="FJ462" t="n">
        <v>12.68897463109139</v>
      </c>
      <c r="FK462" t="n">
        <v>11.90330226846447</v>
      </c>
      <c r="FL462" t="n">
        <v>12.27145220671365</v>
      </c>
      <c r="FM462" t="n">
        <v>12.72358799478041</v>
      </c>
      <c r="HH462" t="n">
        <v>12.397</v>
      </c>
      <c r="ID462" t="n">
        <v>2.71</v>
      </c>
      <c r="IJ462" t="n">
        <v>11.42275876781198</v>
      </c>
      <c r="IK462" t="n">
        <v>11.43524250594706</v>
      </c>
      <c r="IL462" t="n">
        <v>11.87506788774113</v>
      </c>
      <c r="IM462" t="n">
        <v>11.46273290936606</v>
      </c>
      <c r="KH462" t="n">
        <v>11.549</v>
      </c>
      <c r="LD462" t="n">
        <v>1.64</v>
      </c>
    </row>
    <row r="463">
      <c r="A463" t="inlineStr">
        <is>
          <t>2026-04-27</t>
        </is>
      </c>
      <c r="B463" t="inlineStr">
        <is>
          <t>Optimum Wellness 37</t>
        </is>
      </c>
      <c r="C463" t="inlineStr">
        <is>
          <t>109326042701</t>
        </is>
      </c>
      <c r="D463" t="inlineStr">
        <is>
          <t>Cl</t>
        </is>
      </c>
      <c r="F463" t="n">
        <v>5</v>
      </c>
      <c r="G463" t="n">
        <v>90</v>
      </c>
      <c r="H463" t="n">
        <v>540</v>
      </c>
      <c r="I463" t="n">
        <v>-360</v>
      </c>
      <c r="J463" t="n">
        <v>88.6564035275992</v>
      </c>
      <c r="K463" t="n">
        <v>88.47064402308256</v>
      </c>
      <c r="L463" t="n">
        <v>88.62461340868806</v>
      </c>
      <c r="M463" t="n">
        <v>90.28278293012322</v>
      </c>
      <c r="BH463" t="n">
        <v>89.009</v>
      </c>
      <c r="BS463" t="n">
        <v>-1.1</v>
      </c>
      <c r="CD463" t="n">
        <v>0.83</v>
      </c>
      <c r="CF463" t="n">
        <v>5</v>
      </c>
      <c r="CG463" t="n">
        <v>91</v>
      </c>
      <c r="CH463" t="n">
        <v>546</v>
      </c>
      <c r="CI463" t="n">
        <v>-364</v>
      </c>
      <c r="CJ463" t="n">
        <v>80.40903981464977</v>
      </c>
      <c r="CK463" t="n">
        <v>83.4173952158993</v>
      </c>
      <c r="CL463" t="n">
        <v>79.05321984194501</v>
      </c>
      <c r="CM463" t="n">
        <v>81.98813693990861</v>
      </c>
      <c r="EH463" t="n">
        <v>81.217</v>
      </c>
      <c r="ES463" t="n">
        <v>-10.75</v>
      </c>
      <c r="FD463" t="n">
        <v>2.02</v>
      </c>
      <c r="FF463" t="n">
        <v>5</v>
      </c>
      <c r="FG463" t="n">
        <v>77</v>
      </c>
      <c r="FH463" t="n">
        <v>462</v>
      </c>
      <c r="FI463" t="n">
        <v>-308</v>
      </c>
      <c r="FJ463" t="n">
        <v>71.80098934368598</v>
      </c>
      <c r="FK463" t="n">
        <v>74.56720987267906</v>
      </c>
      <c r="FL463" t="n">
        <v>69.75211233972047</v>
      </c>
      <c r="FM463" t="n">
        <v>75.38249525271281</v>
      </c>
      <c r="HH463" t="n">
        <v>72.876</v>
      </c>
      <c r="HS463" t="n">
        <v>-5.36</v>
      </c>
      <c r="ID463" t="n">
        <v>3.07</v>
      </c>
      <c r="IF463" t="n">
        <v>5</v>
      </c>
      <c r="IG463" t="n">
        <v>118</v>
      </c>
      <c r="IH463" t="n">
        <v>708</v>
      </c>
      <c r="II463" t="n">
        <v>-472</v>
      </c>
      <c r="IJ463" t="n">
        <v>111.7410838355898</v>
      </c>
      <c r="IK463" t="n">
        <v>113.3217280510729</v>
      </c>
      <c r="IL463" t="n">
        <v>108.9328903629273</v>
      </c>
      <c r="IM463" t="n">
        <v>113.3671104786569</v>
      </c>
      <c r="KH463" t="n">
        <v>111.841</v>
      </c>
      <c r="KS463" t="n">
        <v>-5.22</v>
      </c>
      <c r="LD463" t="n">
        <v>1.61</v>
      </c>
    </row>
    <row r="464">
      <c r="A464" t="inlineStr">
        <is>
          <t>2026-04-27</t>
        </is>
      </c>
      <c r="B464" t="inlineStr">
        <is>
          <t>Optimum Wellness 37</t>
        </is>
      </c>
      <c r="C464" t="inlineStr">
        <is>
          <t>109326042701</t>
        </is>
      </c>
      <c r="D464" t="inlineStr">
        <is>
          <t>K</t>
        </is>
      </c>
      <c r="G464" t="n">
        <v>3.9</v>
      </c>
      <c r="J464" t="n">
        <v>3.783945825719455</v>
      </c>
      <c r="K464" t="n">
        <v>3.828523257482174</v>
      </c>
      <c r="L464" t="n">
        <v>3.860770581812693</v>
      </c>
      <c r="M464" t="n">
        <v>3.792278854101452</v>
      </c>
      <c r="BH464" t="n">
        <v>3.816</v>
      </c>
      <c r="BS464" t="n">
        <v>-2.14</v>
      </c>
      <c r="CD464" t="n">
        <v>0.8</v>
      </c>
      <c r="CG464" t="n">
        <v>6</v>
      </c>
      <c r="CJ464" t="n">
        <v>6.161606836436611</v>
      </c>
      <c r="CK464" t="n">
        <v>6.798200991739016</v>
      </c>
      <c r="CL464" t="n">
        <v>6.149511169053524</v>
      </c>
      <c r="CM464" t="n">
        <v>6.027325492480417</v>
      </c>
      <c r="EH464" t="n">
        <v>6.284</v>
      </c>
      <c r="ES464" t="n">
        <v>4.74</v>
      </c>
      <c r="FD464" t="n">
        <v>4.8</v>
      </c>
      <c r="FG464" t="n">
        <v>2.2</v>
      </c>
      <c r="FJ464" t="n">
        <v>2.471705031166836</v>
      </c>
      <c r="FK464" t="n">
        <v>2.604398631479937</v>
      </c>
      <c r="FL464" t="n">
        <v>2.383581264134662</v>
      </c>
      <c r="FM464" t="n">
        <v>2.521294633070624</v>
      </c>
      <c r="HH464" t="n">
        <v>2.495</v>
      </c>
      <c r="HS464" t="n">
        <v>13.42</v>
      </c>
      <c r="ID464" t="n">
        <v>3.21</v>
      </c>
      <c r="IG464" t="n">
        <v>8.4</v>
      </c>
      <c r="IJ464" t="n">
        <v>8.251365832702216</v>
      </c>
      <c r="IK464" t="n">
        <v>8.655513151389084</v>
      </c>
      <c r="IL464" t="n">
        <v>8.62272741760721</v>
      </c>
      <c r="IM464" t="n">
        <v>8.465659790184644</v>
      </c>
      <c r="KH464" t="n">
        <v>8.499000000000001</v>
      </c>
      <c r="KS464" t="n">
        <v>1.18</v>
      </c>
      <c r="LD464" t="n">
        <v>1.88</v>
      </c>
    </row>
    <row r="465">
      <c r="A465" t="inlineStr">
        <is>
          <t>2026-04-27</t>
        </is>
      </c>
      <c r="B465" t="inlineStr">
        <is>
          <t>Optimum Wellness 37</t>
        </is>
      </c>
      <c r="C465" t="inlineStr">
        <is>
          <t>109326042701</t>
        </is>
      </c>
      <c r="D465" t="inlineStr">
        <is>
          <t>Na</t>
        </is>
      </c>
      <c r="G465" t="n">
        <v>141</v>
      </c>
      <c r="J465" t="n">
        <v>154.8584971469987</v>
      </c>
      <c r="K465" t="n">
        <v>155.5345488945978</v>
      </c>
      <c r="L465" t="n">
        <v>156.0673132901667</v>
      </c>
      <c r="M465" t="n">
        <v>154.9256626737698</v>
      </c>
      <c r="BH465" t="n">
        <v>155.347</v>
      </c>
      <c r="BS465" t="n">
        <v>10.17</v>
      </c>
      <c r="CD465" t="n">
        <v>0.32</v>
      </c>
      <c r="CG465" t="n">
        <v>129</v>
      </c>
      <c r="CJ465" t="n">
        <v>142.1230743771399</v>
      </c>
      <c r="CK465" t="n">
        <v>143.8666900912989</v>
      </c>
      <c r="CL465" t="n">
        <v>139.7791377811976</v>
      </c>
      <c r="CM465" t="n">
        <v>143.2565021447107</v>
      </c>
      <c r="EH465" t="n">
        <v>142.256</v>
      </c>
      <c r="ES465" t="n">
        <v>10.28</v>
      </c>
      <c r="FD465" t="n">
        <v>1.1</v>
      </c>
      <c r="FG465" t="n">
        <v>118</v>
      </c>
      <c r="FJ465" t="n">
        <v>125.9825922107766</v>
      </c>
      <c r="FK465" t="n">
        <v>130.5907375842929</v>
      </c>
      <c r="FL465" t="n">
        <v>126.1670566104693</v>
      </c>
      <c r="FM465" t="n">
        <v>129.542776814207</v>
      </c>
      <c r="HH465" t="n">
        <v>128.071</v>
      </c>
      <c r="HS465" t="n">
        <v>8.529999999999999</v>
      </c>
      <c r="ID465" t="n">
        <v>1.59</v>
      </c>
      <c r="IG465" t="n">
        <v>166</v>
      </c>
      <c r="IJ465" t="n">
        <v>176.182465761334</v>
      </c>
      <c r="IK465" t="n">
        <v>180.056064089001</v>
      </c>
      <c r="IL465" t="n">
        <v>179.2878088956951</v>
      </c>
      <c r="IM465" t="n">
        <v>177.4733180895547</v>
      </c>
      <c r="KH465" t="n">
        <v>178.25</v>
      </c>
      <c r="KS465" t="n">
        <v>7.38</v>
      </c>
      <c r="LD465" t="n">
        <v>0.85</v>
      </c>
    </row>
    <row r="466">
      <c r="A466" t="inlineStr">
        <is>
          <t>2026-04-27</t>
        </is>
      </c>
      <c r="B466" t="inlineStr">
        <is>
          <t>Optimum Wellness 37</t>
        </is>
      </c>
      <c r="C466" t="inlineStr">
        <is>
          <t>109326042701</t>
        </is>
      </c>
      <c r="D466" t="inlineStr">
        <is>
          <t>P-LIPA</t>
        </is>
      </c>
      <c r="F466" t="n">
        <v>30</v>
      </c>
      <c r="J466" t="n">
        <v>71.29592118138456</v>
      </c>
      <c r="K466" t="n">
        <v>69.6727266536067</v>
      </c>
      <c r="L466" t="n">
        <v>70.96133509867275</v>
      </c>
      <c r="M466" t="n">
        <v>70.77098923631644</v>
      </c>
      <c r="BH466" t="n">
        <v>70.675</v>
      </c>
      <c r="CD466" t="n">
        <v>0.86</v>
      </c>
      <c r="CF466" t="n">
        <v>30</v>
      </c>
      <c r="CJ466" t="n">
        <v>86.15501638056915</v>
      </c>
      <c r="CK466" t="n">
        <v>86.33767257372813</v>
      </c>
      <c r="CL466" t="n">
        <v>86.21075231316857</v>
      </c>
      <c r="CM466" t="n">
        <v>89.31269032828099</v>
      </c>
      <c r="EH466" t="n">
        <v>87.004</v>
      </c>
      <c r="FD466" t="n">
        <v>1.53</v>
      </c>
      <c r="FF466" t="n">
        <v>30</v>
      </c>
      <c r="FJ466" t="n">
        <v>41.27666251036598</v>
      </c>
      <c r="FK466" t="n">
        <v>41.82883397858262</v>
      </c>
      <c r="FL466" t="n">
        <v>42.28273353573217</v>
      </c>
      <c r="FM466" t="n">
        <v>41.76785063299191</v>
      </c>
      <c r="HH466" t="n">
        <v>41.789</v>
      </c>
      <c r="ID466" t="n">
        <v>0.85</v>
      </c>
      <c r="IF466" t="n">
        <v>30</v>
      </c>
      <c r="IJ466" t="n">
        <v>110.7824878205046</v>
      </c>
      <c r="IK466" t="n">
        <v>117.5063312862094</v>
      </c>
      <c r="IL466" t="n">
        <v>113.4052959715513</v>
      </c>
      <c r="IM466" t="n">
        <v>115.7924829589689</v>
      </c>
      <c r="KH466" t="n">
        <v>114.372</v>
      </c>
      <c r="LD466" t="n">
        <v>2.21</v>
      </c>
    </row>
    <row r="467">
      <c r="A467" t="inlineStr">
        <is>
          <t>2026-04-27</t>
        </is>
      </c>
      <c r="B467" t="inlineStr">
        <is>
          <t>Optimum Wellness 37</t>
        </is>
      </c>
      <c r="C467" t="inlineStr">
        <is>
          <t>109326042701</t>
        </is>
      </c>
      <c r="D467" t="inlineStr">
        <is>
          <t>TCO2</t>
        </is>
      </c>
      <c r="F467" t="n">
        <v>20</v>
      </c>
      <c r="G467" t="n">
        <v>32.5</v>
      </c>
      <c r="H467" t="n">
        <v>682.5</v>
      </c>
      <c r="I467" t="n">
        <v>-617.5</v>
      </c>
      <c r="J467" t="n">
        <v>32.21657146136331</v>
      </c>
      <c r="K467" t="n">
        <v>31.43685729702702</v>
      </c>
      <c r="L467" t="n">
        <v>34.32466628884626</v>
      </c>
      <c r="M467" t="n">
        <v>30.11117800916121</v>
      </c>
      <c r="BH467" t="n">
        <v>32.022</v>
      </c>
      <c r="BS467" t="n">
        <v>-1.47</v>
      </c>
      <c r="CD467" t="n">
        <v>4.77</v>
      </c>
      <c r="CF467" t="n">
        <v>20</v>
      </c>
      <c r="CG467" t="n">
        <v>21.2</v>
      </c>
      <c r="CH467" t="n">
        <v>445.2</v>
      </c>
      <c r="CI467" t="n">
        <v>-402.8</v>
      </c>
      <c r="CJ467" t="n">
        <v>19.66485705678165</v>
      </c>
      <c r="CK467" t="n">
        <v>18.44885819495741</v>
      </c>
      <c r="CL467" t="n">
        <v>19.49289497865967</v>
      </c>
      <c r="CM467" t="n">
        <v>20.24629162081292</v>
      </c>
      <c r="EH467" t="n">
        <v>19.463</v>
      </c>
      <c r="ES467" t="n">
        <v>-8.19</v>
      </c>
      <c r="FD467" t="n">
        <v>3.33</v>
      </c>
      <c r="FF467" t="n">
        <v>20</v>
      </c>
      <c r="FG467" t="n">
        <v>17.3</v>
      </c>
      <c r="FH467" t="n">
        <v>363.3</v>
      </c>
      <c r="FI467" t="n">
        <v>-328.7</v>
      </c>
      <c r="FJ467" t="n">
        <v>21.8445573848646</v>
      </c>
      <c r="FK467" t="n">
        <v>17.88006772494414</v>
      </c>
      <c r="FL467" t="n">
        <v>17.47837815810466</v>
      </c>
      <c r="FM467" t="n">
        <v>17.79422794992365</v>
      </c>
      <c r="HH467" t="n">
        <v>18.749</v>
      </c>
      <c r="HS467" t="n">
        <v>8.380000000000001</v>
      </c>
      <c r="ID467" t="n">
        <v>9.56</v>
      </c>
      <c r="IF467" t="n">
        <v>20</v>
      </c>
      <c r="IG467" t="n">
        <v>26.7</v>
      </c>
      <c r="IH467" t="n">
        <v>560.6999999999999</v>
      </c>
      <c r="II467" t="n">
        <v>-507.3</v>
      </c>
      <c r="IJ467" t="n">
        <v>28.96505698336027</v>
      </c>
      <c r="IK467" t="n">
        <v>24.56328437560029</v>
      </c>
      <c r="IL467" t="n">
        <v>27.12710352734067</v>
      </c>
      <c r="IM467" t="n">
        <v>25.09933972264733</v>
      </c>
      <c r="KH467" t="n">
        <v>26.439</v>
      </c>
      <c r="KS467" t="n">
        <v>-0.98</v>
      </c>
      <c r="LD467" t="n">
        <v>6.6</v>
      </c>
    </row>
    <row r="468">
      <c r="A468" t="inlineStr">
        <is>
          <t>2026-04-27</t>
        </is>
      </c>
      <c r="B468" t="inlineStr">
        <is>
          <t>Optimum Wellness 37</t>
        </is>
      </c>
      <c r="C468" t="inlineStr">
        <is>
          <t>109326042701</t>
        </is>
      </c>
      <c r="D468" t="inlineStr">
        <is>
          <t>TRIG</t>
        </is>
      </c>
      <c r="F468" t="n">
        <v>15</v>
      </c>
      <c r="J468" t="n">
        <v>176.1851589492849</v>
      </c>
      <c r="K468" t="n">
        <v>175.505838653149</v>
      </c>
      <c r="L468" t="n">
        <v>177.7164159278281</v>
      </c>
      <c r="M468" t="n">
        <v>176.7114639435505</v>
      </c>
      <c r="BH468" t="n">
        <v>176.53</v>
      </c>
      <c r="CD468" t="n">
        <v>0.46</v>
      </c>
      <c r="CF468" t="n">
        <v>15</v>
      </c>
      <c r="CJ468" t="n">
        <v>93.91525381556086</v>
      </c>
      <c r="CK468" t="n">
        <v>96.29188559681479</v>
      </c>
      <c r="CL468" t="n">
        <v>94.49046247653355</v>
      </c>
      <c r="CM468" t="n">
        <v>96.83507424276669</v>
      </c>
      <c r="EH468" t="n">
        <v>95.383</v>
      </c>
      <c r="FD468" t="n">
        <v>1.27</v>
      </c>
      <c r="FF468" t="n">
        <v>15</v>
      </c>
      <c r="FJ468" t="n">
        <v>104.9315652988174</v>
      </c>
      <c r="FK468" t="n">
        <v>108.4037133552245</v>
      </c>
      <c r="FL468" t="n">
        <v>106.7747553285657</v>
      </c>
      <c r="FM468" t="n">
        <v>108.1082658890354</v>
      </c>
      <c r="HH468" t="n">
        <v>107.055</v>
      </c>
      <c r="ID468" t="n">
        <v>1.28</v>
      </c>
      <c r="IF468" t="n">
        <v>15</v>
      </c>
      <c r="IJ468" t="n">
        <v>207.480530422209</v>
      </c>
      <c r="IK468" t="n">
        <v>209.7191887871527</v>
      </c>
      <c r="IL468" t="n">
        <v>212.5065685974408</v>
      </c>
      <c r="IM468" t="n">
        <v>208.0832079122214</v>
      </c>
      <c r="KH468" t="n">
        <v>209.447</v>
      </c>
      <c r="LD468" t="n">
        <v>0.93</v>
      </c>
    </row>
    <row r="469">
      <c r="A469" t="inlineStr">
        <is>
          <t>2026-04-27</t>
        </is>
      </c>
      <c r="B469" t="inlineStr">
        <is>
          <t>Urine Protein CREA ratio</t>
        </is>
      </c>
      <c r="C469" t="inlineStr">
        <is>
          <t>104026042701 &amp; 204026042701</t>
        </is>
      </c>
      <c r="D469" t="inlineStr">
        <is>
          <t>UCRE</t>
        </is>
      </c>
      <c r="F469" t="n">
        <v>15</v>
      </c>
      <c r="J469" t="n">
        <v>56.58262011436403</v>
      </c>
      <c r="K469" t="n">
        <v>57.53093835259263</v>
      </c>
      <c r="L469" t="n">
        <v>56.91107717151045</v>
      </c>
      <c r="M469" t="n">
        <v>59.42522430098574</v>
      </c>
      <c r="N469" t="n">
        <v>57.16375690141022</v>
      </c>
      <c r="O469" t="n">
        <v>57.48936212589631</v>
      </c>
      <c r="P469" t="n">
        <v>57.09654729750985</v>
      </c>
      <c r="Q469" t="n">
        <v>55.77239622217987</v>
      </c>
      <c r="R469" t="n">
        <v>56.49883173172815</v>
      </c>
      <c r="BH469" t="n">
        <v>57.478</v>
      </c>
      <c r="CD469" t="n">
        <v>1.87</v>
      </c>
      <c r="CF469" t="n">
        <v>15</v>
      </c>
      <c r="CJ469" t="n">
        <v>158.1909428096607</v>
      </c>
      <c r="CK469" t="n">
        <v>161.5838310181529</v>
      </c>
      <c r="CL469" t="n">
        <v>158.9840407443645</v>
      </c>
      <c r="CM469" t="n">
        <v>157.9989770382358</v>
      </c>
      <c r="CN469" t="n">
        <v>158.7613846081852</v>
      </c>
      <c r="CO469" t="n">
        <v>157.2372738876351</v>
      </c>
      <c r="CP469" t="n">
        <v>157.1840288184447</v>
      </c>
      <c r="CQ469" t="n">
        <v>160.6614690883472</v>
      </c>
      <c r="CR469" t="n">
        <v>160.8644349043162</v>
      </c>
      <c r="CS469" t="n">
        <v>160.6214427123163</v>
      </c>
      <c r="CT469" t="n">
        <v>155.8241573683636</v>
      </c>
      <c r="EH469" t="n">
        <v>158.901</v>
      </c>
      <c r="FD469" t="n">
        <v>1.1</v>
      </c>
      <c r="FF469" t="n">
        <v>15</v>
      </c>
      <c r="FJ469" t="n">
        <v>107.8502548797184</v>
      </c>
      <c r="FK469" t="n">
        <v>107.8691968690021</v>
      </c>
      <c r="FL469" t="n">
        <v>108.1206906199035</v>
      </c>
      <c r="FM469" t="n">
        <v>110.1837798906687</v>
      </c>
      <c r="FN469" t="n">
        <v>108.3898073898381</v>
      </c>
      <c r="FO469" t="n">
        <v>110.1946867907016</v>
      </c>
      <c r="FP469" t="n">
        <v>110.9278488168846</v>
      </c>
      <c r="FQ469" t="n">
        <v>111.4253033940297</v>
      </c>
      <c r="FR469" t="n">
        <v>108.8863612409181</v>
      </c>
      <c r="HH469" t="n">
        <v>109.316</v>
      </c>
      <c r="ID469" t="n">
        <v>1.19</v>
      </c>
      <c r="IF469" t="n">
        <v>15</v>
      </c>
    </row>
    <row r="470">
      <c r="A470" t="inlineStr">
        <is>
          <t>2026-04-27</t>
        </is>
      </c>
      <c r="B470" t="inlineStr">
        <is>
          <t>Urine Protein CREA ratio</t>
        </is>
      </c>
      <c r="C470" t="inlineStr">
        <is>
          <t>104026042701 &amp; 204026042701</t>
        </is>
      </c>
      <c r="D470" t="inlineStr">
        <is>
          <t>UPRO</t>
        </is>
      </c>
      <c r="F470" t="n">
        <v>10</v>
      </c>
      <c r="J470" t="n">
        <v>16.83310597998734</v>
      </c>
      <c r="K470" t="n">
        <v>18.07426608778503</v>
      </c>
      <c r="L470" t="n">
        <v>21.77704542491375</v>
      </c>
      <c r="M470" t="n">
        <v>18.91376132968526</v>
      </c>
      <c r="N470" t="n">
        <v>18.85687675697469</v>
      </c>
      <c r="O470" t="n">
        <v>17.36859614557205</v>
      </c>
      <c r="P470" t="n">
        <v>17.06309362470076</v>
      </c>
      <c r="Q470" t="n">
        <v>22.73018804583969</v>
      </c>
      <c r="R470" t="n">
        <v>17.26524037355873</v>
      </c>
      <c r="BH470" t="n">
        <v>18.86</v>
      </c>
      <c r="CD470" t="n">
        <v>10.56</v>
      </c>
      <c r="CF470" t="n">
        <v>10</v>
      </c>
      <c r="CJ470" t="n">
        <v>56.80337271095385</v>
      </c>
      <c r="CK470" t="n">
        <v>57.63760285194546</v>
      </c>
      <c r="CL470" t="n">
        <v>56.67153596368416</v>
      </c>
      <c r="CM470" t="n">
        <v>54.46323502461678</v>
      </c>
      <c r="CN470" t="n">
        <v>55.90388943013666</v>
      </c>
      <c r="CO470" t="n">
        <v>55.06140626466144</v>
      </c>
      <c r="CP470" t="n">
        <v>61.69789574676061</v>
      </c>
      <c r="CQ470" t="n">
        <v>56.01249578074285</v>
      </c>
      <c r="CR470" t="n">
        <v>57.65849173062335</v>
      </c>
      <c r="CS470" t="n">
        <v>56.16839447764661</v>
      </c>
      <c r="CT470" t="n">
        <v>60.45870270414677</v>
      </c>
      <c r="EH470" t="n">
        <v>57.14</v>
      </c>
      <c r="FD470" t="n">
        <v>3.65</v>
      </c>
      <c r="FF470" t="n">
        <v>10</v>
      </c>
      <c r="FJ470" t="n">
        <v>33.59710908495323</v>
      </c>
      <c r="FK470" t="n">
        <v>33.52889408430921</v>
      </c>
      <c r="FL470" t="n">
        <v>34.23356841037027</v>
      </c>
      <c r="FM470" t="n">
        <v>36.01850526218694</v>
      </c>
      <c r="FN470" t="n">
        <v>35.42718610094065</v>
      </c>
      <c r="FO470" t="n">
        <v>36.16851496472677</v>
      </c>
      <c r="FP470" t="n">
        <v>37.53564655058488</v>
      </c>
      <c r="FQ470" t="n">
        <v>35.40849948879754</v>
      </c>
      <c r="FR470" t="n">
        <v>41.07678233281226</v>
      </c>
      <c r="HH470" t="n">
        <v>35.888</v>
      </c>
      <c r="ID470" t="n">
        <v>6.14</v>
      </c>
      <c r="IF470" t="n">
        <v>10</v>
      </c>
    </row>
    <row r="471">
      <c r="A471" t="inlineStr">
        <is>
          <t>2026-04-24</t>
        </is>
      </c>
      <c r="B471" t="inlineStr">
        <is>
          <t>Optimum Wellness 37</t>
        </is>
      </c>
      <c r="C471" t="inlineStr">
        <is>
          <t>209226042401</t>
        </is>
      </c>
      <c r="D471" t="inlineStr">
        <is>
          <t>AMY</t>
        </is>
      </c>
      <c r="F471" t="n">
        <v>10</v>
      </c>
      <c r="G471" t="n">
        <v>78</v>
      </c>
      <c r="H471" t="n">
        <v>858</v>
      </c>
      <c r="I471" t="n">
        <v>-702</v>
      </c>
      <c r="J471" t="n">
        <v>77.72889688428076</v>
      </c>
      <c r="K471" t="n">
        <v>79.00872246615353</v>
      </c>
      <c r="L471" t="n">
        <v>77.74727931826705</v>
      </c>
      <c r="M471" t="n">
        <v>76.7619244328836</v>
      </c>
      <c r="N471" t="n">
        <v>76.33564562447603</v>
      </c>
      <c r="O471" t="n">
        <v>75.44770182031274</v>
      </c>
      <c r="BH471" t="n">
        <v>77.172</v>
      </c>
      <c r="BS471" t="n">
        <v>-1.06</v>
      </c>
      <c r="CD471" t="n">
        <v>1.48</v>
      </c>
      <c r="CF471" t="n">
        <v>10</v>
      </c>
      <c r="CG471" t="n">
        <v>404</v>
      </c>
      <c r="CH471" t="n">
        <v>4444</v>
      </c>
      <c r="CI471" t="n">
        <v>-3636</v>
      </c>
      <c r="CJ471" t="n">
        <v>403.1207299156866</v>
      </c>
      <c r="CK471" t="n">
        <v>401.715173486021</v>
      </c>
      <c r="CL471" t="n">
        <v>424.3245342170908</v>
      </c>
      <c r="CM471" t="n">
        <v>392.6320367367091</v>
      </c>
      <c r="CN471" t="n">
        <v>406.9996319305408</v>
      </c>
      <c r="CO471" t="n">
        <v>410.6365134077782</v>
      </c>
      <c r="EH471" t="n">
        <v>406.571</v>
      </c>
      <c r="ES471" t="n">
        <v>0.64</v>
      </c>
      <c r="FD471" t="n">
        <v>2.38</v>
      </c>
      <c r="FF471" t="n">
        <v>10</v>
      </c>
      <c r="FG471" t="n">
        <v>63</v>
      </c>
      <c r="FH471" t="n">
        <v>693</v>
      </c>
      <c r="FI471" t="n">
        <v>-567</v>
      </c>
      <c r="FJ471" t="n">
        <v>63.74194981261171</v>
      </c>
      <c r="FK471" t="n">
        <v>64.38231057518151</v>
      </c>
      <c r="FL471" t="n">
        <v>64.13691555719092</v>
      </c>
      <c r="FM471" t="n">
        <v>62.75297234102371</v>
      </c>
      <c r="FN471" t="n">
        <v>62.84867924845916</v>
      </c>
      <c r="HH471" t="n">
        <v>63.573</v>
      </c>
      <c r="HS471" t="n">
        <v>0.91</v>
      </c>
      <c r="ID471" t="n">
        <v>1.04</v>
      </c>
      <c r="IF471" t="n">
        <v>10</v>
      </c>
      <c r="IG471" t="n">
        <v>297</v>
      </c>
      <c r="IH471" t="n">
        <v>3267</v>
      </c>
      <c r="II471" t="n">
        <v>-2673</v>
      </c>
      <c r="IJ471" t="n">
        <v>297.3702406243008</v>
      </c>
      <c r="IK471" t="n">
        <v>297.2939819605788</v>
      </c>
      <c r="IL471" t="n">
        <v>294.1742973374763</v>
      </c>
      <c r="IM471" t="n">
        <v>294.7071564350713</v>
      </c>
      <c r="IN471" t="n">
        <v>298.0923873795126</v>
      </c>
      <c r="KH471" t="n">
        <v>296.328</v>
      </c>
      <c r="KS471" t="n">
        <v>-0.23</v>
      </c>
      <c r="LD471" t="n">
        <v>0.53</v>
      </c>
    </row>
    <row r="472">
      <c r="A472" t="inlineStr">
        <is>
          <t>2026-04-24</t>
        </is>
      </c>
      <c r="B472" t="inlineStr">
        <is>
          <t>Optimum Wellness 37</t>
        </is>
      </c>
      <c r="C472" t="inlineStr">
        <is>
          <t>209226042401</t>
        </is>
      </c>
      <c r="D472" t="inlineStr">
        <is>
          <t>AST</t>
        </is>
      </c>
      <c r="F472" t="n">
        <v>15</v>
      </c>
      <c r="G472" t="n">
        <v>44</v>
      </c>
      <c r="H472" t="n">
        <v>704</v>
      </c>
      <c r="I472" t="n">
        <v>-616</v>
      </c>
      <c r="J472" t="n">
        <v>44.22663391196488</v>
      </c>
      <c r="K472" t="n">
        <v>43.24765003114172</v>
      </c>
      <c r="L472" t="n">
        <v>42.49973175899902</v>
      </c>
      <c r="M472" t="n">
        <v>44.07604827332359</v>
      </c>
      <c r="N472" t="n">
        <v>42.31689438153694</v>
      </c>
      <c r="O472" t="n">
        <v>40.90882901191478</v>
      </c>
      <c r="BH472" t="n">
        <v>42.879</v>
      </c>
      <c r="BS472" t="n">
        <v>-2.55</v>
      </c>
      <c r="CD472" t="n">
        <v>2.65</v>
      </c>
      <c r="CF472" t="n">
        <v>15</v>
      </c>
      <c r="CG472" t="n">
        <v>221</v>
      </c>
      <c r="CH472" t="n">
        <v>3536</v>
      </c>
      <c r="CI472" t="n">
        <v>-3094</v>
      </c>
      <c r="CJ472" t="n">
        <v>225.2302956430839</v>
      </c>
      <c r="CK472" t="n">
        <v>225.0959606275538</v>
      </c>
      <c r="CL472" t="n">
        <v>235.7745691890776</v>
      </c>
      <c r="CM472" t="n">
        <v>223.0372598205394</v>
      </c>
      <c r="CN472" t="n">
        <v>224.8630984545455</v>
      </c>
      <c r="CO472" t="n">
        <v>226.2920105764304</v>
      </c>
      <c r="EH472" t="n">
        <v>226.716</v>
      </c>
      <c r="ES472" t="n">
        <v>2.59</v>
      </c>
      <c r="FD472" t="n">
        <v>1.84</v>
      </c>
      <c r="FF472" t="n">
        <v>15</v>
      </c>
      <c r="FG472" t="n">
        <v>45</v>
      </c>
      <c r="FH472" t="n">
        <v>720</v>
      </c>
      <c r="FI472" t="n">
        <v>-630</v>
      </c>
      <c r="FJ472" t="n">
        <v>46.06783764799046</v>
      </c>
      <c r="FK472" t="n">
        <v>45.91994873229959</v>
      </c>
      <c r="FL472" t="n">
        <v>46.99989900628532</v>
      </c>
      <c r="FM472" t="n">
        <v>44.94505286485001</v>
      </c>
      <c r="FN472" t="n">
        <v>46.05483612691096</v>
      </c>
      <c r="HH472" t="n">
        <v>45.998</v>
      </c>
      <c r="HS472" t="n">
        <v>2.22</v>
      </c>
      <c r="ID472" t="n">
        <v>1.42</v>
      </c>
      <c r="IF472" t="n">
        <v>15</v>
      </c>
      <c r="IG472" t="n">
        <v>282</v>
      </c>
      <c r="IH472" t="n">
        <v>4512</v>
      </c>
      <c r="II472" t="n">
        <v>-3948</v>
      </c>
      <c r="IJ472" t="n">
        <v>278.0002944510961</v>
      </c>
      <c r="IK472" t="n">
        <v>289.5844953182227</v>
      </c>
      <c r="IL472" t="n">
        <v>277.8424940198353</v>
      </c>
      <c r="IM472" t="n">
        <v>277.1168752738057</v>
      </c>
      <c r="IN472" t="n">
        <v>284.5460151780317</v>
      </c>
      <c r="KH472" t="n">
        <v>281.418</v>
      </c>
      <c r="KS472" t="n">
        <v>-0.21</v>
      </c>
      <c r="LD472" t="n">
        <v>1.74</v>
      </c>
    </row>
    <row r="473">
      <c r="A473" t="inlineStr">
        <is>
          <t>2026-04-24</t>
        </is>
      </c>
      <c r="B473" t="inlineStr">
        <is>
          <t>Optimum Wellness 37</t>
        </is>
      </c>
      <c r="C473" t="inlineStr">
        <is>
          <t>209226042401</t>
        </is>
      </c>
      <c r="D473" t="inlineStr">
        <is>
          <t>CHOL</t>
        </is>
      </c>
      <c r="F473" t="n">
        <v>10</v>
      </c>
      <c r="G473" t="n">
        <v>228</v>
      </c>
      <c r="H473" t="n">
        <v>2508</v>
      </c>
      <c r="I473" t="n">
        <v>-2052</v>
      </c>
      <c r="J473" t="n">
        <v>237.6112845834766</v>
      </c>
      <c r="K473" t="n">
        <v>241.2060061261967</v>
      </c>
      <c r="L473" t="n">
        <v>242.9189702726588</v>
      </c>
      <c r="M473" t="n">
        <v>235.2492818680771</v>
      </c>
      <c r="N473" t="n">
        <v>234.100239113058</v>
      </c>
      <c r="O473" t="n">
        <v>229.9338406804104</v>
      </c>
      <c r="BH473" t="n">
        <v>236.837</v>
      </c>
      <c r="BS473" t="n">
        <v>3.88</v>
      </c>
      <c r="CD473" t="n">
        <v>1.84</v>
      </c>
      <c r="CF473" t="n">
        <v>10</v>
      </c>
      <c r="CG473" t="n">
        <v>99</v>
      </c>
      <c r="CH473" t="n">
        <v>1089</v>
      </c>
      <c r="CI473" t="n">
        <v>-891</v>
      </c>
      <c r="CJ473" t="n">
        <v>102.211538191239</v>
      </c>
      <c r="CK473" t="n">
        <v>102.1529371941494</v>
      </c>
      <c r="CL473" t="n">
        <v>105.6211364224332</v>
      </c>
      <c r="CM473" t="n">
        <v>97.84518277935288</v>
      </c>
      <c r="CN473" t="n">
        <v>100.4146469326009</v>
      </c>
      <c r="CO473" t="n">
        <v>98.91009923489379</v>
      </c>
      <c r="EH473" t="n">
        <v>101.193</v>
      </c>
      <c r="ES473" t="n">
        <v>2.21</v>
      </c>
      <c r="FD473" t="n">
        <v>2.51</v>
      </c>
      <c r="FF473" t="n">
        <v>10</v>
      </c>
      <c r="FG473" t="n">
        <v>115</v>
      </c>
      <c r="FH473" t="n">
        <v>1265</v>
      </c>
      <c r="FI473" t="n">
        <v>-1035</v>
      </c>
      <c r="FJ473" t="n">
        <v>115.6495227777472</v>
      </c>
      <c r="FK473" t="n">
        <v>117.0734285946965</v>
      </c>
      <c r="FL473" t="n">
        <v>113.2878752519865</v>
      </c>
      <c r="FM473" t="n">
        <v>112.5513189826877</v>
      </c>
      <c r="FN473" t="n">
        <v>113.4312339567303</v>
      </c>
      <c r="HH473" t="n">
        <v>114.399</v>
      </c>
      <c r="HS473" t="n">
        <v>-0.52</v>
      </c>
      <c r="ID473" t="n">
        <v>1.48</v>
      </c>
      <c r="IF473" t="n">
        <v>10</v>
      </c>
      <c r="IG473" t="n">
        <v>269</v>
      </c>
      <c r="IH473" t="n">
        <v>2959</v>
      </c>
      <c r="II473" t="n">
        <v>-2421</v>
      </c>
      <c r="IJ473" t="n">
        <v>268.0787715199703</v>
      </c>
      <c r="IK473" t="n">
        <v>274.6695767062222</v>
      </c>
      <c r="IL473" t="n">
        <v>264.4832811084866</v>
      </c>
      <c r="IM473" t="n">
        <v>262.6670925845364</v>
      </c>
      <c r="IN473" t="n">
        <v>267.3770037639642</v>
      </c>
      <c r="KH473" t="n">
        <v>267.455</v>
      </c>
      <c r="KS473" t="n">
        <v>-0.57</v>
      </c>
      <c r="LD473" t="n">
        <v>1.53</v>
      </c>
    </row>
    <row r="474">
      <c r="A474" t="inlineStr">
        <is>
          <t>2026-04-24</t>
        </is>
      </c>
      <c r="B474" t="inlineStr">
        <is>
          <t>Optimum Wellness 37</t>
        </is>
      </c>
      <c r="C474" t="inlineStr">
        <is>
          <t>209226042401</t>
        </is>
      </c>
      <c r="D474" t="inlineStr">
        <is>
          <t>CK</t>
        </is>
      </c>
      <c r="F474" t="n">
        <v>20</v>
      </c>
      <c r="J474" t="n">
        <v>132.5131246847015</v>
      </c>
      <c r="K474" t="n">
        <v>135.2757492815234</v>
      </c>
      <c r="L474" t="n">
        <v>140.7706237207791</v>
      </c>
      <c r="M474" t="n">
        <v>130.8345755298909</v>
      </c>
      <c r="N474" t="n">
        <v>129.2877619964378</v>
      </c>
      <c r="O474" t="n">
        <v>135.1648183893227</v>
      </c>
      <c r="BH474" t="n">
        <v>133.974</v>
      </c>
      <c r="CD474" t="n">
        <v>2.78</v>
      </c>
      <c r="CF474" t="n">
        <v>20</v>
      </c>
      <c r="CJ474" t="n">
        <v>495.2616506184526</v>
      </c>
      <c r="CK474" t="n">
        <v>501.8143983897695</v>
      </c>
      <c r="CL474" t="n">
        <v>527.6400593163304</v>
      </c>
      <c r="CM474" t="n">
        <v>485.2606130837312</v>
      </c>
      <c r="CN474" t="n">
        <v>489.3616295037751</v>
      </c>
      <c r="CO474" t="n">
        <v>494.1748258449226</v>
      </c>
      <c r="EH474" t="n">
        <v>498.919</v>
      </c>
      <c r="FD474" t="n">
        <v>2.77</v>
      </c>
      <c r="FF474" t="n">
        <v>20</v>
      </c>
      <c r="FJ474" t="n">
        <v>66.93917881784212</v>
      </c>
      <c r="FK474" t="n">
        <v>64.42186737372997</v>
      </c>
      <c r="FL474" t="n">
        <v>70.69860612669355</v>
      </c>
      <c r="FM474" t="n">
        <v>65.12143718500516</v>
      </c>
      <c r="FN474" t="n">
        <v>75.24860683965281</v>
      </c>
      <c r="HH474" t="n">
        <v>68.486</v>
      </c>
      <c r="ID474" t="n">
        <v>5.87</v>
      </c>
      <c r="IF474" t="n">
        <v>20</v>
      </c>
      <c r="IJ474" t="n">
        <v>618.4122667961618</v>
      </c>
      <c r="IK474" t="n">
        <v>643.2299896216148</v>
      </c>
      <c r="IL474" t="n">
        <v>612.5388315222997</v>
      </c>
      <c r="IM474" t="n">
        <v>621.3764498819046</v>
      </c>
      <c r="IN474" t="n">
        <v>636.3268374252501</v>
      </c>
      <c r="KH474" t="n">
        <v>626.377</v>
      </c>
      <c r="LD474" t="n">
        <v>1.84</v>
      </c>
    </row>
    <row r="475">
      <c r="A475" t="inlineStr">
        <is>
          <t>2026-04-24</t>
        </is>
      </c>
      <c r="B475" t="inlineStr">
        <is>
          <t>Optimum Wellness 37</t>
        </is>
      </c>
      <c r="C475" t="inlineStr">
        <is>
          <t>209226042401</t>
        </is>
      </c>
      <c r="D475" t="inlineStr">
        <is>
          <t>Ca</t>
        </is>
      </c>
      <c r="G475" t="n">
        <v>9.1</v>
      </c>
      <c r="J475" t="n">
        <v>9.493263481629697</v>
      </c>
      <c r="K475" t="n">
        <v>9.646065190619053</v>
      </c>
      <c r="L475" t="n">
        <v>9.43080722572973</v>
      </c>
      <c r="M475" t="n">
        <v>9.465619777488497</v>
      </c>
      <c r="N475" t="n">
        <v>9.535316633387415</v>
      </c>
      <c r="O475" t="n">
        <v>9.136586772928959</v>
      </c>
      <c r="BH475" t="n">
        <v>9.451000000000001</v>
      </c>
      <c r="BS475" t="n">
        <v>3.86</v>
      </c>
      <c r="CD475" t="n">
        <v>1.65</v>
      </c>
      <c r="CG475" t="n">
        <v>12.4</v>
      </c>
      <c r="CJ475" t="n">
        <v>12.7223127805724</v>
      </c>
      <c r="CK475" t="n">
        <v>12.29541126724139</v>
      </c>
      <c r="CL475" t="n">
        <v>12.94959081866672</v>
      </c>
      <c r="CM475" t="n">
        <v>12.95273108057357</v>
      </c>
      <c r="CN475" t="n">
        <v>12.38449315406608</v>
      </c>
      <c r="CO475" t="n">
        <v>12.51526152066293</v>
      </c>
      <c r="EH475" t="n">
        <v>12.637</v>
      </c>
      <c r="ES475" t="n">
        <v>1.91</v>
      </c>
      <c r="FD475" t="n">
        <v>2.04</v>
      </c>
      <c r="FG475" t="n">
        <v>5.9</v>
      </c>
      <c r="FJ475" t="n">
        <v>5.921735952631391</v>
      </c>
      <c r="FK475" t="n">
        <v>5.907571756457669</v>
      </c>
      <c r="FL475" t="n">
        <v>5.756326738363802</v>
      </c>
      <c r="FM475" t="n">
        <v>5.657997083742215</v>
      </c>
      <c r="FN475" t="n">
        <v>5.703336890533606</v>
      </c>
      <c r="HH475" t="n">
        <v>5.789</v>
      </c>
      <c r="HS475" t="n">
        <v>-1.87</v>
      </c>
      <c r="ID475" t="n">
        <v>1.85</v>
      </c>
      <c r="IG475" t="n">
        <v>12.7</v>
      </c>
      <c r="IJ475" t="n">
        <v>12.76225365106365</v>
      </c>
      <c r="IK475" t="n">
        <v>12.6806037907087</v>
      </c>
      <c r="IL475" t="n">
        <v>12.58170256211148</v>
      </c>
      <c r="IM475" t="n">
        <v>12.28613086054277</v>
      </c>
      <c r="IN475" t="n">
        <v>12.51767241598707</v>
      </c>
      <c r="KH475" t="n">
        <v>12.566</v>
      </c>
      <c r="KS475" t="n">
        <v>-1.06</v>
      </c>
      <c r="LD475" t="n">
        <v>1.3</v>
      </c>
    </row>
    <row r="476">
      <c r="A476" t="inlineStr">
        <is>
          <t>2026-04-24</t>
        </is>
      </c>
      <c r="B476" t="inlineStr">
        <is>
          <t>Optimum Wellness 37</t>
        </is>
      </c>
      <c r="C476" t="inlineStr">
        <is>
          <t>209226042401</t>
        </is>
      </c>
      <c r="D476" t="inlineStr">
        <is>
          <t>GGT</t>
        </is>
      </c>
      <c r="F476" t="n">
        <v>15</v>
      </c>
      <c r="G476" t="n">
        <v>57</v>
      </c>
      <c r="H476" t="n">
        <v>912</v>
      </c>
      <c r="I476" t="n">
        <v>-798</v>
      </c>
      <c r="J476" t="n">
        <v>61.68775253173201</v>
      </c>
      <c r="K476" t="n">
        <v>63.60590170895698</v>
      </c>
      <c r="L476" t="n">
        <v>62.94867230063162</v>
      </c>
      <c r="M476" t="n">
        <v>60.95393317676142</v>
      </c>
      <c r="N476" t="n">
        <v>58.42256243242948</v>
      </c>
      <c r="O476" t="n">
        <v>59.44636460265745</v>
      </c>
      <c r="BH476" t="n">
        <v>61.178</v>
      </c>
      <c r="BS476" t="n">
        <v>7.33</v>
      </c>
      <c r="CD476" t="n">
        <v>2.98</v>
      </c>
      <c r="CF476" t="n">
        <v>15</v>
      </c>
      <c r="CG476" t="n">
        <v>164</v>
      </c>
      <c r="CH476" t="n">
        <v>2624</v>
      </c>
      <c r="CI476" t="n">
        <v>-2296</v>
      </c>
      <c r="CJ476" t="n">
        <v>177.7814011023733</v>
      </c>
      <c r="CK476" t="n">
        <v>172.0413202260064</v>
      </c>
      <c r="CL476" t="n">
        <v>182.7802764020649</v>
      </c>
      <c r="CM476" t="n">
        <v>172.4363050574989</v>
      </c>
      <c r="CN476" t="n">
        <v>169.8403874959156</v>
      </c>
      <c r="CO476" t="n">
        <v>171.4767259300121</v>
      </c>
      <c r="EH476" t="n">
        <v>174.393</v>
      </c>
      <c r="ES476" t="n">
        <v>6.34</v>
      </c>
      <c r="FD476" t="n">
        <v>2.57</v>
      </c>
      <c r="FF476" t="n">
        <v>15</v>
      </c>
      <c r="FG476" t="n">
        <v>23</v>
      </c>
      <c r="FH476" t="n">
        <v>368</v>
      </c>
      <c r="FI476" t="n">
        <v>-322</v>
      </c>
      <c r="FJ476" t="n">
        <v>26.27178132173785</v>
      </c>
      <c r="FK476" t="n">
        <v>25.57634869619113</v>
      </c>
      <c r="FL476" t="n">
        <v>26.0467668033927</v>
      </c>
      <c r="FM476" t="n">
        <v>23.2578514084306</v>
      </c>
      <c r="FN476" t="n">
        <v>26.12307318940051</v>
      </c>
      <c r="HH476" t="n">
        <v>25.455</v>
      </c>
      <c r="HS476" t="n">
        <v>10.67</v>
      </c>
      <c r="ID476" t="n">
        <v>4.41</v>
      </c>
      <c r="IF476" t="n">
        <v>15</v>
      </c>
      <c r="IG476" t="n">
        <v>126</v>
      </c>
      <c r="IH476" t="n">
        <v>2016</v>
      </c>
      <c r="II476" t="n">
        <v>-1764</v>
      </c>
      <c r="IJ476" t="n">
        <v>135.9165173747502</v>
      </c>
      <c r="IK476" t="n">
        <v>140.8730821450565</v>
      </c>
      <c r="IL476" t="n">
        <v>135.5244273433023</v>
      </c>
      <c r="IM476" t="n">
        <v>133.2635937021077</v>
      </c>
      <c r="IN476" t="n">
        <v>134.5525132231201</v>
      </c>
      <c r="KH476" t="n">
        <v>136.026</v>
      </c>
      <c r="KS476" t="n">
        <v>7.96</v>
      </c>
      <c r="LD476" t="n">
        <v>1.9</v>
      </c>
    </row>
    <row r="477">
      <c r="A477" t="inlineStr">
        <is>
          <t>2026-04-24</t>
        </is>
      </c>
      <c r="B477" t="inlineStr">
        <is>
          <t>Optimum Wellness 37</t>
        </is>
      </c>
      <c r="C477" t="inlineStr">
        <is>
          <t>209226042401</t>
        </is>
      </c>
      <c r="D477" t="inlineStr">
        <is>
          <t>PHOS</t>
        </is>
      </c>
      <c r="F477" t="n">
        <v>10</v>
      </c>
      <c r="G477" t="n">
        <v>3.3</v>
      </c>
      <c r="H477" t="n">
        <v>36.3</v>
      </c>
      <c r="I477" t="n">
        <v>-29.7</v>
      </c>
      <c r="J477" t="n">
        <v>3.25684162208837</v>
      </c>
      <c r="K477" t="n">
        <v>3.303120004532302</v>
      </c>
      <c r="L477" t="n">
        <v>3.317618422929061</v>
      </c>
      <c r="M477" t="n">
        <v>3.17294815673667</v>
      </c>
      <c r="N477" t="n">
        <v>3.224264952787464</v>
      </c>
      <c r="O477" t="n">
        <v>3.122162411457671</v>
      </c>
      <c r="BH477" t="n">
        <v>3.233</v>
      </c>
      <c r="BS477" t="n">
        <v>-2.04</v>
      </c>
      <c r="CD477" t="n">
        <v>2.14</v>
      </c>
      <c r="CF477" t="n">
        <v>10</v>
      </c>
      <c r="CG477" t="n">
        <v>7.2</v>
      </c>
      <c r="CH477" t="n">
        <v>79.2</v>
      </c>
      <c r="CI477" t="n">
        <v>-64.8</v>
      </c>
      <c r="CJ477" t="n">
        <v>7.158669924854918</v>
      </c>
      <c r="CK477" t="n">
        <v>7.239487184502947</v>
      </c>
      <c r="CL477" t="n">
        <v>7.530398917156528</v>
      </c>
      <c r="CM477" t="n">
        <v>7.010962822972435</v>
      </c>
      <c r="CN477" t="n">
        <v>7.229169521145879</v>
      </c>
      <c r="CO477" t="n">
        <v>7.178273716720709</v>
      </c>
      <c r="EH477" t="n">
        <v>7.224</v>
      </c>
      <c r="ES477" t="n">
        <v>0.34</v>
      </c>
      <c r="FD477" t="n">
        <v>2.16</v>
      </c>
      <c r="FF477" t="n">
        <v>10</v>
      </c>
      <c r="FG477" t="n">
        <v>1.9</v>
      </c>
      <c r="FH477" t="n">
        <v>20.9</v>
      </c>
      <c r="FI477" t="n">
        <v>-17.1</v>
      </c>
      <c r="FJ477" t="n">
        <v>1.964899796450658</v>
      </c>
      <c r="FK477" t="n">
        <v>1.95716728706099</v>
      </c>
      <c r="FL477" t="n">
        <v>1.921971423244322</v>
      </c>
      <c r="FM477" t="n">
        <v>1.925430822237449</v>
      </c>
      <c r="FN477" t="n">
        <v>1.929289561426283</v>
      </c>
      <c r="HH477" t="n">
        <v>1.94</v>
      </c>
      <c r="HS477" t="n">
        <v>2.09</v>
      </c>
      <c r="ID477" t="n">
        <v>0.91</v>
      </c>
      <c r="IF477" t="n">
        <v>10</v>
      </c>
      <c r="IG477" t="n">
        <v>7.2</v>
      </c>
      <c r="IH477" t="n">
        <v>79.2</v>
      </c>
      <c r="II477" t="n">
        <v>-64.8</v>
      </c>
      <c r="IJ477" t="n">
        <v>7.244372447656062</v>
      </c>
      <c r="IK477" t="n">
        <v>7.310964393745282</v>
      </c>
      <c r="IL477" t="n">
        <v>7.096181240838286</v>
      </c>
      <c r="IM477" t="n">
        <v>7.242634869335309</v>
      </c>
      <c r="IN477" t="n">
        <v>7.229365264529535</v>
      </c>
      <c r="KH477" t="n">
        <v>7.225</v>
      </c>
      <c r="KS477" t="n">
        <v>0.34</v>
      </c>
      <c r="LD477" t="n">
        <v>0.97</v>
      </c>
    </row>
    <row r="478">
      <c r="A478" t="inlineStr">
        <is>
          <t>2026-04-24</t>
        </is>
      </c>
      <c r="B478" t="inlineStr">
        <is>
          <t>Optimum Wellness 37</t>
        </is>
      </c>
      <c r="C478" t="inlineStr">
        <is>
          <t>209226042401</t>
        </is>
      </c>
      <c r="D478" t="inlineStr">
        <is>
          <t>TBIL</t>
        </is>
      </c>
      <c r="F478" t="n">
        <v>20</v>
      </c>
      <c r="G478" t="n">
        <v>1.1</v>
      </c>
      <c r="H478" t="n">
        <v>23.1</v>
      </c>
      <c r="I478" t="n">
        <v>-20.9</v>
      </c>
      <c r="J478" t="n">
        <v>1.230543847479628</v>
      </c>
      <c r="K478" t="n">
        <v>1.363057188726766</v>
      </c>
      <c r="L478" t="n">
        <v>1.382452358029358</v>
      </c>
      <c r="M478" t="n">
        <v>1.188603229372553</v>
      </c>
      <c r="N478" t="n">
        <v>1.230043923784594</v>
      </c>
      <c r="O478" t="n">
        <v>1.139136508295057</v>
      </c>
      <c r="BH478" t="n">
        <v>1.256</v>
      </c>
      <c r="BS478" t="n">
        <v>14.15</v>
      </c>
      <c r="CD478" t="n">
        <v>7.05</v>
      </c>
      <c r="CF478" t="n">
        <v>20</v>
      </c>
      <c r="CG478" t="n">
        <v>5.1</v>
      </c>
      <c r="CH478" t="n">
        <v>107.1</v>
      </c>
      <c r="CI478" t="n">
        <v>-96.89999999999999</v>
      </c>
      <c r="CJ478" t="n">
        <v>5.405670679619082</v>
      </c>
      <c r="CK478" t="n">
        <v>5.388234179597267</v>
      </c>
      <c r="CL478" t="n">
        <v>5.637348798465865</v>
      </c>
      <c r="CM478" t="n">
        <v>5.10160641715583</v>
      </c>
      <c r="CN478" t="n">
        <v>5.153381700109996</v>
      </c>
      <c r="CO478" t="n">
        <v>5.1745303353501</v>
      </c>
      <c r="EH478" t="n">
        <v>5.31</v>
      </c>
      <c r="ES478" t="n">
        <v>4.12</v>
      </c>
      <c r="FD478" t="n">
        <v>3.51</v>
      </c>
      <c r="FF478" t="n">
        <v>20</v>
      </c>
      <c r="FG478" t="n">
        <v>0.8</v>
      </c>
      <c r="FH478" t="n">
        <v>16.8</v>
      </c>
      <c r="FI478" t="n">
        <v>-15.2</v>
      </c>
      <c r="FJ478" t="n">
        <v>0.6160831554172637</v>
      </c>
      <c r="FK478" t="n">
        <v>0.7096543897203258</v>
      </c>
      <c r="FL478" t="n">
        <v>0.6589490376884104</v>
      </c>
      <c r="FM478" t="n">
        <v>0.6258074964621283</v>
      </c>
      <c r="FN478" t="n">
        <v>0.6990451755314373</v>
      </c>
      <c r="HH478" t="n">
        <v>0.662</v>
      </c>
      <c r="HS478" t="n">
        <v>-17.26</v>
      </c>
      <c r="ID478" t="n">
        <v>5.68</v>
      </c>
      <c r="IF478" t="n">
        <v>20</v>
      </c>
      <c r="IG478" t="n">
        <v>8.4</v>
      </c>
      <c r="IH478" t="n">
        <v>176.4</v>
      </c>
      <c r="II478" t="n">
        <v>-159.6</v>
      </c>
      <c r="IJ478" t="n">
        <v>8.461342251595459</v>
      </c>
      <c r="IK478" t="n">
        <v>8.693578961204272</v>
      </c>
      <c r="IL478" t="n">
        <v>8.41854520625221</v>
      </c>
      <c r="IM478" t="n">
        <v>8.366426937864288</v>
      </c>
      <c r="IN478" t="n">
        <v>8.34029072412897</v>
      </c>
      <c r="KH478" t="n">
        <v>8.456</v>
      </c>
      <c r="KS478" t="n">
        <v>0.67</v>
      </c>
      <c r="LD478" t="n">
        <v>1.49</v>
      </c>
    </row>
    <row r="479">
      <c r="A479" t="inlineStr">
        <is>
          <t>2026-04-24</t>
        </is>
      </c>
      <c r="B479" t="inlineStr">
        <is>
          <t>General Chem 26</t>
        </is>
      </c>
      <c r="C479" t="inlineStr">
        <is>
          <t>205426042401</t>
        </is>
      </c>
      <c r="D479" t="inlineStr">
        <is>
          <t>AMY</t>
        </is>
      </c>
      <c r="F479" t="n">
        <v>10</v>
      </c>
      <c r="G479" t="n">
        <v>78</v>
      </c>
      <c r="H479" t="n">
        <v>858</v>
      </c>
      <c r="I479" t="n">
        <v>-702</v>
      </c>
      <c r="J479" t="n">
        <v>78.3037944263849</v>
      </c>
      <c r="K479" t="n">
        <v>77.54375996746512</v>
      </c>
      <c r="L479" t="n">
        <v>77.99791974972248</v>
      </c>
      <c r="M479" t="n">
        <v>76.54763393904337</v>
      </c>
      <c r="N479" t="n">
        <v>77.92160479929692</v>
      </c>
      <c r="O479" t="n">
        <v>77.34722114104223</v>
      </c>
      <c r="P479" t="n">
        <v>77.24566095517073</v>
      </c>
      <c r="Q479" t="n">
        <v>76.47141481854123</v>
      </c>
      <c r="R479" t="n">
        <v>76.3930495924826</v>
      </c>
      <c r="BH479" t="n">
        <v>77.30800000000001</v>
      </c>
      <c r="BS479" t="n">
        <v>-0.89</v>
      </c>
      <c r="CD479" t="n">
        <v>0.86</v>
      </c>
      <c r="CF479" t="n">
        <v>10</v>
      </c>
      <c r="CG479" t="n">
        <v>404</v>
      </c>
      <c r="CH479" t="n">
        <v>4444</v>
      </c>
      <c r="CI479" t="n">
        <v>-3636</v>
      </c>
      <c r="CJ479" t="n">
        <v>410.9267280568629</v>
      </c>
      <c r="CK479" t="n">
        <v>419.1678199059996</v>
      </c>
      <c r="CL479" t="n">
        <v>398.8515363452225</v>
      </c>
      <c r="CM479" t="n">
        <v>409.0871004203666</v>
      </c>
      <c r="CN479" t="n">
        <v>402.7367402692138</v>
      </c>
      <c r="CO479" t="n">
        <v>398.8566050462283</v>
      </c>
      <c r="CP479" t="n">
        <v>398.9760144593116</v>
      </c>
      <c r="CQ479" t="n">
        <v>394.9045411241142</v>
      </c>
      <c r="EH479" t="n">
        <v>404.188</v>
      </c>
      <c r="ES479" t="n">
        <v>0.05</v>
      </c>
      <c r="FD479" t="n">
        <v>1.89</v>
      </c>
      <c r="FF479" t="n">
        <v>10</v>
      </c>
      <c r="FG479" t="n">
        <v>63</v>
      </c>
      <c r="FH479" t="n">
        <v>693</v>
      </c>
      <c r="FI479" t="n">
        <v>-567</v>
      </c>
      <c r="FJ479" t="n">
        <v>64.59888544186757</v>
      </c>
      <c r="FK479" t="n">
        <v>64.78715686228786</v>
      </c>
      <c r="FL479" t="n">
        <v>61.64820940032258</v>
      </c>
      <c r="FM479" t="n">
        <v>63.58310204860409</v>
      </c>
      <c r="FN479" t="n">
        <v>65.75951218081626</v>
      </c>
      <c r="FO479" t="n">
        <v>63.61699289470629</v>
      </c>
      <c r="FP479" t="n">
        <v>85.89380345602503</v>
      </c>
      <c r="FQ479" t="n">
        <v>62.5651879398074</v>
      </c>
      <c r="HH479" t="n">
        <v>66.557</v>
      </c>
      <c r="HS479" t="n">
        <v>5.65</v>
      </c>
      <c r="ID479" t="n">
        <v>11.13</v>
      </c>
      <c r="IF479" t="n">
        <v>10</v>
      </c>
      <c r="IG479" t="n">
        <v>297</v>
      </c>
      <c r="IH479" t="n">
        <v>3267</v>
      </c>
      <c r="II479" t="n">
        <v>-2673</v>
      </c>
      <c r="IJ479" t="n">
        <v>296.9089422112443</v>
      </c>
      <c r="IK479" t="n">
        <v>301.1719134917537</v>
      </c>
      <c r="IL479" t="n">
        <v>295.9689269603247</v>
      </c>
      <c r="IM479" t="n">
        <v>295.9489767814796</v>
      </c>
      <c r="IN479" t="n">
        <v>296.9479334874943</v>
      </c>
      <c r="IO479" t="n">
        <v>294.2561589737055</v>
      </c>
      <c r="IP479" t="n">
        <v>288.2852919247807</v>
      </c>
      <c r="IQ479" t="n">
        <v>289.6453788299474</v>
      </c>
      <c r="KH479" t="n">
        <v>294.892</v>
      </c>
      <c r="KS479" t="n">
        <v>-0.71</v>
      </c>
      <c r="LD479" t="n">
        <v>1.32</v>
      </c>
    </row>
    <row r="480">
      <c r="A480" t="inlineStr">
        <is>
          <t>2026-04-24</t>
        </is>
      </c>
      <c r="B480" t="inlineStr">
        <is>
          <t>General Chem 26</t>
        </is>
      </c>
      <c r="C480" t="inlineStr">
        <is>
          <t>205426042401</t>
        </is>
      </c>
      <c r="D480" t="inlineStr">
        <is>
          <t>AST</t>
        </is>
      </c>
      <c r="F480" t="n">
        <v>15</v>
      </c>
      <c r="G480" t="n">
        <v>44</v>
      </c>
      <c r="H480" t="n">
        <v>704</v>
      </c>
      <c r="I480" t="n">
        <v>-616</v>
      </c>
      <c r="J480" t="n">
        <v>45.71116510228605</v>
      </c>
      <c r="K480" t="n">
        <v>45.76491813014258</v>
      </c>
      <c r="L480" t="n">
        <v>43.76463099531405</v>
      </c>
      <c r="M480" t="n">
        <v>41.42272243136296</v>
      </c>
      <c r="N480" t="n">
        <v>41.97462927835235</v>
      </c>
      <c r="O480" t="n">
        <v>44.25185967834979</v>
      </c>
      <c r="P480" t="n">
        <v>42.97778608852702</v>
      </c>
      <c r="Q480" t="n">
        <v>43.47432508309635</v>
      </c>
      <c r="R480" t="n">
        <v>45.18060722256819</v>
      </c>
      <c r="BH480" t="n">
        <v>43.836</v>
      </c>
      <c r="BS480" t="n">
        <v>-0.37</v>
      </c>
      <c r="CD480" t="n">
        <v>3.35</v>
      </c>
      <c r="CF480" t="n">
        <v>15</v>
      </c>
      <c r="CG480" t="n">
        <v>221</v>
      </c>
      <c r="CH480" t="n">
        <v>3536</v>
      </c>
      <c r="CI480" t="n">
        <v>-3094</v>
      </c>
      <c r="CJ480" t="n">
        <v>230.8645038198911</v>
      </c>
      <c r="CK480" t="n">
        <v>227.5352864460829</v>
      </c>
      <c r="CL480" t="n">
        <v>218.119240360555</v>
      </c>
      <c r="CM480" t="n">
        <v>219.6517928859017</v>
      </c>
      <c r="CN480" t="n">
        <v>218.2525269179618</v>
      </c>
      <c r="CO480" t="n">
        <v>215.8582476496306</v>
      </c>
      <c r="CP480" t="n">
        <v>216.9841244130255</v>
      </c>
      <c r="CQ480" t="n">
        <v>216.7731912728574</v>
      </c>
      <c r="EH480" t="n">
        <v>220.505</v>
      </c>
      <c r="ES480" t="n">
        <v>-0.22</v>
      </c>
      <c r="FD480" t="n">
        <v>2.36</v>
      </c>
      <c r="FF480" t="n">
        <v>15</v>
      </c>
      <c r="FG480" t="n">
        <v>45</v>
      </c>
      <c r="FH480" t="n">
        <v>720</v>
      </c>
      <c r="FI480" t="n">
        <v>-630</v>
      </c>
      <c r="FJ480" t="n">
        <v>45.13346312904903</v>
      </c>
      <c r="FK480" t="n">
        <v>44.78233877022799</v>
      </c>
      <c r="FL480" t="n">
        <v>46.55358950264169</v>
      </c>
      <c r="FM480" t="n">
        <v>45.25202630978293</v>
      </c>
      <c r="FN480" t="n">
        <v>46.11492117646173</v>
      </c>
      <c r="FO480" t="n">
        <v>44.24605220040706</v>
      </c>
      <c r="FP480" t="n">
        <v>43.12746585702727</v>
      </c>
      <c r="FQ480" t="n">
        <v>44.7498830486652</v>
      </c>
      <c r="HH480" t="n">
        <v>44.995</v>
      </c>
      <c r="HS480" t="n">
        <v>-0.01</v>
      </c>
      <c r="ID480" t="n">
        <v>2.21</v>
      </c>
      <c r="IF480" t="n">
        <v>15</v>
      </c>
      <c r="IG480" t="n">
        <v>282</v>
      </c>
      <c r="IH480" t="n">
        <v>4512</v>
      </c>
      <c r="II480" t="n">
        <v>-3948</v>
      </c>
      <c r="IJ480" t="n">
        <v>276.3882167413736</v>
      </c>
      <c r="IK480" t="n">
        <v>282.355282326665</v>
      </c>
      <c r="IL480" t="n">
        <v>275.7374372612256</v>
      </c>
      <c r="IM480" t="n">
        <v>270.7175586288612</v>
      </c>
      <c r="IN480" t="n">
        <v>266.7602398422564</v>
      </c>
      <c r="IO480" t="n">
        <v>274.935052098365</v>
      </c>
      <c r="IP480" t="n">
        <v>276.2656320539334</v>
      </c>
      <c r="IQ480" t="n">
        <v>272.1537635372915</v>
      </c>
      <c r="KH480" t="n">
        <v>274.414</v>
      </c>
      <c r="KS480" t="n">
        <v>-2.69</v>
      </c>
      <c r="LD480" t="n">
        <v>1.58</v>
      </c>
    </row>
    <row r="481">
      <c r="A481" t="inlineStr">
        <is>
          <t>2026-04-24</t>
        </is>
      </c>
      <c r="B481" t="inlineStr">
        <is>
          <t>General Chem 26</t>
        </is>
      </c>
      <c r="C481" t="inlineStr">
        <is>
          <t>205426042401</t>
        </is>
      </c>
      <c r="D481" t="inlineStr">
        <is>
          <t>CHOL</t>
        </is>
      </c>
      <c r="F481" t="n">
        <v>10</v>
      </c>
      <c r="G481" t="n">
        <v>228</v>
      </c>
      <c r="H481" t="n">
        <v>2508</v>
      </c>
      <c r="I481" t="n">
        <v>-2052</v>
      </c>
      <c r="J481" t="n">
        <v>227.9094514227583</v>
      </c>
      <c r="K481" t="n">
        <v>229.4323181906771</v>
      </c>
      <c r="L481" t="n">
        <v>224.6847091394798</v>
      </c>
      <c r="M481" t="n">
        <v>226.7043582406622</v>
      </c>
      <c r="N481" t="n">
        <v>225.5376891871544</v>
      </c>
      <c r="O481" t="n">
        <v>227.3413111698349</v>
      </c>
      <c r="P481" t="n">
        <v>228.5537251752103</v>
      </c>
      <c r="Q481" t="n">
        <v>225.0382663768416</v>
      </c>
      <c r="R481" t="n">
        <v>224.7201730562986</v>
      </c>
      <c r="BH481" t="n">
        <v>226.658</v>
      </c>
      <c r="BS481" t="n">
        <v>-0.59</v>
      </c>
      <c r="CD481" t="n">
        <v>0.73</v>
      </c>
      <c r="CF481" t="n">
        <v>10</v>
      </c>
      <c r="CG481" t="n">
        <v>99</v>
      </c>
      <c r="CH481" t="n">
        <v>1089</v>
      </c>
      <c r="CI481" t="n">
        <v>-891</v>
      </c>
      <c r="CJ481" t="n">
        <v>101.9114453797362</v>
      </c>
      <c r="CK481" t="n">
        <v>99.32079380347128</v>
      </c>
      <c r="CL481" t="n">
        <v>97.32847216606899</v>
      </c>
      <c r="CM481" t="n">
        <v>99.47190672767718</v>
      </c>
      <c r="CN481" t="n">
        <v>97.64316413434571</v>
      </c>
      <c r="CO481" t="n">
        <v>96.22094230750386</v>
      </c>
      <c r="CP481" t="n">
        <v>97.24573327436875</v>
      </c>
      <c r="CQ481" t="n">
        <v>95.76272073543092</v>
      </c>
      <c r="EH481" t="n">
        <v>98.113</v>
      </c>
      <c r="ES481" t="n">
        <v>-0.9</v>
      </c>
      <c r="FD481" t="n">
        <v>1.92</v>
      </c>
      <c r="FF481" t="n">
        <v>10</v>
      </c>
      <c r="FG481" t="n">
        <v>115</v>
      </c>
      <c r="FH481" t="n">
        <v>1265</v>
      </c>
      <c r="FI481" t="n">
        <v>-1035</v>
      </c>
      <c r="FJ481" t="n">
        <v>111.2740615639922</v>
      </c>
      <c r="FK481" t="n">
        <v>111.9039880462799</v>
      </c>
      <c r="FL481" t="n">
        <v>112.1049902980715</v>
      </c>
      <c r="FM481" t="n">
        <v>112.3491309757098</v>
      </c>
      <c r="FN481" t="n">
        <v>112.3335391784277</v>
      </c>
      <c r="FO481" t="n">
        <v>111.8888374528549</v>
      </c>
      <c r="FP481" t="n">
        <v>112.990339242592</v>
      </c>
      <c r="FQ481" t="n">
        <v>112.630347727962</v>
      </c>
      <c r="HH481" t="n">
        <v>112.184</v>
      </c>
      <c r="HS481" t="n">
        <v>-2.45</v>
      </c>
      <c r="ID481" t="n">
        <v>0.43</v>
      </c>
      <c r="IF481" t="n">
        <v>10</v>
      </c>
      <c r="IG481" t="n">
        <v>269</v>
      </c>
      <c r="IH481" t="n">
        <v>2959</v>
      </c>
      <c r="II481" t="n">
        <v>-2421</v>
      </c>
      <c r="IJ481" t="n">
        <v>259.6213271143826</v>
      </c>
      <c r="IK481" t="n">
        <v>261.4487687551006</v>
      </c>
      <c r="IL481" t="n">
        <v>256.9309081947908</v>
      </c>
      <c r="IM481" t="n">
        <v>263.1687665713134</v>
      </c>
      <c r="IN481" t="n">
        <v>258.0164491386294</v>
      </c>
      <c r="IO481" t="n">
        <v>257.7463335567508</v>
      </c>
      <c r="IP481" t="n">
        <v>258.2105889339197</v>
      </c>
      <c r="IQ481" t="n">
        <v>259.2223232858085</v>
      </c>
      <c r="KH481" t="n">
        <v>259.296</v>
      </c>
      <c r="KS481" t="n">
        <v>-3.61</v>
      </c>
      <c r="LD481" t="n">
        <v>0.75</v>
      </c>
    </row>
    <row r="482">
      <c r="A482" t="inlineStr">
        <is>
          <t>2026-04-24</t>
        </is>
      </c>
      <c r="B482" t="inlineStr">
        <is>
          <t>General Chem 26</t>
        </is>
      </c>
      <c r="C482" t="inlineStr">
        <is>
          <t>205426042401</t>
        </is>
      </c>
      <c r="D482" t="inlineStr">
        <is>
          <t>CK</t>
        </is>
      </c>
      <c r="F482" t="n">
        <v>20</v>
      </c>
      <c r="J482" t="n">
        <v>139.6485912390349</v>
      </c>
      <c r="K482" t="n">
        <v>77.89289052725816</v>
      </c>
      <c r="L482" t="n">
        <v>128.4717665955315</v>
      </c>
      <c r="M482" t="n">
        <v>130.5734793397335</v>
      </c>
      <c r="N482" t="n">
        <v>122.1997434260569</v>
      </c>
      <c r="O482" t="n">
        <v>121.1798598688995</v>
      </c>
      <c r="P482" t="n">
        <v>123.24652412489</v>
      </c>
      <c r="Q482" t="n">
        <v>128.2381790023303</v>
      </c>
      <c r="R482" t="n">
        <v>130.4894358229343</v>
      </c>
      <c r="BH482" t="n">
        <v>122.438</v>
      </c>
      <c r="CD482" t="n">
        <v>13.57</v>
      </c>
      <c r="CF482" t="n">
        <v>20</v>
      </c>
      <c r="CJ482" t="n">
        <v>498.274225785139</v>
      </c>
      <c r="CK482" t="n">
        <v>517.6779214199623</v>
      </c>
      <c r="CL482" t="n">
        <v>467.2582865809132</v>
      </c>
      <c r="CM482" t="n">
        <v>466.5035140124097</v>
      </c>
      <c r="CN482" t="n">
        <v>459.7266563694847</v>
      </c>
      <c r="CO482" t="n">
        <v>448.8354305841166</v>
      </c>
      <c r="CP482" t="n">
        <v>448.8385975455855</v>
      </c>
      <c r="CQ482" t="n">
        <v>441.78518985722</v>
      </c>
      <c r="EH482" t="n">
        <v>468.612</v>
      </c>
      <c r="FD482" t="n">
        <v>5.27</v>
      </c>
      <c r="FF482" t="n">
        <v>20</v>
      </c>
      <c r="FJ482" t="n">
        <v>67.74355683254663</v>
      </c>
      <c r="FK482" t="n">
        <v>67.16689373177741</v>
      </c>
      <c r="FL482" t="n">
        <v>61.30665618309116</v>
      </c>
      <c r="FM482" t="n">
        <v>64.09762207009757</v>
      </c>
      <c r="FN482" t="n">
        <v>64.82639977772783</v>
      </c>
      <c r="FO482" t="n">
        <v>59.99183265788844</v>
      </c>
      <c r="FP482" t="n">
        <v>62.55027386143492</v>
      </c>
      <c r="FQ482" t="n">
        <v>63.60164238637162</v>
      </c>
      <c r="HH482" t="n">
        <v>63.911</v>
      </c>
      <c r="ID482" t="n">
        <v>3.92</v>
      </c>
      <c r="IF482" t="n">
        <v>20</v>
      </c>
      <c r="IJ482" t="n">
        <v>635.0567021916067</v>
      </c>
      <c r="IK482" t="n">
        <v>655.0482466117243</v>
      </c>
      <c r="IL482" t="n">
        <v>609.8818490359542</v>
      </c>
      <c r="IM482" t="n">
        <v>607.9854709996074</v>
      </c>
      <c r="IN482" t="n">
        <v>603.0066181557012</v>
      </c>
      <c r="IO482" t="n">
        <v>587.3899170258553</v>
      </c>
      <c r="IP482" t="n">
        <v>571.5600389215232</v>
      </c>
      <c r="IQ482" t="n">
        <v>575.5540103124912</v>
      </c>
      <c r="KH482" t="n">
        <v>605.6849999999999</v>
      </c>
      <c r="LD482" t="n">
        <v>4.42</v>
      </c>
    </row>
    <row r="483">
      <c r="A483" t="inlineStr">
        <is>
          <t>2026-04-24</t>
        </is>
      </c>
      <c r="B483" t="inlineStr">
        <is>
          <t>General Chem 26</t>
        </is>
      </c>
      <c r="C483" t="inlineStr">
        <is>
          <t>205426042401</t>
        </is>
      </c>
      <c r="D483" t="inlineStr">
        <is>
          <t>Ca</t>
        </is>
      </c>
      <c r="G483" t="n">
        <v>9.1</v>
      </c>
      <c r="J483" t="n">
        <v>9.715712731401005</v>
      </c>
      <c r="K483" t="n">
        <v>9.847380791079129</v>
      </c>
      <c r="L483" t="n">
        <v>9.697559788137458</v>
      </c>
      <c r="M483" t="n">
        <v>9.978987678450725</v>
      </c>
      <c r="N483" t="n">
        <v>9.911654516770781</v>
      </c>
      <c r="O483" t="n">
        <v>9.881510468000776</v>
      </c>
      <c r="P483" t="n">
        <v>9.612289916967914</v>
      </c>
      <c r="Q483" t="n">
        <v>9.758215412430825</v>
      </c>
      <c r="R483" t="n">
        <v>9.320278621067757</v>
      </c>
      <c r="BH483" t="n">
        <v>9.747</v>
      </c>
      <c r="BS483" t="n">
        <v>7.11</v>
      </c>
      <c r="CD483" t="n">
        <v>1.91</v>
      </c>
      <c r="CG483" t="n">
        <v>12.4</v>
      </c>
      <c r="CJ483" t="n">
        <v>12.96709347657783</v>
      </c>
      <c r="CK483" t="n">
        <v>13.24594907068648</v>
      </c>
      <c r="CL483" t="n">
        <v>13.11778030698811</v>
      </c>
      <c r="CM483" t="n">
        <v>13.18033971608072</v>
      </c>
      <c r="CN483" t="n">
        <v>13.07286078635908</v>
      </c>
      <c r="CO483" t="n">
        <v>12.60626480392028</v>
      </c>
      <c r="CP483" t="n">
        <v>12.60015770276277</v>
      </c>
      <c r="CQ483" t="n">
        <v>12.79566759401373</v>
      </c>
      <c r="EH483" t="n">
        <v>12.948</v>
      </c>
      <c r="ES483" t="n">
        <v>4.42</v>
      </c>
      <c r="FD483" t="n">
        <v>1.83</v>
      </c>
      <c r="FG483" t="n">
        <v>5.9</v>
      </c>
      <c r="FJ483" t="n">
        <v>6.180766811340529</v>
      </c>
      <c r="FK483" t="n">
        <v>6.086798032125802</v>
      </c>
      <c r="FL483" t="n">
        <v>6.113808468281572</v>
      </c>
      <c r="FM483" t="n">
        <v>6.055269575162363</v>
      </c>
      <c r="FN483" t="n">
        <v>6.124187146620754</v>
      </c>
      <c r="FO483" t="n">
        <v>5.879979660556674</v>
      </c>
      <c r="FP483" t="n">
        <v>6.103873454351446</v>
      </c>
      <c r="FQ483" t="n">
        <v>5.983030952396416</v>
      </c>
      <c r="HH483" t="n">
        <v>6.066</v>
      </c>
      <c r="HS483" t="n">
        <v>2.81</v>
      </c>
      <c r="ID483" t="n">
        <v>1.45</v>
      </c>
      <c r="IG483" t="n">
        <v>12.7</v>
      </c>
      <c r="IJ483" t="n">
        <v>13.27239607290595</v>
      </c>
      <c r="IK483" t="n">
        <v>13.17251898166219</v>
      </c>
      <c r="IL483" t="n">
        <v>13.30624486136943</v>
      </c>
      <c r="IM483" t="n">
        <v>13.35147381014076</v>
      </c>
      <c r="IN483" t="n">
        <v>13.10031864613023</v>
      </c>
      <c r="IO483" t="n">
        <v>13.16666835908117</v>
      </c>
      <c r="IP483" t="n">
        <v>12.83270258828712</v>
      </c>
      <c r="IQ483" t="n">
        <v>12.77126421963765</v>
      </c>
      <c r="KH483" t="n">
        <v>13.122</v>
      </c>
      <c r="KS483" t="n">
        <v>3.32</v>
      </c>
      <c r="LD483" t="n">
        <v>1.53</v>
      </c>
    </row>
    <row r="484">
      <c r="A484" t="inlineStr">
        <is>
          <t>2026-04-24</t>
        </is>
      </c>
      <c r="B484" t="inlineStr">
        <is>
          <t>General Chem 26</t>
        </is>
      </c>
      <c r="C484" t="inlineStr">
        <is>
          <t>205426042401</t>
        </is>
      </c>
      <c r="D484" t="inlineStr">
        <is>
          <t>GGT</t>
        </is>
      </c>
      <c r="F484" t="n">
        <v>15</v>
      </c>
      <c r="G484" t="n">
        <v>57</v>
      </c>
      <c r="H484" t="n">
        <v>912</v>
      </c>
      <c r="I484" t="n">
        <v>-798</v>
      </c>
      <c r="J484" t="n">
        <v>63.56007905960725</v>
      </c>
      <c r="K484" t="n">
        <v>61.16851200784092</v>
      </c>
      <c r="L484" t="n">
        <v>61.17969086422855</v>
      </c>
      <c r="M484" t="n">
        <v>61.87636662053936</v>
      </c>
      <c r="N484" t="n">
        <v>60.72130551432359</v>
      </c>
      <c r="O484" t="n">
        <v>59.28006977539499</v>
      </c>
      <c r="P484" t="n">
        <v>57.8699697665776</v>
      </c>
      <c r="Q484" t="n">
        <v>57.30316839794398</v>
      </c>
      <c r="R484" t="n">
        <v>58.97627109421445</v>
      </c>
      <c r="BH484" t="n">
        <v>60.215</v>
      </c>
      <c r="BS484" t="n">
        <v>5.64</v>
      </c>
      <c r="CD484" t="n">
        <v>3.15</v>
      </c>
      <c r="CF484" t="n">
        <v>15</v>
      </c>
      <c r="CG484" t="n">
        <v>164</v>
      </c>
      <c r="CH484" t="n">
        <v>2624</v>
      </c>
      <c r="CI484" t="n">
        <v>-2296</v>
      </c>
      <c r="CJ484" t="n">
        <v>178.1455691076339</v>
      </c>
      <c r="CK484" t="n">
        <v>175.4465183293461</v>
      </c>
      <c r="CL484" t="n">
        <v>167.7955860021541</v>
      </c>
      <c r="CM484" t="n">
        <v>171.8492583561789</v>
      </c>
      <c r="CN484" t="n">
        <v>167.428357579557</v>
      </c>
      <c r="CO484" t="n">
        <v>161.5193822514236</v>
      </c>
      <c r="CP484" t="n">
        <v>164.5777949779611</v>
      </c>
      <c r="CQ484" t="n">
        <v>162.1988812475593</v>
      </c>
      <c r="EH484" t="n">
        <v>168.62</v>
      </c>
      <c r="ES484" t="n">
        <v>2.82</v>
      </c>
      <c r="FD484" t="n">
        <v>3.37</v>
      </c>
      <c r="FF484" t="n">
        <v>15</v>
      </c>
      <c r="FG484" t="n">
        <v>23</v>
      </c>
      <c r="FH484" t="n">
        <v>368</v>
      </c>
      <c r="FI484" t="n">
        <v>-322</v>
      </c>
      <c r="FJ484" t="n">
        <v>24.94239304899107</v>
      </c>
      <c r="FK484" t="n">
        <v>25.50769367323172</v>
      </c>
      <c r="FL484" t="n">
        <v>25.73941376849181</v>
      </c>
      <c r="FM484" t="n">
        <v>26.35945270852226</v>
      </c>
      <c r="FN484" t="n">
        <v>25.96714188277065</v>
      </c>
      <c r="FO484" t="n">
        <v>22.6842112430428</v>
      </c>
      <c r="FP484" t="n">
        <v>23.11369347502158</v>
      </c>
      <c r="FQ484" t="n">
        <v>22.89627609281729</v>
      </c>
      <c r="HH484" t="n">
        <v>24.651</v>
      </c>
      <c r="HS484" t="n">
        <v>7.18</v>
      </c>
      <c r="ID484" t="n">
        <v>5.73</v>
      </c>
      <c r="IF484" t="n">
        <v>15</v>
      </c>
      <c r="IG484" t="n">
        <v>126</v>
      </c>
      <c r="IH484" t="n">
        <v>2016</v>
      </c>
      <c r="II484" t="n">
        <v>-1764</v>
      </c>
      <c r="IJ484" t="n">
        <v>130.883022246747</v>
      </c>
      <c r="IK484" t="n">
        <v>134.7983773796577</v>
      </c>
      <c r="IL484" t="n">
        <v>128.2720626431068</v>
      </c>
      <c r="IM484" t="n">
        <v>132.3599484967291</v>
      </c>
      <c r="IN484" t="n">
        <v>130.8594900252418</v>
      </c>
      <c r="IO484" t="n">
        <v>130.680142245836</v>
      </c>
      <c r="IP484" t="n">
        <v>128.1708087998797</v>
      </c>
      <c r="IQ484" t="n">
        <v>128.003119866436</v>
      </c>
      <c r="KH484" t="n">
        <v>130.503</v>
      </c>
      <c r="KS484" t="n">
        <v>3.57</v>
      </c>
      <c r="LD484" t="n">
        <v>1.69</v>
      </c>
    </row>
    <row r="485">
      <c r="A485" t="inlineStr">
        <is>
          <t>2026-04-24</t>
        </is>
      </c>
      <c r="B485" t="inlineStr">
        <is>
          <t>General Chem 26</t>
        </is>
      </c>
      <c r="C485" t="inlineStr">
        <is>
          <t>205426042401</t>
        </is>
      </c>
      <c r="D485" t="inlineStr">
        <is>
          <t>PHOS</t>
        </is>
      </c>
      <c r="F485" t="n">
        <v>10</v>
      </c>
      <c r="G485" t="n">
        <v>3.3</v>
      </c>
      <c r="H485" t="n">
        <v>36.3</v>
      </c>
      <c r="I485" t="n">
        <v>-29.7</v>
      </c>
      <c r="J485" t="n">
        <v>3.151956129776419</v>
      </c>
      <c r="K485" t="n">
        <v>3.13929214516996</v>
      </c>
      <c r="L485" t="n">
        <v>3.101029638191412</v>
      </c>
      <c r="M485" t="n">
        <v>3.104164244708611</v>
      </c>
      <c r="N485" t="n">
        <v>3.128537880059117</v>
      </c>
      <c r="O485" t="n">
        <v>3.136350160464855</v>
      </c>
      <c r="P485" t="n">
        <v>3.119253467341243</v>
      </c>
      <c r="Q485" t="n">
        <v>3.05825247129067</v>
      </c>
      <c r="R485" t="n">
        <v>3.089901044652648</v>
      </c>
      <c r="BH485" t="n">
        <v>3.114</v>
      </c>
      <c r="BS485" t="n">
        <v>-5.63</v>
      </c>
      <c r="CD485" t="n">
        <v>0.88</v>
      </c>
      <c r="CF485" t="n">
        <v>10</v>
      </c>
      <c r="CG485" t="n">
        <v>7.2</v>
      </c>
      <c r="CH485" t="n">
        <v>79.2</v>
      </c>
      <c r="CI485" t="n">
        <v>-64.8</v>
      </c>
      <c r="CJ485" t="n">
        <v>7.097212490001573</v>
      </c>
      <c r="CK485" t="n">
        <v>6.90484556559854</v>
      </c>
      <c r="CL485" t="n">
        <v>6.917694419084897</v>
      </c>
      <c r="CM485" t="n">
        <v>6.922266824323179</v>
      </c>
      <c r="CN485" t="n">
        <v>7.008750176375052</v>
      </c>
      <c r="CO485" t="n">
        <v>6.805971485700029</v>
      </c>
      <c r="CP485" t="n">
        <v>6.805426531342097</v>
      </c>
      <c r="CQ485" t="n">
        <v>6.758176502683709</v>
      </c>
      <c r="EH485" t="n">
        <v>6.903</v>
      </c>
      <c r="ES485" t="n">
        <v>-4.13</v>
      </c>
      <c r="FD485" t="n">
        <v>1.53</v>
      </c>
      <c r="FF485" t="n">
        <v>10</v>
      </c>
      <c r="FG485" t="n">
        <v>1.9</v>
      </c>
      <c r="FH485" t="n">
        <v>20.9</v>
      </c>
      <c r="FI485" t="n">
        <v>-17.1</v>
      </c>
      <c r="FJ485" t="n">
        <v>1.883911655436425</v>
      </c>
      <c r="FK485" t="n">
        <v>1.845225213278947</v>
      </c>
      <c r="FL485" t="n">
        <v>1.866502535131483</v>
      </c>
      <c r="FM485" t="n">
        <v>1.837448232972571</v>
      </c>
      <c r="FN485" t="n">
        <v>1.873157737511051</v>
      </c>
      <c r="FO485" t="n">
        <v>1.851553971308347</v>
      </c>
      <c r="FP485" t="n">
        <v>1.872535062718812</v>
      </c>
      <c r="FQ485" t="n">
        <v>1.910572081295156</v>
      </c>
      <c r="HH485" t="n">
        <v>1.868</v>
      </c>
      <c r="HS485" t="n">
        <v>-1.7</v>
      </c>
      <c r="ID485" t="n">
        <v>1.17</v>
      </c>
      <c r="IF485" t="n">
        <v>10</v>
      </c>
      <c r="IG485" t="n">
        <v>7.2</v>
      </c>
      <c r="IH485" t="n">
        <v>79.2</v>
      </c>
      <c r="II485" t="n">
        <v>-64.8</v>
      </c>
      <c r="IJ485" t="n">
        <v>6.970936695167283</v>
      </c>
      <c r="IK485" t="n">
        <v>6.96808130605589</v>
      </c>
      <c r="IL485" t="n">
        <v>6.977989951293781</v>
      </c>
      <c r="IM485" t="n">
        <v>7.028963030825074</v>
      </c>
      <c r="IN485" t="n">
        <v>7.206021759109757</v>
      </c>
      <c r="IO485" t="n">
        <v>6.893818768839431</v>
      </c>
      <c r="IP485" t="n">
        <v>6.885683909802002</v>
      </c>
      <c r="IQ485" t="n">
        <v>6.978496216094578</v>
      </c>
      <c r="KH485" t="n">
        <v>6.989</v>
      </c>
      <c r="KS485" t="n">
        <v>-2.93</v>
      </c>
      <c r="LD485" t="n">
        <v>1.33</v>
      </c>
    </row>
    <row r="486">
      <c r="A486" t="inlineStr">
        <is>
          <t>2026-04-24</t>
        </is>
      </c>
      <c r="B486" t="inlineStr">
        <is>
          <t>General Chem 26</t>
        </is>
      </c>
      <c r="C486" t="inlineStr">
        <is>
          <t>205426042401</t>
        </is>
      </c>
      <c r="D486" t="inlineStr">
        <is>
          <t>TBIL</t>
        </is>
      </c>
      <c r="F486" t="n">
        <v>20</v>
      </c>
      <c r="G486" t="n">
        <v>1.1</v>
      </c>
      <c r="H486" t="n">
        <v>23.1</v>
      </c>
      <c r="I486" t="n">
        <v>-20.9</v>
      </c>
      <c r="J486" t="n">
        <v>1.310115937048644</v>
      </c>
      <c r="K486" t="n">
        <v>1.285081404173936</v>
      </c>
      <c r="L486" t="n">
        <v>1.285519209768462</v>
      </c>
      <c r="M486" t="n">
        <v>1.364702800073224</v>
      </c>
      <c r="N486" t="n">
        <v>1.39322719246329</v>
      </c>
      <c r="O486" t="n">
        <v>1.229078557920761</v>
      </c>
      <c r="P486" t="n">
        <v>1.251090712232963</v>
      </c>
      <c r="Q486" t="n">
        <v>1.28689046453857</v>
      </c>
      <c r="R486" t="n">
        <v>1.393013436723038</v>
      </c>
      <c r="BH486" t="n">
        <v>1.311</v>
      </c>
      <c r="BS486" t="n">
        <v>19.18</v>
      </c>
      <c r="CD486" t="n">
        <v>4.3</v>
      </c>
      <c r="CF486" t="n">
        <v>20</v>
      </c>
      <c r="CG486" t="n">
        <v>5.1</v>
      </c>
      <c r="CH486" t="n">
        <v>107.1</v>
      </c>
      <c r="CI486" t="n">
        <v>-96.89999999999999</v>
      </c>
      <c r="CJ486" t="n">
        <v>5.368990749306751</v>
      </c>
      <c r="CK486" t="n">
        <v>5.148979829123497</v>
      </c>
      <c r="CL486" t="n">
        <v>5.10619661697429</v>
      </c>
      <c r="CM486" t="n">
        <v>5.228590314838228</v>
      </c>
      <c r="CN486" t="n">
        <v>5.193602949496985</v>
      </c>
      <c r="CO486" t="n">
        <v>4.806780536025793</v>
      </c>
      <c r="CP486" t="n">
        <v>4.858072767147447</v>
      </c>
      <c r="CQ486" t="n">
        <v>4.794836175860079</v>
      </c>
      <c r="EH486" t="n">
        <v>5.063</v>
      </c>
      <c r="ES486" t="n">
        <v>-0.72</v>
      </c>
      <c r="FD486" t="n">
        <v>3.99</v>
      </c>
      <c r="FF486" t="n">
        <v>20</v>
      </c>
      <c r="FG486" t="n">
        <v>0.8</v>
      </c>
      <c r="FH486" t="n">
        <v>16.8</v>
      </c>
      <c r="FI486" t="n">
        <v>-15.2</v>
      </c>
      <c r="FJ486" t="n">
        <v>0.685365511800101</v>
      </c>
      <c r="FK486" t="n">
        <v>0.6829259624080333</v>
      </c>
      <c r="FL486" t="n">
        <v>0.7180382458210328</v>
      </c>
      <c r="FM486" t="n">
        <v>0.7287062566547258</v>
      </c>
      <c r="FN486" t="n">
        <v>0.7375419466500848</v>
      </c>
      <c r="FO486" t="n">
        <v>0.650693955712458</v>
      </c>
      <c r="FP486" t="n">
        <v>0.6938084553541684</v>
      </c>
      <c r="FQ486" t="n">
        <v>0.6735582992838411</v>
      </c>
      <c r="HH486" t="n">
        <v>0.696</v>
      </c>
      <c r="HS486" t="n">
        <v>-12.96</v>
      </c>
      <c r="ID486" t="n">
        <v>3.97</v>
      </c>
      <c r="IF486" t="n">
        <v>20</v>
      </c>
      <c r="IG486" t="n">
        <v>8.4</v>
      </c>
      <c r="IH486" t="n">
        <v>176.4</v>
      </c>
      <c r="II486" t="n">
        <v>-159.6</v>
      </c>
      <c r="IJ486" t="n">
        <v>8.398477466541021</v>
      </c>
      <c r="IK486" t="n">
        <v>8.390695962128319</v>
      </c>
      <c r="IL486" t="n">
        <v>8.275657206960574</v>
      </c>
      <c r="IM486" t="n">
        <v>8.479725019201389</v>
      </c>
      <c r="IN486" t="n">
        <v>8.341340134052402</v>
      </c>
      <c r="IO486" t="n">
        <v>8.084416911420288</v>
      </c>
      <c r="IP486" t="n">
        <v>8.123035106873893</v>
      </c>
      <c r="IQ486" t="n">
        <v>8.189509130226295</v>
      </c>
      <c r="KH486" t="n">
        <v>8.285</v>
      </c>
      <c r="KS486" t="n">
        <v>-1.36</v>
      </c>
      <c r="LD486" t="n">
        <v>1.6</v>
      </c>
    </row>
    <row r="487">
      <c r="A487" t="inlineStr">
        <is>
          <t>2026-04-24</t>
        </is>
      </c>
      <c r="B487" t="inlineStr">
        <is>
          <t>Optimum Wellness 37</t>
        </is>
      </c>
      <c r="C487" t="inlineStr">
        <is>
          <t>109126042401</t>
        </is>
      </c>
      <c r="D487" t="inlineStr">
        <is>
          <t>ALB</t>
        </is>
      </c>
      <c r="F487" t="n">
        <v>8</v>
      </c>
      <c r="G487" t="n">
        <v>4.2</v>
      </c>
      <c r="H487" t="n">
        <v>37.8</v>
      </c>
      <c r="I487" t="n">
        <v>-29.4</v>
      </c>
      <c r="J487" t="n">
        <v>4.029226902734819</v>
      </c>
      <c r="K487" t="n">
        <v>4.121819666605875</v>
      </c>
      <c r="L487" t="n">
        <v>4.171981450392961</v>
      </c>
      <c r="M487" t="n">
        <v>4.113389154582228</v>
      </c>
      <c r="N487" t="n">
        <v>4.087259255129075</v>
      </c>
      <c r="O487" t="n">
        <v>4.099840992177111</v>
      </c>
      <c r="BH487" t="n">
        <v>4.104</v>
      </c>
      <c r="BS487" t="n">
        <v>-2.29</v>
      </c>
      <c r="CD487" t="n">
        <v>1.04</v>
      </c>
      <c r="CF487" t="n">
        <v>8</v>
      </c>
      <c r="CG487" t="n">
        <v>2.7</v>
      </c>
      <c r="CH487" t="n">
        <v>24.3</v>
      </c>
      <c r="CI487" t="n">
        <v>-18.9</v>
      </c>
      <c r="CJ487" t="n">
        <v>2.705108397686821</v>
      </c>
      <c r="CK487" t="n">
        <v>2.700330378359791</v>
      </c>
      <c r="CL487" t="n">
        <v>2.813121849746324</v>
      </c>
      <c r="CM487" t="n">
        <v>2.670781999039279</v>
      </c>
      <c r="CN487" t="n">
        <v>2.632033701866033</v>
      </c>
      <c r="CO487" t="n">
        <v>2.680153459415048</v>
      </c>
      <c r="EH487" t="n">
        <v>2.7</v>
      </c>
      <c r="ES487" t="n">
        <v>0.01</v>
      </c>
      <c r="FD487" t="n">
        <v>2.07</v>
      </c>
      <c r="FF487" t="n">
        <v>8</v>
      </c>
      <c r="FG487" t="n">
        <v>2.6</v>
      </c>
      <c r="FH487" t="n">
        <v>23.4</v>
      </c>
      <c r="FI487" t="n">
        <v>-18.2</v>
      </c>
      <c r="FJ487" t="n">
        <v>2.517510783291355</v>
      </c>
      <c r="FK487" t="n">
        <v>2.576516464001538</v>
      </c>
      <c r="FL487" t="n">
        <v>2.564010994976015</v>
      </c>
      <c r="FM487" t="n">
        <v>2.564056831410438</v>
      </c>
      <c r="FN487" t="n">
        <v>2.552415407626877</v>
      </c>
      <c r="HH487" t="n">
        <v>2.555</v>
      </c>
      <c r="HS487" t="n">
        <v>-1.73</v>
      </c>
      <c r="ID487" t="n">
        <v>0.79</v>
      </c>
      <c r="IF487" t="n">
        <v>8</v>
      </c>
      <c r="IG487" t="n">
        <v>4.2</v>
      </c>
      <c r="IH487" t="n">
        <v>37.8</v>
      </c>
      <c r="II487" t="n">
        <v>-29.4</v>
      </c>
      <c r="IJ487" t="n">
        <v>4.041310979362776</v>
      </c>
      <c r="IK487" t="n">
        <v>4.145172002916232</v>
      </c>
      <c r="IL487" t="n">
        <v>4.104957408922845</v>
      </c>
      <c r="IM487" t="n">
        <v>4.2024726120464</v>
      </c>
      <c r="IN487" t="n">
        <v>4.12897164174255</v>
      </c>
      <c r="KH487" t="n">
        <v>4.125</v>
      </c>
      <c r="KS487" t="n">
        <v>-1.8</v>
      </c>
      <c r="LD487" t="n">
        <v>1.28</v>
      </c>
    </row>
    <row r="488">
      <c r="A488" t="inlineStr">
        <is>
          <t>2026-04-24</t>
        </is>
      </c>
      <c r="B488" t="inlineStr">
        <is>
          <t>Optimum Wellness 37</t>
        </is>
      </c>
      <c r="C488" t="inlineStr">
        <is>
          <t>109126042401</t>
        </is>
      </c>
      <c r="D488" t="inlineStr">
        <is>
          <t>ALP</t>
        </is>
      </c>
      <c r="F488" t="n">
        <v>20</v>
      </c>
      <c r="G488" t="n">
        <v>136</v>
      </c>
      <c r="H488" t="n">
        <v>2856</v>
      </c>
      <c r="I488" t="n">
        <v>-2584</v>
      </c>
      <c r="J488" t="n">
        <v>140.8085963298066</v>
      </c>
      <c r="K488" t="n">
        <v>140.5156942815323</v>
      </c>
      <c r="L488" t="n">
        <v>140.6461727697572</v>
      </c>
      <c r="M488" t="n">
        <v>146.1935797398101</v>
      </c>
      <c r="N488" t="n">
        <v>144.5183471962604</v>
      </c>
      <c r="O488" t="n">
        <v>140.5403209939496</v>
      </c>
      <c r="BH488" t="n">
        <v>142.204</v>
      </c>
      <c r="BS488" t="n">
        <v>4.56</v>
      </c>
      <c r="CD488" t="n">
        <v>1.61</v>
      </c>
      <c r="CF488" t="n">
        <v>20</v>
      </c>
      <c r="CG488" t="n">
        <v>456</v>
      </c>
      <c r="CH488" t="n">
        <v>9576</v>
      </c>
      <c r="CI488" t="n">
        <v>-8664</v>
      </c>
      <c r="CJ488" t="n">
        <v>455.4611255752844</v>
      </c>
      <c r="CK488" t="n">
        <v>446.7181857760187</v>
      </c>
      <c r="CL488" t="n">
        <v>476.0576815846358</v>
      </c>
      <c r="CM488" t="n">
        <v>457.4226504173301</v>
      </c>
      <c r="CN488" t="n">
        <v>458.2147995223652</v>
      </c>
      <c r="CO488" t="n">
        <v>458.7555865054745</v>
      </c>
      <c r="EH488" t="n">
        <v>458.772</v>
      </c>
      <c r="ES488" t="n">
        <v>0.61</v>
      </c>
      <c r="FD488" t="n">
        <v>1.9</v>
      </c>
      <c r="FF488" t="n">
        <v>20</v>
      </c>
      <c r="FG488" t="n">
        <v>75</v>
      </c>
      <c r="FH488" t="n">
        <v>1575</v>
      </c>
      <c r="FI488" t="n">
        <v>-1425</v>
      </c>
      <c r="FJ488" t="n">
        <v>74.93192499779848</v>
      </c>
      <c r="FK488" t="n">
        <v>76.03118267881146</v>
      </c>
      <c r="FL488" t="n">
        <v>75.67205256120823</v>
      </c>
      <c r="FM488" t="n">
        <v>75.56746396131346</v>
      </c>
      <c r="FN488" t="n">
        <v>76.44811243169985</v>
      </c>
      <c r="HH488" t="n">
        <v>75.73</v>
      </c>
      <c r="HS488" t="n">
        <v>0.97</v>
      </c>
      <c r="ID488" t="n">
        <v>0.67</v>
      </c>
      <c r="IF488" t="n">
        <v>20</v>
      </c>
      <c r="IG488" t="n">
        <v>251</v>
      </c>
      <c r="IH488" t="n">
        <v>5271</v>
      </c>
      <c r="II488" t="n">
        <v>-4769</v>
      </c>
      <c r="IJ488" t="n">
        <v>228.4545323632894</v>
      </c>
      <c r="IK488" t="n">
        <v>223.8679972167199</v>
      </c>
      <c r="IL488" t="n">
        <v>225.2221369175288</v>
      </c>
      <c r="IM488" t="n">
        <v>229.0270873878443</v>
      </c>
      <c r="IN488" t="n">
        <v>225.3511931289724</v>
      </c>
      <c r="KH488" t="n">
        <v>226.385</v>
      </c>
      <c r="KS488" t="n">
        <v>-9.81</v>
      </c>
      <c r="LD488" t="n">
        <v>0.88</v>
      </c>
    </row>
    <row r="489">
      <c r="A489" t="inlineStr">
        <is>
          <t>2026-04-24</t>
        </is>
      </c>
      <c r="B489" t="inlineStr">
        <is>
          <t>Optimum Wellness 37</t>
        </is>
      </c>
      <c r="C489" t="inlineStr">
        <is>
          <t>109126042401</t>
        </is>
      </c>
      <c r="D489" t="inlineStr">
        <is>
          <t>ALT</t>
        </is>
      </c>
      <c r="F489" t="n">
        <v>15</v>
      </c>
      <c r="G489" t="n">
        <v>28</v>
      </c>
      <c r="H489" t="n">
        <v>448</v>
      </c>
      <c r="I489" t="n">
        <v>-392</v>
      </c>
      <c r="J489" t="n">
        <v>24.15887680524151</v>
      </c>
      <c r="K489" t="n">
        <v>27.16737515439932</v>
      </c>
      <c r="L489" t="n">
        <v>24.56028894806327</v>
      </c>
      <c r="M489" t="n">
        <v>25.7618644723183</v>
      </c>
      <c r="N489" t="n">
        <v>27.47302221620136</v>
      </c>
      <c r="O489" t="n">
        <v>31.02766883475013</v>
      </c>
      <c r="BH489" t="n">
        <v>26.692</v>
      </c>
      <c r="BS489" t="n">
        <v>-4.67</v>
      </c>
      <c r="CD489" t="n">
        <v>8.58</v>
      </c>
      <c r="CF489" t="n">
        <v>15</v>
      </c>
      <c r="CG489" t="n">
        <v>115</v>
      </c>
      <c r="CH489" t="n">
        <v>1840</v>
      </c>
      <c r="CI489" t="n">
        <v>-1610</v>
      </c>
      <c r="CJ489" t="n">
        <v>117.9117435079355</v>
      </c>
      <c r="CK489" t="n">
        <v>126.7742432946663</v>
      </c>
      <c r="CL489" t="n">
        <v>121.5982241498393</v>
      </c>
      <c r="CM489" t="n">
        <v>117.8818413021468</v>
      </c>
      <c r="CN489" t="n">
        <v>115.4021213752194</v>
      </c>
      <c r="CO489" t="n">
        <v>116.6952268278895</v>
      </c>
      <c r="EH489" t="n">
        <v>119.377</v>
      </c>
      <c r="ES489" t="n">
        <v>3.81</v>
      </c>
      <c r="FD489" t="n">
        <v>3.19</v>
      </c>
      <c r="FF489" t="n">
        <v>15</v>
      </c>
      <c r="FG489" t="n">
        <v>26</v>
      </c>
      <c r="FH489" t="n">
        <v>416</v>
      </c>
      <c r="FI489" t="n">
        <v>-364</v>
      </c>
      <c r="FJ489" t="n">
        <v>18.01157014910876</v>
      </c>
      <c r="FK489" t="n">
        <v>21.44537828207832</v>
      </c>
      <c r="FL489" t="n">
        <v>21.57147807098598</v>
      </c>
      <c r="FM489" t="n">
        <v>17.48129914339096</v>
      </c>
      <c r="FN489" t="n">
        <v>22.22162277626989</v>
      </c>
      <c r="HH489" t="n">
        <v>20.146</v>
      </c>
      <c r="HS489" t="n">
        <v>-22.51</v>
      </c>
      <c r="ID489" t="n">
        <v>9.85</v>
      </c>
      <c r="IF489" t="n">
        <v>15</v>
      </c>
      <c r="IG489" t="n">
        <v>217</v>
      </c>
      <c r="IH489" t="n">
        <v>3472</v>
      </c>
      <c r="II489" t="n">
        <v>-3038</v>
      </c>
      <c r="IJ489" t="n">
        <v>203.4793156968846</v>
      </c>
      <c r="IK489" t="n">
        <v>204.2924912257148</v>
      </c>
      <c r="IL489" t="n">
        <v>198.0213463431863</v>
      </c>
      <c r="IM489" t="n">
        <v>218.3793478286309</v>
      </c>
      <c r="IN489" t="n">
        <v>216.1297847864117</v>
      </c>
      <c r="KH489" t="n">
        <v>208.06</v>
      </c>
      <c r="KS489" t="n">
        <v>-4.12</v>
      </c>
      <c r="LD489" t="n">
        <v>3.77</v>
      </c>
    </row>
    <row r="490">
      <c r="A490" t="inlineStr">
        <is>
          <t>2026-04-24</t>
        </is>
      </c>
      <c r="B490" t="inlineStr">
        <is>
          <t>Optimum Wellness 37</t>
        </is>
      </c>
      <c r="C490" t="inlineStr">
        <is>
          <t>109126042401</t>
        </is>
      </c>
      <c r="D490" t="inlineStr">
        <is>
          <t>BUN</t>
        </is>
      </c>
      <c r="F490" t="n">
        <v>9</v>
      </c>
      <c r="G490" t="n">
        <v>14.8</v>
      </c>
      <c r="H490" t="n">
        <v>148</v>
      </c>
      <c r="I490" t="n">
        <v>-118.4</v>
      </c>
      <c r="J490" t="n">
        <v>13.83186998824708</v>
      </c>
      <c r="K490" t="n">
        <v>14.31873014827207</v>
      </c>
      <c r="L490" t="n">
        <v>14.7143394335441</v>
      </c>
      <c r="M490" t="n">
        <v>14.65455847030447</v>
      </c>
      <c r="N490" t="n">
        <v>14.4164178299707</v>
      </c>
      <c r="O490" t="n">
        <v>14.2162230427759</v>
      </c>
      <c r="BH490" t="n">
        <v>14.359</v>
      </c>
      <c r="BS490" t="n">
        <v>-2.98</v>
      </c>
      <c r="CD490" t="n">
        <v>2.04</v>
      </c>
      <c r="CF490" t="n">
        <v>9</v>
      </c>
      <c r="CG490" t="n">
        <v>44.7</v>
      </c>
      <c r="CH490" t="n">
        <v>447</v>
      </c>
      <c r="CI490" t="n">
        <v>-357.6</v>
      </c>
      <c r="CJ490" t="n">
        <v>43.66016110484497</v>
      </c>
      <c r="CK490" t="n">
        <v>44.1559512645549</v>
      </c>
      <c r="CL490" t="n">
        <v>45.30692986520261</v>
      </c>
      <c r="CM490" t="n">
        <v>44.83808000289498</v>
      </c>
      <c r="CN490" t="n">
        <v>44.39234460137759</v>
      </c>
      <c r="CO490" t="n">
        <v>45.09068251172219</v>
      </c>
      <c r="EH490" t="n">
        <v>44.574</v>
      </c>
      <c r="ES490" t="n">
        <v>-0.28</v>
      </c>
      <c r="FD490" t="n">
        <v>1.27</v>
      </c>
      <c r="FF490" t="n">
        <v>9</v>
      </c>
      <c r="FG490" t="n">
        <v>14.7</v>
      </c>
      <c r="FH490" t="n">
        <v>147</v>
      </c>
      <c r="FI490" t="n">
        <v>-117.6</v>
      </c>
      <c r="FJ490" t="n">
        <v>14.44850942956024</v>
      </c>
      <c r="FK490" t="n">
        <v>14.87375239368512</v>
      </c>
      <c r="FL490" t="n">
        <v>14.86054160783964</v>
      </c>
      <c r="FM490" t="n">
        <v>14.63706490653054</v>
      </c>
      <c r="FN490" t="n">
        <v>14.48484440567227</v>
      </c>
      <c r="HH490" t="n">
        <v>14.661</v>
      </c>
      <c r="HS490" t="n">
        <v>-0.27</v>
      </c>
      <c r="ID490" t="n">
        <v>1.23</v>
      </c>
      <c r="IF490" t="n">
        <v>9</v>
      </c>
      <c r="IG490" t="n">
        <v>65.7</v>
      </c>
      <c r="IH490" t="n">
        <v>657</v>
      </c>
      <c r="II490" t="n">
        <v>-525.6</v>
      </c>
      <c r="IJ490" t="n">
        <v>65.01037555740753</v>
      </c>
      <c r="IK490" t="n">
        <v>66.64336211908898</v>
      </c>
      <c r="IL490" t="n">
        <v>65.06522995097252</v>
      </c>
      <c r="IM490" t="n">
        <v>65.65277601664218</v>
      </c>
      <c r="IN490" t="n">
        <v>66.08397053975588</v>
      </c>
      <c r="KH490" t="n">
        <v>65.691</v>
      </c>
      <c r="KS490" t="n">
        <v>-0.01</v>
      </c>
      <c r="LD490" t="n">
        <v>0.9399999999999999</v>
      </c>
    </row>
    <row r="491">
      <c r="A491" t="inlineStr">
        <is>
          <t>2026-04-24</t>
        </is>
      </c>
      <c r="B491" t="inlineStr">
        <is>
          <t>Optimum Wellness 37</t>
        </is>
      </c>
      <c r="C491" t="inlineStr">
        <is>
          <t>109126042401</t>
        </is>
      </c>
      <c r="D491" t="inlineStr">
        <is>
          <t>CREA</t>
        </is>
      </c>
      <c r="F491" t="n">
        <v>10</v>
      </c>
      <c r="G491" t="n">
        <v>1.5</v>
      </c>
      <c r="H491" t="n">
        <v>16.5</v>
      </c>
      <c r="I491" t="n">
        <v>-13.5</v>
      </c>
      <c r="J491" t="n">
        <v>1.258770450846756</v>
      </c>
      <c r="K491" t="n">
        <v>1.27702262260279</v>
      </c>
      <c r="L491" t="n">
        <v>1.335872315994675</v>
      </c>
      <c r="M491" t="n">
        <v>1.29987836852799</v>
      </c>
      <c r="N491" t="n">
        <v>1.319457705442761</v>
      </c>
      <c r="O491" t="n">
        <v>1.322255614410774</v>
      </c>
      <c r="BH491" t="n">
        <v>1.302</v>
      </c>
      <c r="BS491" t="n">
        <v>-13.19</v>
      </c>
      <c r="CD491" t="n">
        <v>2.07</v>
      </c>
      <c r="CF491" t="n">
        <v>10</v>
      </c>
      <c r="CG491" t="n">
        <v>5.55</v>
      </c>
      <c r="CH491" t="n">
        <v>61.05</v>
      </c>
      <c r="CI491" t="n">
        <v>-49.95</v>
      </c>
      <c r="CJ491" t="n">
        <v>4.600562688228918</v>
      </c>
      <c r="CK491" t="n">
        <v>4.536343851501166</v>
      </c>
      <c r="CL491" t="n">
        <v>4.736692292102382</v>
      </c>
      <c r="CM491" t="n">
        <v>4.61509746316769</v>
      </c>
      <c r="CN491" t="n">
        <v>4.639924062783962</v>
      </c>
      <c r="CO491" t="n">
        <v>4.70751354919939</v>
      </c>
      <c r="EH491" t="n">
        <v>4.639</v>
      </c>
      <c r="ES491" t="n">
        <v>-16.41</v>
      </c>
      <c r="FD491" t="n">
        <v>1.44</v>
      </c>
      <c r="FF491" t="n">
        <v>10</v>
      </c>
      <c r="FG491" t="n">
        <v>0.97</v>
      </c>
      <c r="FH491" t="n">
        <v>10.67</v>
      </c>
      <c r="FI491" t="n">
        <v>-8.73</v>
      </c>
      <c r="FJ491" t="n">
        <v>0.7009530322813413</v>
      </c>
      <c r="FK491" t="n">
        <v>0.6795457463952781</v>
      </c>
      <c r="FL491" t="n">
        <v>0.6925752207082817</v>
      </c>
      <c r="FM491" t="n">
        <v>0.7125987530203597</v>
      </c>
      <c r="FN491" t="n">
        <v>0.7260202097348911</v>
      </c>
      <c r="HH491" t="n">
        <v>0.702</v>
      </c>
      <c r="HS491" t="n">
        <v>-27.59</v>
      </c>
      <c r="ID491" t="n">
        <v>2.28</v>
      </c>
      <c r="IF491" t="n">
        <v>10</v>
      </c>
      <c r="IG491" t="n">
        <v>5.95</v>
      </c>
      <c r="IH491" t="n">
        <v>65.45</v>
      </c>
      <c r="II491" t="n">
        <v>-53.55</v>
      </c>
      <c r="IJ491" t="n">
        <v>5.274468450257849</v>
      </c>
      <c r="IK491" t="n">
        <v>5.364005706674151</v>
      </c>
      <c r="IL491" t="n">
        <v>5.173929649946562</v>
      </c>
      <c r="IM491" t="n">
        <v>5.3472400124975</v>
      </c>
      <c r="IN491" t="n">
        <v>5.455509150478904</v>
      </c>
      <c r="KH491" t="n">
        <v>5.323</v>
      </c>
      <c r="KS491" t="n">
        <v>-10.54</v>
      </c>
      <c r="LD491" t="n">
        <v>1.77</v>
      </c>
    </row>
    <row r="492">
      <c r="A492" t="inlineStr">
        <is>
          <t>2026-04-24</t>
        </is>
      </c>
      <c r="B492" t="inlineStr">
        <is>
          <t>Optimum Wellness 37</t>
        </is>
      </c>
      <c r="C492" t="inlineStr">
        <is>
          <t>109126042401</t>
        </is>
      </c>
      <c r="D492" t="inlineStr">
        <is>
          <t>GLU</t>
        </is>
      </c>
      <c r="F492" t="n">
        <v>8</v>
      </c>
      <c r="G492" t="n">
        <v>90.16</v>
      </c>
      <c r="H492" t="n">
        <v>811.4399999999999</v>
      </c>
      <c r="I492" t="n">
        <v>-631.12</v>
      </c>
      <c r="J492" t="n">
        <v>90.62438493859857</v>
      </c>
      <c r="K492" t="n">
        <v>90.71156695184715</v>
      </c>
      <c r="L492" t="n">
        <v>92.3650855125929</v>
      </c>
      <c r="M492" t="n">
        <v>93.22175741558399</v>
      </c>
      <c r="N492" t="n">
        <v>93.05944468637972</v>
      </c>
      <c r="O492" t="n">
        <v>93.16994128526659</v>
      </c>
      <c r="BH492" t="n">
        <v>92.19199999999999</v>
      </c>
      <c r="BS492" t="n">
        <v>2.25</v>
      </c>
      <c r="CD492" t="n">
        <v>1.21</v>
      </c>
      <c r="CF492" t="n">
        <v>8</v>
      </c>
      <c r="CG492" t="n">
        <v>293.02</v>
      </c>
      <c r="CH492" t="n">
        <v>2637.18</v>
      </c>
      <c r="CI492" t="n">
        <v>-2051.14</v>
      </c>
      <c r="CJ492" t="n">
        <v>298.4871209444568</v>
      </c>
      <c r="CK492" t="n">
        <v>297.5519418077353</v>
      </c>
      <c r="CL492" t="n">
        <v>312.5975616929604</v>
      </c>
      <c r="CM492" t="n">
        <v>300.7782688556804</v>
      </c>
      <c r="CN492" t="n">
        <v>299.9524472255468</v>
      </c>
      <c r="CO492" t="n">
        <v>302.5355750486186</v>
      </c>
      <c r="EH492" t="n">
        <v>301.984</v>
      </c>
      <c r="ES492" t="n">
        <v>3.06</v>
      </c>
      <c r="FD492" t="n">
        <v>1.66</v>
      </c>
      <c r="FF492" t="n">
        <v>8</v>
      </c>
      <c r="FG492" t="n">
        <v>65.66</v>
      </c>
      <c r="FH492" t="n">
        <v>590.9399999999999</v>
      </c>
      <c r="FI492" t="n">
        <v>-459.62</v>
      </c>
      <c r="FJ492" t="n">
        <v>66.1999381324469</v>
      </c>
      <c r="FK492" t="n">
        <v>66.08509651747569</v>
      </c>
      <c r="FL492" t="n">
        <v>66.81390237689219</v>
      </c>
      <c r="FM492" t="n">
        <v>67.46699582744574</v>
      </c>
      <c r="FN492" t="n">
        <v>67.55603073389319</v>
      </c>
      <c r="HH492" t="n">
        <v>66.824</v>
      </c>
      <c r="HS492" t="n">
        <v>1.77</v>
      </c>
      <c r="ID492" t="n">
        <v>0.92</v>
      </c>
      <c r="IF492" t="n">
        <v>8</v>
      </c>
      <c r="IG492" t="n">
        <v>359.66</v>
      </c>
      <c r="IH492" t="n">
        <v>3236.94</v>
      </c>
      <c r="II492" t="n">
        <v>-2517.62</v>
      </c>
      <c r="IJ492" t="n">
        <v>361.0884382699546</v>
      </c>
      <c r="IK492" t="n">
        <v>366.5256397279666</v>
      </c>
      <c r="IL492" t="n">
        <v>365.7285940686442</v>
      </c>
      <c r="IM492" t="n">
        <v>374.1001596854001</v>
      </c>
      <c r="IN492" t="n">
        <v>370.3818126798408</v>
      </c>
      <c r="KH492" t="n">
        <v>367.565</v>
      </c>
      <c r="KS492" t="n">
        <v>2.2</v>
      </c>
      <c r="LD492" t="n">
        <v>1.2</v>
      </c>
    </row>
    <row r="493">
      <c r="A493" t="inlineStr">
        <is>
          <t>2026-04-24</t>
        </is>
      </c>
      <c r="B493" t="inlineStr">
        <is>
          <t>Optimum Wellness 37</t>
        </is>
      </c>
      <c r="C493" t="inlineStr">
        <is>
          <t>109126042401</t>
        </is>
      </c>
      <c r="D493" t="inlineStr">
        <is>
          <t>TP</t>
        </is>
      </c>
      <c r="F493" t="n">
        <v>8</v>
      </c>
      <c r="G493" t="n">
        <v>6.4</v>
      </c>
      <c r="H493" t="n">
        <v>57.6</v>
      </c>
      <c r="I493" t="n">
        <v>-44.8</v>
      </c>
      <c r="J493" t="n">
        <v>6.355912058150158</v>
      </c>
      <c r="K493" t="n">
        <v>6.512395393264864</v>
      </c>
      <c r="L493" t="n">
        <v>6.518857094424485</v>
      </c>
      <c r="M493" t="n">
        <v>6.614097253124015</v>
      </c>
      <c r="N493" t="n">
        <v>6.517463606262602</v>
      </c>
      <c r="O493" t="n">
        <v>6.514398462210732</v>
      </c>
      <c r="BH493" t="n">
        <v>6.506</v>
      </c>
      <c r="BS493" t="n">
        <v>1.65</v>
      </c>
      <c r="CD493" t="n">
        <v>1.17</v>
      </c>
      <c r="CF493" t="n">
        <v>8</v>
      </c>
      <c r="CG493" t="n">
        <v>4.1</v>
      </c>
      <c r="CH493" t="n">
        <v>36.9</v>
      </c>
      <c r="CI493" t="n">
        <v>-28.7</v>
      </c>
      <c r="CJ493" t="n">
        <v>4.17142467650371</v>
      </c>
      <c r="CK493" t="n">
        <v>4.186549523010564</v>
      </c>
      <c r="CL493" t="n">
        <v>4.3395490415372</v>
      </c>
      <c r="CM493" t="n">
        <v>4.165894511580589</v>
      </c>
      <c r="CN493" t="n">
        <v>4.250651651099574</v>
      </c>
      <c r="CO493" t="n">
        <v>4.18805532436796</v>
      </c>
      <c r="EH493" t="n">
        <v>4.217</v>
      </c>
      <c r="ES493" t="n">
        <v>2.85</v>
      </c>
      <c r="FD493" t="n">
        <v>1.46</v>
      </c>
      <c r="FF493" t="n">
        <v>8</v>
      </c>
      <c r="FG493" t="n">
        <v>4.2</v>
      </c>
      <c r="FH493" t="n">
        <v>37.8</v>
      </c>
      <c r="FI493" t="n">
        <v>-29.4</v>
      </c>
      <c r="FJ493" t="n">
        <v>3.877718951676352</v>
      </c>
      <c r="FK493" t="n">
        <v>3.940332443237034</v>
      </c>
      <c r="FL493" t="n">
        <v>3.980324641553542</v>
      </c>
      <c r="FM493" t="n">
        <v>3.901419739695179</v>
      </c>
      <c r="FN493" t="n">
        <v>3.886376387899756</v>
      </c>
      <c r="HH493" t="n">
        <v>3.917</v>
      </c>
      <c r="HS493" t="n">
        <v>-6.73</v>
      </c>
      <c r="ID493" t="n">
        <v>0.97</v>
      </c>
      <c r="IF493" t="n">
        <v>8</v>
      </c>
      <c r="IG493" t="n">
        <v>7.5</v>
      </c>
      <c r="IH493" t="n">
        <v>67.5</v>
      </c>
      <c r="II493" t="n">
        <v>-52.5</v>
      </c>
      <c r="IJ493" t="n">
        <v>7.323973525261353</v>
      </c>
      <c r="IK493" t="n">
        <v>7.390079773035817</v>
      </c>
      <c r="IL493" t="n">
        <v>7.38814292683537</v>
      </c>
      <c r="IM493" t="n">
        <v>7.585292089897923</v>
      </c>
      <c r="IN493" t="n">
        <v>7.50789100610516</v>
      </c>
      <c r="KH493" t="n">
        <v>7.439</v>
      </c>
      <c r="KS493" t="n">
        <v>-0.8100000000000001</v>
      </c>
      <c r="LD493" t="n">
        <v>1.27</v>
      </c>
    </row>
    <row r="494">
      <c r="A494" t="inlineStr">
        <is>
          <t>2026-04-24</t>
        </is>
      </c>
      <c r="B494" t="inlineStr">
        <is>
          <t>General Chem 26</t>
        </is>
      </c>
      <c r="C494" t="inlineStr">
        <is>
          <t>105326042401</t>
        </is>
      </c>
      <c r="D494" t="inlineStr">
        <is>
          <t>ALB</t>
        </is>
      </c>
      <c r="F494" t="n">
        <v>8</v>
      </c>
      <c r="G494" t="n">
        <v>4.2</v>
      </c>
      <c r="H494" t="n">
        <v>37.8</v>
      </c>
      <c r="I494" t="n">
        <v>-29.4</v>
      </c>
      <c r="J494" t="n">
        <v>4.010456014449543</v>
      </c>
      <c r="K494" t="n">
        <v>3.927701143935022</v>
      </c>
      <c r="L494" t="n">
        <v>4.003417484086631</v>
      </c>
      <c r="M494" t="n">
        <v>4.161749279678618</v>
      </c>
      <c r="N494" t="n">
        <v>3.965218243910178</v>
      </c>
      <c r="O494" t="n">
        <v>3.997488605252471</v>
      </c>
      <c r="P494" t="n">
        <v>4.08402991375487</v>
      </c>
      <c r="Q494" t="n">
        <v>4.126491632428358</v>
      </c>
      <c r="R494" t="n">
        <v>4.117274810228567</v>
      </c>
      <c r="BH494" t="n">
        <v>4.044</v>
      </c>
      <c r="BS494" t="n">
        <v>-3.72</v>
      </c>
      <c r="CD494" t="n">
        <v>1.89</v>
      </c>
      <c r="CF494" t="n">
        <v>8</v>
      </c>
      <c r="CG494" t="n">
        <v>2.7</v>
      </c>
      <c r="CH494" t="n">
        <v>24.3</v>
      </c>
      <c r="CI494" t="n">
        <v>-18.9</v>
      </c>
      <c r="CJ494" t="n">
        <v>2.787107087076277</v>
      </c>
      <c r="CK494" t="n">
        <v>2.72326400427559</v>
      </c>
      <c r="CL494" t="n">
        <v>2.738839874285623</v>
      </c>
      <c r="CM494" t="n">
        <v>2.771676084618563</v>
      </c>
      <c r="CN494" t="n">
        <v>2.721236787993502</v>
      </c>
      <c r="CO494" t="n">
        <v>2.82635243840001</v>
      </c>
      <c r="CP494" t="n">
        <v>2.755349482027094</v>
      </c>
      <c r="CQ494" t="n">
        <v>2.77784670720418</v>
      </c>
      <c r="EH494" t="n">
        <v>2.763</v>
      </c>
      <c r="ES494" t="n">
        <v>2.32</v>
      </c>
      <c r="FD494" t="n">
        <v>1.2</v>
      </c>
      <c r="FF494" t="n">
        <v>8</v>
      </c>
      <c r="FG494" t="n">
        <v>2.6</v>
      </c>
      <c r="FH494" t="n">
        <v>23.4</v>
      </c>
      <c r="FI494" t="n">
        <v>-18.2</v>
      </c>
      <c r="FJ494" t="n">
        <v>2.580623732898857</v>
      </c>
      <c r="FK494" t="n">
        <v>0.9669451073539799</v>
      </c>
      <c r="FL494" t="n">
        <v>2.570067197906555</v>
      </c>
      <c r="FM494" t="n">
        <v>2.615763127327558</v>
      </c>
      <c r="FN494" t="n">
        <v>2.545087718979454</v>
      </c>
      <c r="FO494" t="n">
        <v>2.564874549986607</v>
      </c>
      <c r="FP494" t="n">
        <v>2.619507274920719</v>
      </c>
      <c r="FQ494" t="n">
        <v>2.622713197963521</v>
      </c>
      <c r="HH494" t="n">
        <v>2.386</v>
      </c>
      <c r="HS494" t="n">
        <v>-8.24</v>
      </c>
      <c r="ID494" t="n">
        <v>22.51</v>
      </c>
      <c r="IF494" t="n">
        <v>8</v>
      </c>
      <c r="IG494" t="n">
        <v>4.2</v>
      </c>
      <c r="IH494" t="n">
        <v>37.8</v>
      </c>
      <c r="II494" t="n">
        <v>-29.4</v>
      </c>
      <c r="IJ494" t="n">
        <v>3.950382359177982</v>
      </c>
      <c r="IK494" t="n">
        <v>1.367547378615971</v>
      </c>
      <c r="IL494" t="n">
        <v>4.035596652641713</v>
      </c>
      <c r="IM494" t="n">
        <v>4.06652168612241</v>
      </c>
      <c r="IN494" t="n">
        <v>4.063144585505314</v>
      </c>
      <c r="IO494" t="n">
        <v>4.078308248111084</v>
      </c>
      <c r="IP494" t="n">
        <v>4.106701779075665</v>
      </c>
      <c r="IQ494" t="n">
        <v>4.112827940226186</v>
      </c>
      <c r="KH494" t="n">
        <v>3.723</v>
      </c>
      <c r="KS494" t="n">
        <v>-11.37</v>
      </c>
      <c r="LD494" t="n">
        <v>23.95</v>
      </c>
    </row>
    <row r="495">
      <c r="A495" t="inlineStr">
        <is>
          <t>2026-04-24</t>
        </is>
      </c>
      <c r="B495" t="inlineStr">
        <is>
          <t>General Chem 26</t>
        </is>
      </c>
      <c r="C495" t="inlineStr">
        <is>
          <t>105326042401</t>
        </is>
      </c>
      <c r="D495" t="inlineStr">
        <is>
          <t>ALP</t>
        </is>
      </c>
      <c r="F495" t="n">
        <v>20</v>
      </c>
      <c r="G495" t="n">
        <v>136</v>
      </c>
      <c r="H495" t="n">
        <v>2856</v>
      </c>
      <c r="I495" t="n">
        <v>-2584</v>
      </c>
      <c r="J495" t="n">
        <v>140.9524172714934</v>
      </c>
      <c r="K495" t="n">
        <v>141.4513469022673</v>
      </c>
      <c r="L495" t="n">
        <v>141.0643694659694</v>
      </c>
      <c r="M495" t="n">
        <v>141.3677552089527</v>
      </c>
      <c r="N495" t="n">
        <v>140.5058796196487</v>
      </c>
      <c r="O495" t="n">
        <v>143.4706526327692</v>
      </c>
      <c r="P495" t="n">
        <v>145.5468294252807</v>
      </c>
      <c r="Q495" t="n">
        <v>145.0635491890475</v>
      </c>
      <c r="R495" t="n">
        <v>145.0364646717515</v>
      </c>
      <c r="BH495" t="n">
        <v>142.718</v>
      </c>
      <c r="BS495" t="n">
        <v>4.94</v>
      </c>
      <c r="CD495" t="n">
        <v>1.35</v>
      </c>
      <c r="CF495" t="n">
        <v>20</v>
      </c>
      <c r="CG495" t="n">
        <v>456</v>
      </c>
      <c r="CH495" t="n">
        <v>9576</v>
      </c>
      <c r="CI495" t="n">
        <v>-8664</v>
      </c>
      <c r="CJ495" t="n">
        <v>455.7104854118401</v>
      </c>
      <c r="CK495" t="n">
        <v>453.3092059512653</v>
      </c>
      <c r="CL495" t="n">
        <v>448.4275676301731</v>
      </c>
      <c r="CM495" t="n">
        <v>449.1759523490325</v>
      </c>
      <c r="CN495" t="n">
        <v>444.9533305154724</v>
      </c>
      <c r="CO495" t="n">
        <v>453.4694006107929</v>
      </c>
      <c r="CP495" t="n">
        <v>454.0608723035171</v>
      </c>
      <c r="CQ495" t="n">
        <v>443.9468411417098</v>
      </c>
      <c r="EH495" t="n">
        <v>450.382</v>
      </c>
      <c r="ES495" t="n">
        <v>-1.23</v>
      </c>
      <c r="FD495" t="n">
        <v>0.92</v>
      </c>
      <c r="FF495" t="n">
        <v>20</v>
      </c>
      <c r="FG495" t="n">
        <v>75</v>
      </c>
      <c r="FH495" t="n">
        <v>1575</v>
      </c>
      <c r="FI495" t="n">
        <v>-1425</v>
      </c>
      <c r="FJ495" t="n">
        <v>76.902800226807</v>
      </c>
      <c r="FK495" t="n">
        <v>68.48905429377062</v>
      </c>
      <c r="FL495" t="n">
        <v>76.66841421597941</v>
      </c>
      <c r="FM495" t="n">
        <v>76.58223370075521</v>
      </c>
      <c r="FN495" t="n">
        <v>77.89245817746745</v>
      </c>
      <c r="FO495" t="n">
        <v>77.95299444931308</v>
      </c>
      <c r="FP495" t="n">
        <v>77.31709177019495</v>
      </c>
      <c r="FQ495" t="n">
        <v>78.03389143918577</v>
      </c>
      <c r="HH495" t="n">
        <v>76.23</v>
      </c>
      <c r="HS495" t="n">
        <v>1.64</v>
      </c>
      <c r="ID495" t="n">
        <v>3.9</v>
      </c>
      <c r="IF495" t="n">
        <v>20</v>
      </c>
      <c r="IG495" t="n">
        <v>251</v>
      </c>
      <c r="IH495" t="n">
        <v>5271</v>
      </c>
      <c r="II495" t="n">
        <v>-4769</v>
      </c>
      <c r="IJ495" t="n">
        <v>223.3824996134263</v>
      </c>
      <c r="IK495" t="n">
        <v>117.2071779089173</v>
      </c>
      <c r="IL495" t="n">
        <v>227.4390091085178</v>
      </c>
      <c r="IM495" t="n">
        <v>223.3942851246801</v>
      </c>
      <c r="IN495" t="n">
        <v>224.3978551092361</v>
      </c>
      <c r="IO495" t="n">
        <v>235.7693875227952</v>
      </c>
      <c r="IP495" t="n">
        <v>228.1415826379771</v>
      </c>
      <c r="IQ495" t="n">
        <v>227.0600676501028</v>
      </c>
      <c r="KH495" t="n">
        <v>213.349</v>
      </c>
      <c r="KS495" t="n">
        <v>-15</v>
      </c>
      <c r="LD495" t="n">
        <v>17.12</v>
      </c>
    </row>
    <row r="496">
      <c r="A496" t="inlineStr">
        <is>
          <t>2026-04-24</t>
        </is>
      </c>
      <c r="B496" t="inlineStr">
        <is>
          <t>General Chem 26</t>
        </is>
      </c>
      <c r="C496" t="inlineStr">
        <is>
          <t>105326042401</t>
        </is>
      </c>
      <c r="D496" t="inlineStr">
        <is>
          <t>ALT</t>
        </is>
      </c>
      <c r="F496" t="n">
        <v>15</v>
      </c>
      <c r="G496" t="n">
        <v>28</v>
      </c>
      <c r="H496" t="n">
        <v>448</v>
      </c>
      <c r="I496" t="n">
        <v>-392</v>
      </c>
      <c r="J496" t="n">
        <v>25.01217673115568</v>
      </c>
      <c r="K496" t="n">
        <v>20.61790621035134</v>
      </c>
      <c r="L496" t="n">
        <v>20.369172352945</v>
      </c>
      <c r="M496" t="n">
        <v>21.1170650143476</v>
      </c>
      <c r="N496" t="n">
        <v>22.24076282189555</v>
      </c>
      <c r="O496" t="n">
        <v>23.09878136150543</v>
      </c>
      <c r="P496" t="n">
        <v>27.35821140301035</v>
      </c>
      <c r="Q496" t="n">
        <v>28.03239510838829</v>
      </c>
      <c r="R496" t="n">
        <v>28.1520847645398</v>
      </c>
      <c r="BH496" t="n">
        <v>24</v>
      </c>
      <c r="BS496" t="n">
        <v>-14.29</v>
      </c>
      <c r="CD496" t="n">
        <v>12.63</v>
      </c>
      <c r="CF496" t="n">
        <v>15</v>
      </c>
      <c r="CG496" t="n">
        <v>115</v>
      </c>
      <c r="CH496" t="n">
        <v>1840</v>
      </c>
      <c r="CI496" t="n">
        <v>-1610</v>
      </c>
      <c r="CJ496" t="n">
        <v>120.8940186570858</v>
      </c>
      <c r="CK496" t="n">
        <v>113.3584203383683</v>
      </c>
      <c r="CL496" t="n">
        <v>116.7250330494282</v>
      </c>
      <c r="CM496" t="n">
        <v>113.2856386148527</v>
      </c>
      <c r="CN496" t="n">
        <v>118.2109884200665</v>
      </c>
      <c r="CO496" t="n">
        <v>115.4938123915338</v>
      </c>
      <c r="CP496" t="n">
        <v>118.7814376781324</v>
      </c>
      <c r="CQ496" t="n">
        <v>116.7691247519165</v>
      </c>
      <c r="EH496" t="n">
        <v>116.69</v>
      </c>
      <c r="ES496" t="n">
        <v>1.47</v>
      </c>
      <c r="FD496" t="n">
        <v>2.11</v>
      </c>
      <c r="FF496" t="n">
        <v>15</v>
      </c>
      <c r="FG496" t="n">
        <v>26</v>
      </c>
      <c r="FH496" t="n">
        <v>416</v>
      </c>
      <c r="FI496" t="n">
        <v>-364</v>
      </c>
      <c r="FJ496" t="n">
        <v>21.57746555987671</v>
      </c>
      <c r="FK496" t="n">
        <v>2.056139275813385</v>
      </c>
      <c r="FL496" t="n">
        <v>21.01628617867227</v>
      </c>
      <c r="FM496" t="n">
        <v>27.32073751008489</v>
      </c>
      <c r="FN496" t="n">
        <v>23.33772754661384</v>
      </c>
      <c r="FO496" t="n">
        <v>20.44063956109484</v>
      </c>
      <c r="FP496" t="n">
        <v>20.49377289439403</v>
      </c>
      <c r="FQ496" t="n">
        <v>21.24969323668325</v>
      </c>
      <c r="HH496" t="n">
        <v>19.687</v>
      </c>
      <c r="HS496" t="n">
        <v>-24.28</v>
      </c>
      <c r="ID496" t="n">
        <v>35.53</v>
      </c>
      <c r="IF496" t="n">
        <v>15</v>
      </c>
      <c r="IG496" t="n">
        <v>217</v>
      </c>
      <c r="IH496" t="n">
        <v>3472</v>
      </c>
      <c r="II496" t="n">
        <v>-3038</v>
      </c>
      <c r="IJ496" t="n">
        <v>209.6389418057123</v>
      </c>
      <c r="IK496" t="n">
        <v>55.16596386342157</v>
      </c>
      <c r="IL496" t="n">
        <v>204.5320671948061</v>
      </c>
      <c r="IM496" t="n">
        <v>203.8450307925474</v>
      </c>
      <c r="IN496" t="n">
        <v>206.2942588096675</v>
      </c>
      <c r="IO496" t="n">
        <v>207.2458118627199</v>
      </c>
      <c r="IP496" t="n">
        <v>201.1676462831904</v>
      </c>
      <c r="IQ496" t="n">
        <v>204.4385819004795</v>
      </c>
      <c r="KH496" t="n">
        <v>186.541</v>
      </c>
      <c r="KS496" t="n">
        <v>-14.04</v>
      </c>
      <c r="LD496" t="n">
        <v>26.65</v>
      </c>
    </row>
    <row r="497">
      <c r="A497" t="inlineStr">
        <is>
          <t>2026-04-24</t>
        </is>
      </c>
      <c r="B497" t="inlineStr">
        <is>
          <t>General Chem 26</t>
        </is>
      </c>
      <c r="C497" t="inlineStr">
        <is>
          <t>105326042401</t>
        </is>
      </c>
      <c r="D497" t="inlineStr">
        <is>
          <t>BUN</t>
        </is>
      </c>
      <c r="F497" t="n">
        <v>9</v>
      </c>
      <c r="G497" t="n">
        <v>14.8</v>
      </c>
      <c r="H497" t="n">
        <v>148</v>
      </c>
      <c r="I497" t="n">
        <v>-118.4</v>
      </c>
      <c r="J497" t="n">
        <v>14.32077201006752</v>
      </c>
      <c r="K497" t="n">
        <v>14.36712471850718</v>
      </c>
      <c r="L497" t="n">
        <v>14.04399157509939</v>
      </c>
      <c r="M497" t="n">
        <v>14.10228984100329</v>
      </c>
      <c r="N497" t="n">
        <v>14.42751951561761</v>
      </c>
      <c r="O497" t="n">
        <v>14.35383711540972</v>
      </c>
      <c r="P497" t="n">
        <v>14.15517562228986</v>
      </c>
      <c r="Q497" t="n">
        <v>14.64720041170274</v>
      </c>
      <c r="R497" t="n">
        <v>14.15439149036785</v>
      </c>
      <c r="BH497" t="n">
        <v>14.286</v>
      </c>
      <c r="BS497" t="n">
        <v>-3.47</v>
      </c>
      <c r="CD497" t="n">
        <v>1.26</v>
      </c>
      <c r="CF497" t="n">
        <v>9</v>
      </c>
      <c r="CG497" t="n">
        <v>44.7</v>
      </c>
      <c r="CH497" t="n">
        <v>447</v>
      </c>
      <c r="CI497" t="n">
        <v>-357.6</v>
      </c>
      <c r="CJ497" t="n">
        <v>45.2770615735622</v>
      </c>
      <c r="CK497" t="n">
        <v>43.95336945959535</v>
      </c>
      <c r="CL497" t="n">
        <v>43.91338127819075</v>
      </c>
      <c r="CM497" t="n">
        <v>44.27998818307991</v>
      </c>
      <c r="CN497" t="n">
        <v>44.12814538106706</v>
      </c>
      <c r="CO497" t="n">
        <v>43.12618591351442</v>
      </c>
      <c r="CP497" t="n">
        <v>43.42358155183071</v>
      </c>
      <c r="CQ497" t="n">
        <v>43.60838969494603</v>
      </c>
      <c r="EH497" t="n">
        <v>43.964</v>
      </c>
      <c r="ES497" t="n">
        <v>-1.65</v>
      </c>
      <c r="FD497" t="n">
        <v>1.39</v>
      </c>
      <c r="FF497" t="n">
        <v>9</v>
      </c>
      <c r="FG497" t="n">
        <v>14.7</v>
      </c>
      <c r="FH497" t="n">
        <v>147</v>
      </c>
      <c r="FI497" t="n">
        <v>-117.6</v>
      </c>
      <c r="FJ497" t="n">
        <v>14.41232299226395</v>
      </c>
      <c r="FK497" t="n">
        <v>5.464776227076211</v>
      </c>
      <c r="FL497" t="n">
        <v>14.40745993695596</v>
      </c>
      <c r="FM497" t="n">
        <v>14.32960732751477</v>
      </c>
      <c r="FN497" t="n">
        <v>14.31778636159956</v>
      </c>
      <c r="FO497" t="n">
        <v>14.51911364517507</v>
      </c>
      <c r="FP497" t="n">
        <v>14.53855139929297</v>
      </c>
      <c r="FQ497" t="n">
        <v>14.35943619888301</v>
      </c>
      <c r="HH497" t="n">
        <v>13.294</v>
      </c>
      <c r="HS497" t="n">
        <v>-9.57</v>
      </c>
      <c r="ID497" t="n">
        <v>22.27</v>
      </c>
      <c r="IF497" t="n">
        <v>9</v>
      </c>
      <c r="IG497" t="n">
        <v>65.7</v>
      </c>
      <c r="IH497" t="n">
        <v>657</v>
      </c>
      <c r="II497" t="n">
        <v>-525.6</v>
      </c>
      <c r="IJ497" t="n">
        <v>65.02629183800572</v>
      </c>
      <c r="IK497" t="n">
        <v>21.01363266302559</v>
      </c>
      <c r="IL497" t="n">
        <v>63.62320934318804</v>
      </c>
      <c r="IM497" t="n">
        <v>64.10812682658438</v>
      </c>
      <c r="IN497" t="n">
        <v>64.94759158498657</v>
      </c>
      <c r="IO497" t="n">
        <v>65.19177701704393</v>
      </c>
      <c r="IP497" t="n">
        <v>64.89147538170718</v>
      </c>
      <c r="IQ497" t="n">
        <v>63.70844141824625</v>
      </c>
      <c r="KH497" t="n">
        <v>59.064</v>
      </c>
      <c r="KS497" t="n">
        <v>-10.1</v>
      </c>
      <c r="LD497" t="n">
        <v>24.37</v>
      </c>
    </row>
    <row r="498">
      <c r="A498" t="inlineStr">
        <is>
          <t>2026-04-24</t>
        </is>
      </c>
      <c r="B498" t="inlineStr">
        <is>
          <t>General Chem 26</t>
        </is>
      </c>
      <c r="C498" t="inlineStr">
        <is>
          <t>105326042401</t>
        </is>
      </c>
      <c r="D498" t="inlineStr">
        <is>
          <t>CREA</t>
        </is>
      </c>
      <c r="F498" t="n">
        <v>10</v>
      </c>
      <c r="G498" t="n">
        <v>1.5</v>
      </c>
      <c r="H498" t="n">
        <v>16.5</v>
      </c>
      <c r="I498" t="n">
        <v>-13.5</v>
      </c>
      <c r="J498" t="n">
        <v>1.186513106749024</v>
      </c>
      <c r="K498" t="n">
        <v>1.252037099546414</v>
      </c>
      <c r="L498" t="n">
        <v>1.19688839140859</v>
      </c>
      <c r="M498" t="n">
        <v>1.202417276658108</v>
      </c>
      <c r="N498" t="n">
        <v>1.218308932880875</v>
      </c>
      <c r="O498" t="n">
        <v>1.230267597872399</v>
      </c>
      <c r="P498" t="n">
        <v>1.204625915363535</v>
      </c>
      <c r="Q498" t="n">
        <v>1.209638988888705</v>
      </c>
      <c r="R498" t="n">
        <v>1.214087818336552</v>
      </c>
      <c r="BH498" t="n">
        <v>1.213</v>
      </c>
      <c r="BS498" t="n">
        <v>-19.15</v>
      </c>
      <c r="CD498" t="n">
        <v>1.51</v>
      </c>
      <c r="CF498" t="n">
        <v>10</v>
      </c>
      <c r="CG498" t="n">
        <v>5.55</v>
      </c>
      <c r="CH498" t="n">
        <v>61.05</v>
      </c>
      <c r="CI498" t="n">
        <v>-49.95</v>
      </c>
      <c r="CJ498" t="n">
        <v>4.47957390831666</v>
      </c>
      <c r="CK498" t="n">
        <v>4.464873095287582</v>
      </c>
      <c r="CL498" t="n">
        <v>4.431668539418022</v>
      </c>
      <c r="CM498" t="n">
        <v>4.361361376864095</v>
      </c>
      <c r="CN498" t="n">
        <v>4.39295112405578</v>
      </c>
      <c r="CO498" t="n">
        <v>4.300842249478601</v>
      </c>
      <c r="CP498" t="n">
        <v>4.458970342961624</v>
      </c>
      <c r="CQ498" t="n">
        <v>4.368290011911799</v>
      </c>
      <c r="EH498" t="n">
        <v>4.407</v>
      </c>
      <c r="ES498" t="n">
        <v>-20.59</v>
      </c>
      <c r="FD498" t="n">
        <v>1.32</v>
      </c>
      <c r="FF498" t="n">
        <v>10</v>
      </c>
      <c r="FG498" t="n">
        <v>0.97</v>
      </c>
      <c r="FH498" t="n">
        <v>10.67</v>
      </c>
      <c r="FI498" t="n">
        <v>-8.73</v>
      </c>
      <c r="FJ498" t="n">
        <v>0.6207249184152017</v>
      </c>
      <c r="FK498" t="n">
        <v>0.3180292227380683</v>
      </c>
      <c r="FL498" t="n">
        <v>0.6331848578730294</v>
      </c>
      <c r="FM498" t="n">
        <v>0.658576033292431</v>
      </c>
      <c r="FN498" t="n">
        <v>0.6407042481275288</v>
      </c>
      <c r="FO498" t="n">
        <v>0.690121112504206</v>
      </c>
      <c r="FP498" t="n">
        <v>0.6157839547286611</v>
      </c>
      <c r="FQ498" t="n">
        <v>0.6644668957530958</v>
      </c>
      <c r="HH498" t="n">
        <v>0.605</v>
      </c>
      <c r="HS498" t="n">
        <v>-37.61</v>
      </c>
      <c r="ID498" t="n">
        <v>18.33</v>
      </c>
      <c r="IF498" t="n">
        <v>10</v>
      </c>
      <c r="IG498" t="n">
        <v>5.95</v>
      </c>
      <c r="IH498" t="n">
        <v>65.45</v>
      </c>
      <c r="II498" t="n">
        <v>-53.55</v>
      </c>
      <c r="IJ498" t="n">
        <v>5.047426591809038</v>
      </c>
      <c r="IK498" t="n">
        <v>1.705492099016472</v>
      </c>
      <c r="IL498" t="n">
        <v>5.065519989400838</v>
      </c>
      <c r="IM498" t="n">
        <v>5.015999555251936</v>
      </c>
      <c r="IN498" t="n">
        <v>5.077868787430858</v>
      </c>
      <c r="IO498" t="n">
        <v>5.154850941551384</v>
      </c>
      <c r="IP498" t="n">
        <v>5.071651934011868</v>
      </c>
      <c r="IQ498" t="n">
        <v>5.143080425659489</v>
      </c>
      <c r="KH498" t="n">
        <v>4.66</v>
      </c>
      <c r="KS498" t="n">
        <v>-21.68</v>
      </c>
      <c r="LD498" t="n">
        <v>23.98</v>
      </c>
    </row>
    <row r="499">
      <c r="A499" t="inlineStr">
        <is>
          <t>2026-04-24</t>
        </is>
      </c>
      <c r="B499" t="inlineStr">
        <is>
          <t>General Chem 26</t>
        </is>
      </c>
      <c r="C499" t="inlineStr">
        <is>
          <t>105326042401</t>
        </is>
      </c>
      <c r="D499" t="inlineStr">
        <is>
          <t>GLU</t>
        </is>
      </c>
      <c r="F499" t="n">
        <v>8</v>
      </c>
      <c r="G499" t="n">
        <v>90.16</v>
      </c>
      <c r="H499" t="n">
        <v>811.4399999999999</v>
      </c>
      <c r="I499" t="n">
        <v>-631.12</v>
      </c>
      <c r="J499" t="n">
        <v>88.70686069114477</v>
      </c>
      <c r="K499" t="n">
        <v>88.62885269612403</v>
      </c>
      <c r="L499" t="n">
        <v>87.67279941979196</v>
      </c>
      <c r="M499" t="n">
        <v>89.96203408488037</v>
      </c>
      <c r="N499" t="n">
        <v>88.61877466167589</v>
      </c>
      <c r="O499" t="n">
        <v>89.03106318133172</v>
      </c>
      <c r="P499" t="n">
        <v>90.13574029915657</v>
      </c>
      <c r="Q499" t="n">
        <v>90.63950667122073</v>
      </c>
      <c r="R499" t="n">
        <v>90.01584757429164</v>
      </c>
      <c r="BH499" t="n">
        <v>89.268</v>
      </c>
      <c r="BS499" t="n">
        <v>-0.99</v>
      </c>
      <c r="CD499" t="n">
        <v>1.02</v>
      </c>
      <c r="CF499" t="n">
        <v>8</v>
      </c>
      <c r="CG499" t="n">
        <v>293.02</v>
      </c>
      <c r="CH499" t="n">
        <v>2637.18</v>
      </c>
      <c r="CI499" t="n">
        <v>-2051.14</v>
      </c>
      <c r="CJ499" t="n">
        <v>304.6147407828161</v>
      </c>
      <c r="CK499" t="n">
        <v>292.3128083956717</v>
      </c>
      <c r="CL499" t="n">
        <v>296.6654031404695</v>
      </c>
      <c r="CM499" t="n">
        <v>294.5949228374679</v>
      </c>
      <c r="CN499" t="n">
        <v>295.0118271901338</v>
      </c>
      <c r="CO499" t="n">
        <v>295.4097184526932</v>
      </c>
      <c r="CP499" t="n">
        <v>291.7668448452554</v>
      </c>
      <c r="CQ499" t="n">
        <v>297.3875559688431</v>
      </c>
      <c r="EH499" t="n">
        <v>295.97</v>
      </c>
      <c r="ES499" t="n">
        <v>1.01</v>
      </c>
      <c r="FD499" t="n">
        <v>1.26</v>
      </c>
      <c r="FF499" t="n">
        <v>8</v>
      </c>
      <c r="FG499" t="n">
        <v>65.66</v>
      </c>
      <c r="FH499" t="n">
        <v>590.9399999999999</v>
      </c>
      <c r="FI499" t="n">
        <v>-459.62</v>
      </c>
      <c r="FJ499" t="n">
        <v>64.84381572113249</v>
      </c>
      <c r="FK499" t="n">
        <v>31.54427962104653</v>
      </c>
      <c r="FL499" t="n">
        <v>64.383902946281</v>
      </c>
      <c r="FM499" t="n">
        <v>65.28183729631478</v>
      </c>
      <c r="FN499" t="n">
        <v>65.25858140614466</v>
      </c>
      <c r="FO499" t="n">
        <v>66.71872458327277</v>
      </c>
      <c r="FP499" t="n">
        <v>65.41827215488794</v>
      </c>
      <c r="FQ499" t="n">
        <v>66.46964861165222</v>
      </c>
      <c r="HH499" t="n">
        <v>61.24</v>
      </c>
      <c r="HS499" t="n">
        <v>-6.73</v>
      </c>
      <c r="ID499" t="n">
        <v>18.37</v>
      </c>
      <c r="IF499" t="n">
        <v>8</v>
      </c>
      <c r="IG499" t="n">
        <v>359.66</v>
      </c>
      <c r="IH499" t="n">
        <v>3236.94</v>
      </c>
      <c r="II499" t="n">
        <v>-2517.62</v>
      </c>
      <c r="IJ499" t="n">
        <v>359.6243115880853</v>
      </c>
      <c r="IK499" t="n">
        <v>116.7128132364128</v>
      </c>
      <c r="IL499" t="n">
        <v>354.0669426119017</v>
      </c>
      <c r="IM499" t="n">
        <v>354.3576257486664</v>
      </c>
      <c r="IN499" t="n">
        <v>353.6178192685972</v>
      </c>
      <c r="IO499" t="n">
        <v>361.9827203397317</v>
      </c>
      <c r="IP499" t="n">
        <v>360.8418665874073</v>
      </c>
      <c r="IQ499" t="n">
        <v>358.4469391004111</v>
      </c>
      <c r="KH499" t="n">
        <v>327.456</v>
      </c>
      <c r="KS499" t="n">
        <v>-8.949999999999999</v>
      </c>
      <c r="LD499" t="n">
        <v>24.34</v>
      </c>
    </row>
    <row r="500">
      <c r="A500" t="inlineStr">
        <is>
          <t>2026-04-24</t>
        </is>
      </c>
      <c r="B500" t="inlineStr">
        <is>
          <t>General Chem 26</t>
        </is>
      </c>
      <c r="C500" t="inlineStr">
        <is>
          <t>105326042401</t>
        </is>
      </c>
      <c r="D500" t="inlineStr">
        <is>
          <t>TP</t>
        </is>
      </c>
      <c r="F500" t="n">
        <v>8</v>
      </c>
      <c r="G500" t="n">
        <v>6.4</v>
      </c>
      <c r="H500" t="n">
        <v>57.6</v>
      </c>
      <c r="I500" t="n">
        <v>-44.8</v>
      </c>
      <c r="J500" t="n">
        <v>6.479211129380791</v>
      </c>
      <c r="K500" t="n">
        <v>6.413641803571934</v>
      </c>
      <c r="L500" t="n">
        <v>6.372476847714085</v>
      </c>
      <c r="M500" t="n">
        <v>6.47983960254258</v>
      </c>
      <c r="N500" t="n">
        <v>6.417605108620869</v>
      </c>
      <c r="O500" t="n">
        <v>6.38797563281853</v>
      </c>
      <c r="P500" t="n">
        <v>6.471200748620297</v>
      </c>
      <c r="Q500" t="n">
        <v>6.458526635726845</v>
      </c>
      <c r="R500" t="n">
        <v>6.353606935029997</v>
      </c>
      <c r="BH500" t="n">
        <v>6.426</v>
      </c>
      <c r="BS500" t="n">
        <v>0.41</v>
      </c>
      <c r="CD500" t="n">
        <v>0.71</v>
      </c>
      <c r="CF500" t="n">
        <v>8</v>
      </c>
      <c r="CG500" t="n">
        <v>4.1</v>
      </c>
      <c r="CH500" t="n">
        <v>36.9</v>
      </c>
      <c r="CI500" t="n">
        <v>-28.7</v>
      </c>
      <c r="CJ500" t="n">
        <v>4.466221123345536</v>
      </c>
      <c r="CK500" t="n">
        <v>4.274708901810801</v>
      </c>
      <c r="CL500" t="n">
        <v>4.400859357462961</v>
      </c>
      <c r="CM500" t="n">
        <v>4.240436415944711</v>
      </c>
      <c r="CN500" t="n">
        <v>4.272369175206199</v>
      </c>
      <c r="CO500" t="n">
        <v>4.305448512637925</v>
      </c>
      <c r="CP500" t="n">
        <v>4.15835364968974</v>
      </c>
      <c r="CQ500" t="n">
        <v>4.241639525135122</v>
      </c>
      <c r="EH500" t="n">
        <v>4.295</v>
      </c>
      <c r="ES500" t="n">
        <v>4.76</v>
      </c>
      <c r="FD500" t="n">
        <v>2.12</v>
      </c>
      <c r="FF500" t="n">
        <v>8</v>
      </c>
      <c r="FG500" t="n">
        <v>4.2</v>
      </c>
      <c r="FH500" t="n">
        <v>37.8</v>
      </c>
      <c r="FI500" t="n">
        <v>-29.4</v>
      </c>
      <c r="FJ500" t="n">
        <v>4.000621550688873</v>
      </c>
      <c r="FK500" t="n">
        <v>1.37073667117822</v>
      </c>
      <c r="FL500" t="n">
        <v>4.094125825685127</v>
      </c>
      <c r="FM500" t="n">
        <v>4.038869661943566</v>
      </c>
      <c r="FN500" t="n">
        <v>4.042273928798898</v>
      </c>
      <c r="FO500" t="n">
        <v>4.000208314189612</v>
      </c>
      <c r="FP500" t="n">
        <v>4.038276017343009</v>
      </c>
      <c r="FQ500" t="n">
        <v>4.011764949074031</v>
      </c>
      <c r="HH500" t="n">
        <v>3.7</v>
      </c>
      <c r="HS500" t="n">
        <v>-11.91</v>
      </c>
      <c r="ID500" t="n">
        <v>23.8</v>
      </c>
      <c r="IF500" t="n">
        <v>8</v>
      </c>
      <c r="IG500" t="n">
        <v>7.5</v>
      </c>
      <c r="IH500" t="n">
        <v>67.5</v>
      </c>
      <c r="II500" t="n">
        <v>-52.5</v>
      </c>
      <c r="IJ500" t="n">
        <v>7.348124668762853</v>
      </c>
      <c r="IK500" t="n">
        <v>1.973020994084244</v>
      </c>
      <c r="IL500" t="n">
        <v>7.455822785686987</v>
      </c>
      <c r="IM500" t="n">
        <v>7.363720799595765</v>
      </c>
      <c r="IN500" t="n">
        <v>7.34509033562936</v>
      </c>
      <c r="IO500" t="n">
        <v>7.302938541903482</v>
      </c>
      <c r="IP500" t="n">
        <v>7.348463785928568</v>
      </c>
      <c r="IQ500" t="n">
        <v>7.276872524785746</v>
      </c>
      <c r="KH500" t="n">
        <v>6.677</v>
      </c>
      <c r="KS500" t="n">
        <v>-10.98</v>
      </c>
      <c r="LD500" t="n">
        <v>26.64</v>
      </c>
    </row>
    <row r="501">
      <c r="A501" t="inlineStr">
        <is>
          <t>2026-04-24</t>
        </is>
      </c>
      <c r="B501" t="inlineStr">
        <is>
          <t>Total T4</t>
        </is>
      </c>
      <c r="C501" t="inlineStr">
        <is>
          <t>00200010126042301</t>
        </is>
      </c>
      <c r="D501" t="inlineStr">
        <is>
          <t>TT4</t>
        </is>
      </c>
      <c r="J501" t="n">
        <v>1.451906360794617</v>
      </c>
      <c r="K501" t="n">
        <v>1.278165731453428</v>
      </c>
      <c r="BH501" t="n">
        <v>1.365</v>
      </c>
      <c r="CD501" t="n">
        <v>6.36</v>
      </c>
      <c r="CJ501" t="n">
        <v>4.88696356120753</v>
      </c>
      <c r="CK501" t="n">
        <v>5.749394096123366</v>
      </c>
      <c r="EH501" t="n">
        <v>5.318</v>
      </c>
      <c r="FD501" t="n">
        <v>8.109999999999999</v>
      </c>
    </row>
    <row r="502">
      <c r="A502" t="inlineStr">
        <is>
          <t>2026-04-23</t>
        </is>
      </c>
      <c r="B502" t="inlineStr">
        <is>
          <t>S-DMA</t>
        </is>
      </c>
      <c r="C502" t="inlineStr">
        <is>
          <t>111326042301 &amp; 211326042301</t>
        </is>
      </c>
      <c r="D502" t="inlineStr">
        <is>
          <t>S-DMA</t>
        </is>
      </c>
      <c r="J502" t="n">
        <v>11.0428582287962</v>
      </c>
      <c r="K502" t="n">
        <v>9.739929279225395</v>
      </c>
      <c r="L502" t="n">
        <v>10.57215207010216</v>
      </c>
      <c r="M502" t="n">
        <v>11.26013511190538</v>
      </c>
      <c r="N502" t="n">
        <v>11.74567784136136</v>
      </c>
      <c r="O502" t="n">
        <v>11.09580114159206</v>
      </c>
      <c r="BH502" t="n">
        <v>10.909</v>
      </c>
      <c r="CD502" t="n">
        <v>5.74</v>
      </c>
      <c r="CJ502" t="n">
        <v>39.09245389931603</v>
      </c>
      <c r="CK502" t="n">
        <v>42.15214120466566</v>
      </c>
      <c r="CL502" t="n">
        <v>0.006400605114606013</v>
      </c>
      <c r="CM502" t="n">
        <v>35.86789889846023</v>
      </c>
      <c r="CN502" t="n">
        <v>44.53847614510179</v>
      </c>
      <c r="EH502" t="n">
        <v>32.331</v>
      </c>
      <c r="FD502" t="n">
        <v>50.8</v>
      </c>
    </row>
    <row r="503">
      <c r="A503" t="inlineStr">
        <is>
          <t>2026-04-23</t>
        </is>
      </c>
      <c r="B503" t="inlineStr">
        <is>
          <t>Canine CRP</t>
        </is>
      </c>
      <c r="C503" t="inlineStr">
        <is>
          <t>110626042301 &amp; 210626042301</t>
        </is>
      </c>
      <c r="D503" t="inlineStr">
        <is>
          <t>cCRP</t>
        </is>
      </c>
      <c r="J503" t="n">
        <v>30.09563775706579</v>
      </c>
      <c r="K503" t="n">
        <v>31.14862147267199</v>
      </c>
      <c r="L503" t="n">
        <v>31.54061277832204</v>
      </c>
      <c r="M503" t="n">
        <v>33.34488048427966</v>
      </c>
      <c r="N503" t="n">
        <v>30.63088459474408</v>
      </c>
      <c r="O503" t="n">
        <v>31.12177282702672</v>
      </c>
      <c r="BH503" t="n">
        <v>31.314</v>
      </c>
      <c r="CD503" t="n">
        <v>3.24</v>
      </c>
      <c r="CJ503" t="n">
        <v>93.51868836815602</v>
      </c>
      <c r="CK503" t="n">
        <v>87.95962680904994</v>
      </c>
      <c r="CL503" t="n">
        <v>92.18028161364568</v>
      </c>
      <c r="CM503" t="n">
        <v>89.19280486760464</v>
      </c>
      <c r="CN503" t="n">
        <v>90.36242377811561</v>
      </c>
      <c r="EH503" t="n">
        <v>90.643</v>
      </c>
      <c r="FD503" t="n">
        <v>2.21</v>
      </c>
    </row>
    <row r="504">
      <c r="A504" t="inlineStr">
        <is>
          <t>2026-04-23</t>
        </is>
      </c>
      <c r="B504" t="inlineStr">
        <is>
          <t>Total T4</t>
        </is>
      </c>
      <c r="C504" t="inlineStr">
        <is>
          <t>110126042301 &amp; 210126042301</t>
        </is>
      </c>
      <c r="D504" t="inlineStr">
        <is>
          <t>TT4</t>
        </is>
      </c>
      <c r="J504" t="n">
        <v>4.90523116206221</v>
      </c>
      <c r="K504" t="n">
        <v>5.222403774900997</v>
      </c>
      <c r="L504" t="n">
        <v>5.145634763652597</v>
      </c>
      <c r="M504" t="n">
        <v>1.768864180357401</v>
      </c>
      <c r="N504" t="n">
        <v>2.358567656582793</v>
      </c>
      <c r="O504" t="n">
        <v>1.455995019987325</v>
      </c>
      <c r="P504" t="n">
        <v>1.45962936149492</v>
      </c>
      <c r="Q504" t="n">
        <v>1.331195158397907</v>
      </c>
      <c r="R504" t="n">
        <v>1.493768435990231</v>
      </c>
      <c r="BH504" t="n">
        <v>2.458</v>
      </c>
      <c r="CD504" t="n">
        <v>62.81</v>
      </c>
      <c r="CJ504" t="n">
        <v>4.668069399692247</v>
      </c>
      <c r="CK504" t="n">
        <v>4.895532938616679</v>
      </c>
      <c r="CL504" t="n">
        <v>5.033615460618812</v>
      </c>
      <c r="CM504" t="n">
        <v>6.170196865997391</v>
      </c>
      <c r="CN504" t="n">
        <v>4.803447949006427</v>
      </c>
      <c r="CO504" t="n">
        <v>5.92328247623549</v>
      </c>
      <c r="CP504" t="n">
        <v>5.734784785511005</v>
      </c>
      <c r="CQ504" t="n">
        <v>4.793683948452662</v>
      </c>
      <c r="CR504" t="n">
        <v>5.510456173937228</v>
      </c>
      <c r="CS504" t="n">
        <v>5.126298583618034</v>
      </c>
      <c r="CT504" t="n">
        <v>5.132019900454508</v>
      </c>
      <c r="CU504" t="n">
        <v>5.070752360164495</v>
      </c>
      <c r="EH504" t="n">
        <v>5.239</v>
      </c>
      <c r="FD504" t="n">
        <v>8.85</v>
      </c>
    </row>
    <row r="505">
      <c r="A505" t="inlineStr">
        <is>
          <t>2026-04-22</t>
        </is>
      </c>
      <c r="B505" t="inlineStr">
        <is>
          <t>Urine Protein CREA ratio</t>
        </is>
      </c>
      <c r="C505" t="inlineStr">
        <is>
          <t>204026042201</t>
        </is>
      </c>
      <c r="D505" t="inlineStr">
        <is>
          <t>UCRE</t>
        </is>
      </c>
      <c r="F505" t="n">
        <v>15</v>
      </c>
      <c r="J505" t="n">
        <v>58.80709666958714</v>
      </c>
      <c r="K505" t="n">
        <v>60.21970567750859</v>
      </c>
      <c r="BH505" t="n">
        <v>59.513</v>
      </c>
      <c r="CD505" t="n">
        <v>1.19</v>
      </c>
      <c r="CF505" t="n">
        <v>15</v>
      </c>
      <c r="CJ505" t="n">
        <v>151.0625030428719</v>
      </c>
      <c r="CK505" t="n">
        <v>154.1250679051797</v>
      </c>
      <c r="EH505" t="n">
        <v>152.594</v>
      </c>
      <c r="FD505" t="n">
        <v>1</v>
      </c>
      <c r="FF505" t="n">
        <v>15</v>
      </c>
      <c r="FJ505" t="n">
        <v>105.8887879659357</v>
      </c>
      <c r="FK505" t="n">
        <v>105.3191784892444</v>
      </c>
      <c r="HH505" t="n">
        <v>105.604</v>
      </c>
      <c r="ID505" t="n">
        <v>0.27</v>
      </c>
      <c r="IF505" t="n">
        <v>15</v>
      </c>
    </row>
    <row r="506">
      <c r="A506" t="inlineStr">
        <is>
          <t>2026-04-22</t>
        </is>
      </c>
      <c r="B506" t="inlineStr">
        <is>
          <t>Urine Protein CREA ratio</t>
        </is>
      </c>
      <c r="C506" t="inlineStr">
        <is>
          <t>204026042201</t>
        </is>
      </c>
      <c r="D506" t="inlineStr">
        <is>
          <t>UPRO</t>
        </is>
      </c>
      <c r="F506" t="n">
        <v>10</v>
      </c>
      <c r="J506" t="n">
        <v>16.54918217670219</v>
      </c>
      <c r="K506" t="n">
        <v>18.08036598411479</v>
      </c>
      <c r="BH506" t="n">
        <v>17.315</v>
      </c>
      <c r="CD506" t="n">
        <v>4.42</v>
      </c>
      <c r="CF506" t="n">
        <v>10</v>
      </c>
      <c r="CJ506" t="n">
        <v>54.54579688380462</v>
      </c>
      <c r="CK506" t="n">
        <v>52.88047586265876</v>
      </c>
      <c r="EH506" t="n">
        <v>53.713</v>
      </c>
      <c r="FD506" t="n">
        <v>1.55</v>
      </c>
      <c r="FF506" t="n">
        <v>10</v>
      </c>
      <c r="FJ506" t="n">
        <v>33.97558015472219</v>
      </c>
      <c r="FK506" t="n">
        <v>31.06229867356881</v>
      </c>
      <c r="HH506" t="n">
        <v>32.519</v>
      </c>
      <c r="ID506" t="n">
        <v>4.48</v>
      </c>
      <c r="IF506" t="n">
        <v>10</v>
      </c>
    </row>
    <row r="507">
      <c r="A507" t="inlineStr">
        <is>
          <t>2026-04-22</t>
        </is>
      </c>
      <c r="B507" t="inlineStr">
        <is>
          <t>Electrolyte 7</t>
        </is>
      </c>
      <c r="C507" t="inlineStr">
        <is>
          <t>100326042201 &amp; 200326042201</t>
        </is>
      </c>
      <c r="D507" t="inlineStr">
        <is>
          <t>ALP</t>
        </is>
      </c>
      <c r="F507" t="n">
        <v>20</v>
      </c>
      <c r="G507" t="n">
        <v>136</v>
      </c>
      <c r="H507" t="n">
        <v>2856</v>
      </c>
      <c r="I507" t="n">
        <v>-2584</v>
      </c>
      <c r="J507" t="n">
        <v>148.8381940966361</v>
      </c>
      <c r="K507" t="n">
        <v>147.4061815977607</v>
      </c>
      <c r="BH507" t="n">
        <v>148.122</v>
      </c>
      <c r="BS507" t="n">
        <v>8.91</v>
      </c>
      <c r="CD507" t="n">
        <v>0.48</v>
      </c>
      <c r="CF507" t="n">
        <v>20</v>
      </c>
      <c r="CG507" t="n">
        <v>456</v>
      </c>
      <c r="CH507" t="n">
        <v>9576</v>
      </c>
      <c r="CI507" t="n">
        <v>-8664</v>
      </c>
      <c r="CJ507" t="n">
        <v>467.8682965338589</v>
      </c>
      <c r="CK507" t="n">
        <v>486.6601404078196</v>
      </c>
      <c r="CL507" t="n">
        <v>465.0468473983156</v>
      </c>
      <c r="EH507" t="n">
        <v>473.192</v>
      </c>
      <c r="ES507" t="n">
        <v>3.77</v>
      </c>
      <c r="FD507" t="n">
        <v>2.03</v>
      </c>
      <c r="FF507" t="n">
        <v>20</v>
      </c>
      <c r="FG507" t="n">
        <v>75</v>
      </c>
      <c r="FH507" t="n">
        <v>1575</v>
      </c>
      <c r="FI507" t="n">
        <v>-1425</v>
      </c>
      <c r="FJ507" t="n">
        <v>78.55273710082903</v>
      </c>
      <c r="FK507" t="n">
        <v>78.49650471647993</v>
      </c>
      <c r="FL507" t="n">
        <v>77.73745462197078</v>
      </c>
      <c r="HH507" t="n">
        <v>78.262</v>
      </c>
      <c r="HS507" t="n">
        <v>4.35</v>
      </c>
      <c r="ID507" t="n">
        <v>0.48</v>
      </c>
      <c r="IF507" t="n">
        <v>20</v>
      </c>
      <c r="IG507" t="n">
        <v>251</v>
      </c>
      <c r="IH507" t="n">
        <v>5271</v>
      </c>
      <c r="II507" t="n">
        <v>-4769</v>
      </c>
      <c r="IJ507" t="n">
        <v>232.0502148722117</v>
      </c>
      <c r="IK507" t="n">
        <v>232.9146625204431</v>
      </c>
      <c r="KH507" t="n">
        <v>232.482</v>
      </c>
      <c r="KS507" t="n">
        <v>-7.38</v>
      </c>
      <c r="LD507" t="n">
        <v>0.19</v>
      </c>
    </row>
    <row r="508">
      <c r="A508" t="inlineStr">
        <is>
          <t>2026-04-22</t>
        </is>
      </c>
      <c r="B508" t="inlineStr">
        <is>
          <t>Electrolyte 7</t>
        </is>
      </c>
      <c r="C508" t="inlineStr">
        <is>
          <t>100326042201 &amp; 200326042201</t>
        </is>
      </c>
      <c r="D508" t="inlineStr">
        <is>
          <t>Cl</t>
        </is>
      </c>
      <c r="F508" t="n">
        <v>5</v>
      </c>
      <c r="G508" t="n">
        <v>90</v>
      </c>
      <c r="H508" t="n">
        <v>540</v>
      </c>
      <c r="I508" t="n">
        <v>-360</v>
      </c>
      <c r="J508" t="n">
        <v>92.59478091229751</v>
      </c>
      <c r="K508" t="n">
        <v>92.90928225360074</v>
      </c>
      <c r="BH508" t="n">
        <v>92.752</v>
      </c>
      <c r="BS508" t="n">
        <v>3.06</v>
      </c>
      <c r="CD508" t="n">
        <v>0.17</v>
      </c>
      <c r="CF508" t="n">
        <v>5</v>
      </c>
      <c r="CG508" t="n">
        <v>91</v>
      </c>
      <c r="CH508" t="n">
        <v>546</v>
      </c>
      <c r="CI508" t="n">
        <v>-364</v>
      </c>
      <c r="CJ508" t="n">
        <v>87.65271397827925</v>
      </c>
      <c r="CK508" t="n">
        <v>88.7744025464651</v>
      </c>
      <c r="CL508" t="n">
        <v>84.80902876446571</v>
      </c>
      <c r="EH508" t="n">
        <v>87.07899999999999</v>
      </c>
      <c r="ES508" t="n">
        <v>-4.31</v>
      </c>
      <c r="FD508" t="n">
        <v>1.92</v>
      </c>
      <c r="FF508" t="n">
        <v>5</v>
      </c>
      <c r="FG508" t="n">
        <v>77</v>
      </c>
      <c r="FH508" t="n">
        <v>462</v>
      </c>
      <c r="FI508" t="n">
        <v>-308</v>
      </c>
      <c r="FJ508" t="n">
        <v>78.19197097110924</v>
      </c>
      <c r="FK508" t="n">
        <v>77.22777497440366</v>
      </c>
      <c r="FL508" t="n">
        <v>79.65220721531527</v>
      </c>
      <c r="HH508" t="n">
        <v>78.357</v>
      </c>
      <c r="HS508" t="n">
        <v>1.76</v>
      </c>
      <c r="ID508" t="n">
        <v>1.27</v>
      </c>
      <c r="IF508" t="n">
        <v>5</v>
      </c>
      <c r="IG508" t="n">
        <v>118</v>
      </c>
      <c r="IH508" t="n">
        <v>708</v>
      </c>
      <c r="II508" t="n">
        <v>-472</v>
      </c>
      <c r="IJ508" t="n">
        <v>118.1044489729277</v>
      </c>
      <c r="IK508" t="n">
        <v>115.7718793430399</v>
      </c>
      <c r="KH508" t="n">
        <v>116.938</v>
      </c>
      <c r="KS508" t="n">
        <v>-0.9</v>
      </c>
      <c r="LD508" t="n">
        <v>1</v>
      </c>
    </row>
    <row r="509">
      <c r="A509" t="inlineStr">
        <is>
          <t>2026-04-22</t>
        </is>
      </c>
      <c r="B509" t="inlineStr">
        <is>
          <t>Electrolyte 7</t>
        </is>
      </c>
      <c r="C509" t="inlineStr">
        <is>
          <t>100326042201 &amp; 200326042201</t>
        </is>
      </c>
      <c r="D509" t="inlineStr">
        <is>
          <t>K</t>
        </is>
      </c>
      <c r="G509" t="n">
        <v>3.9</v>
      </c>
      <c r="J509" t="n">
        <v>3.834624784507562</v>
      </c>
      <c r="K509" t="n">
        <v>3.782672827038981</v>
      </c>
      <c r="BH509" t="n">
        <v>3.809</v>
      </c>
      <c r="BS509" t="n">
        <v>-2.34</v>
      </c>
      <c r="CD509" t="n">
        <v>0.68</v>
      </c>
      <c r="CG509" t="n">
        <v>6</v>
      </c>
      <c r="CJ509" t="n">
        <v>6.00027918355951</v>
      </c>
      <c r="CK509" t="n">
        <v>6.427052154066471</v>
      </c>
      <c r="CL509" t="n">
        <v>6.135432718166387</v>
      </c>
      <c r="EH509" t="n">
        <v>6.188</v>
      </c>
      <c r="ES509" t="n">
        <v>3.13</v>
      </c>
      <c r="FD509" t="n">
        <v>2.88</v>
      </c>
      <c r="FG509" t="n">
        <v>2.2</v>
      </c>
      <c r="FJ509" t="n">
        <v>2.372382446818099</v>
      </c>
      <c r="FK509" t="n">
        <v>2.461536640556785</v>
      </c>
      <c r="FL509" t="n">
        <v>2.49295070794963</v>
      </c>
      <c r="HH509" t="n">
        <v>2.442</v>
      </c>
      <c r="HS509" t="n">
        <v>11.01</v>
      </c>
      <c r="ID509" t="n">
        <v>2.09</v>
      </c>
      <c r="IG509" t="n">
        <v>8.4</v>
      </c>
      <c r="IJ509" t="n">
        <v>8.503169422930057</v>
      </c>
      <c r="IK509" t="n">
        <v>8.439993195491216</v>
      </c>
      <c r="KH509" t="n">
        <v>8.472</v>
      </c>
      <c r="KS509" t="n">
        <v>0.85</v>
      </c>
      <c r="LD509" t="n">
        <v>0.37</v>
      </c>
    </row>
    <row r="510">
      <c r="A510" t="inlineStr">
        <is>
          <t>2026-04-22</t>
        </is>
      </c>
      <c r="B510" t="inlineStr">
        <is>
          <t>Electrolyte 7</t>
        </is>
      </c>
      <c r="C510" t="inlineStr">
        <is>
          <t>100326042201 &amp; 200326042201</t>
        </is>
      </c>
      <c r="D510" t="inlineStr">
        <is>
          <t>Na</t>
        </is>
      </c>
      <c r="G510" t="n">
        <v>141</v>
      </c>
      <c r="J510" t="n">
        <v>145.3986611449839</v>
      </c>
      <c r="K510" t="n">
        <v>149.003698115906</v>
      </c>
      <c r="BH510" t="n">
        <v>147.201</v>
      </c>
      <c r="BS510" t="n">
        <v>4.4</v>
      </c>
      <c r="CD510" t="n">
        <v>1.22</v>
      </c>
      <c r="CG510" t="n">
        <v>129</v>
      </c>
      <c r="CJ510" t="n">
        <v>135.3575481086543</v>
      </c>
      <c r="CK510" t="n">
        <v>139.1341877189325</v>
      </c>
      <c r="CL510" t="n">
        <v>135.1393357766781</v>
      </c>
      <c r="EH510" t="n">
        <v>136.544</v>
      </c>
      <c r="ES510" t="n">
        <v>5.85</v>
      </c>
      <c r="FD510" t="n">
        <v>1.34</v>
      </c>
      <c r="FG510" t="n">
        <v>118</v>
      </c>
      <c r="FJ510" t="n">
        <v>124.5715033230731</v>
      </c>
      <c r="FK510" t="n">
        <v>124.6338224511051</v>
      </c>
      <c r="FL510" t="n">
        <v>126.3048002347267</v>
      </c>
      <c r="HH510" t="n">
        <v>125.17</v>
      </c>
      <c r="HS510" t="n">
        <v>6.08</v>
      </c>
      <c r="ID510" t="n">
        <v>0.64</v>
      </c>
      <c r="IG510" t="n">
        <v>166</v>
      </c>
      <c r="IJ510" t="n">
        <v>168.7716003393991</v>
      </c>
      <c r="IK510" t="n">
        <v>169.0906505718848</v>
      </c>
      <c r="KH510" t="n">
        <v>168.931</v>
      </c>
      <c r="KS510" t="n">
        <v>1.77</v>
      </c>
      <c r="LD510" t="n">
        <v>0.09</v>
      </c>
    </row>
    <row r="511">
      <c r="A511" t="inlineStr">
        <is>
          <t>2026-04-22</t>
        </is>
      </c>
      <c r="B511" t="inlineStr">
        <is>
          <t>Electrolyte 7</t>
        </is>
      </c>
      <c r="C511" t="inlineStr">
        <is>
          <t>100326042201 &amp; 200326042201</t>
        </is>
      </c>
      <c r="D511" t="inlineStr">
        <is>
          <t>TCO2</t>
        </is>
      </c>
      <c r="F511" t="n">
        <v>20</v>
      </c>
      <c r="G511" t="n">
        <v>32.5</v>
      </c>
      <c r="H511" t="n">
        <v>682.5</v>
      </c>
      <c r="I511" t="n">
        <v>-617.5</v>
      </c>
      <c r="J511" t="n">
        <v>30.15794070602824</v>
      </c>
      <c r="K511" t="n">
        <v>31.60485940213047</v>
      </c>
      <c r="BH511" t="n">
        <v>30.881</v>
      </c>
      <c r="BS511" t="n">
        <v>-4.98</v>
      </c>
      <c r="CD511" t="n">
        <v>2.34</v>
      </c>
      <c r="CF511" t="n">
        <v>20</v>
      </c>
      <c r="CG511" t="n">
        <v>21.2</v>
      </c>
      <c r="CH511" t="n">
        <v>445.2</v>
      </c>
      <c r="CI511" t="n">
        <v>-402.8</v>
      </c>
      <c r="CJ511" t="n">
        <v>18.9436070311827</v>
      </c>
      <c r="CK511" t="n">
        <v>18.7137500768163</v>
      </c>
      <c r="CL511" t="n">
        <v>19.76390348299426</v>
      </c>
      <c r="EH511" t="n">
        <v>19.14</v>
      </c>
      <c r="ES511" t="n">
        <v>-9.710000000000001</v>
      </c>
      <c r="FD511" t="n">
        <v>2.35</v>
      </c>
      <c r="FF511" t="n">
        <v>20</v>
      </c>
      <c r="FG511" t="n">
        <v>17.3</v>
      </c>
      <c r="FH511" t="n">
        <v>363.3</v>
      </c>
      <c r="FI511" t="n">
        <v>-328.7</v>
      </c>
      <c r="FJ511" t="n">
        <v>17.93625626819891</v>
      </c>
      <c r="FK511" t="n">
        <v>22.91569736251007</v>
      </c>
      <c r="FL511" t="n">
        <v>18.8730454850795</v>
      </c>
      <c r="HH511" t="n">
        <v>19.908</v>
      </c>
      <c r="HS511" t="n">
        <v>15.08</v>
      </c>
      <c r="ID511" t="n">
        <v>10.85</v>
      </c>
      <c r="IF511" t="n">
        <v>20</v>
      </c>
      <c r="IG511" t="n">
        <v>26.7</v>
      </c>
      <c r="IH511" t="n">
        <v>560.6999999999999</v>
      </c>
      <c r="II511" t="n">
        <v>-507.3</v>
      </c>
      <c r="IJ511" t="n">
        <v>27.08501985545613</v>
      </c>
      <c r="IK511" t="n">
        <v>27.13228562336037</v>
      </c>
      <c r="KH511" t="n">
        <v>27.109</v>
      </c>
      <c r="KS511" t="n">
        <v>1.53</v>
      </c>
      <c r="LD511" t="n">
        <v>0.09</v>
      </c>
    </row>
    <row r="512">
      <c r="A512" t="inlineStr">
        <is>
          <t>2026-04-22</t>
        </is>
      </c>
      <c r="B512" t="inlineStr">
        <is>
          <t>Liver 11</t>
        </is>
      </c>
      <c r="C512" t="inlineStr">
        <is>
          <t>100226042201</t>
        </is>
      </c>
      <c r="D512" t="inlineStr">
        <is>
          <t>ALB</t>
        </is>
      </c>
      <c r="F512" t="n">
        <v>8</v>
      </c>
      <c r="G512" t="n">
        <v>4.2</v>
      </c>
      <c r="H512" t="n">
        <v>37.8</v>
      </c>
      <c r="I512" t="n">
        <v>-29.4</v>
      </c>
      <c r="J512" t="n">
        <v>4.414195063718555</v>
      </c>
      <c r="BH512" t="n">
        <v>4.414</v>
      </c>
      <c r="BS512" t="n">
        <v>5.1</v>
      </c>
      <c r="CF512" t="n">
        <v>8</v>
      </c>
      <c r="CG512" t="n">
        <v>2.7</v>
      </c>
      <c r="CH512" t="n">
        <v>24.3</v>
      </c>
      <c r="CI512" t="n">
        <v>-18.9</v>
      </c>
      <c r="CJ512" t="n">
        <v>2.972924022883017</v>
      </c>
      <c r="CK512" t="n">
        <v>3.091473323652945</v>
      </c>
      <c r="EH512" t="n">
        <v>3.032</v>
      </c>
      <c r="ES512" t="n">
        <v>12.3</v>
      </c>
      <c r="FD512" t="n">
        <v>1.95</v>
      </c>
      <c r="FF512" t="n">
        <v>8</v>
      </c>
      <c r="FG512" t="n">
        <v>2.6</v>
      </c>
      <c r="FH512" t="n">
        <v>23.4</v>
      </c>
      <c r="FI512" t="n">
        <v>-18.2</v>
      </c>
      <c r="FJ512" t="n">
        <v>2.843506915776817</v>
      </c>
      <c r="HH512" t="n">
        <v>2.844</v>
      </c>
      <c r="HS512" t="n">
        <v>9.369999999999999</v>
      </c>
      <c r="IF512" t="n">
        <v>8</v>
      </c>
      <c r="IG512" t="n">
        <v>4.2</v>
      </c>
      <c r="IH512" t="n">
        <v>37.8</v>
      </c>
      <c r="II512" t="n">
        <v>-29.4</v>
      </c>
      <c r="IJ512" t="n">
        <v>4.379574283713453</v>
      </c>
      <c r="KH512" t="n">
        <v>4.38</v>
      </c>
      <c r="KS512" t="n">
        <v>4.28</v>
      </c>
    </row>
    <row r="513">
      <c r="A513" t="inlineStr">
        <is>
          <t>2026-04-22</t>
        </is>
      </c>
      <c r="B513" t="inlineStr">
        <is>
          <t>Liver 11</t>
        </is>
      </c>
      <c r="C513" t="inlineStr">
        <is>
          <t>100226042201</t>
        </is>
      </c>
      <c r="D513" t="inlineStr">
        <is>
          <t>ALP</t>
        </is>
      </c>
      <c r="F513" t="n">
        <v>20</v>
      </c>
      <c r="G513" t="n">
        <v>136</v>
      </c>
      <c r="H513" t="n">
        <v>2856</v>
      </c>
      <c r="I513" t="n">
        <v>-2584</v>
      </c>
      <c r="J513" t="n">
        <v>158.3214167556373</v>
      </c>
      <c r="BH513" t="n">
        <v>158.321</v>
      </c>
      <c r="BS513" t="n">
        <v>16.41</v>
      </c>
      <c r="CF513" t="n">
        <v>20</v>
      </c>
      <c r="CG513" t="n">
        <v>456</v>
      </c>
      <c r="CH513" t="n">
        <v>9576</v>
      </c>
      <c r="CI513" t="n">
        <v>-8664</v>
      </c>
      <c r="CJ513" t="n">
        <v>512.898307937069</v>
      </c>
      <c r="CK513" t="n">
        <v>551.1706527303635</v>
      </c>
      <c r="EH513" t="n">
        <v>532.034</v>
      </c>
      <c r="ES513" t="n">
        <v>16.67</v>
      </c>
      <c r="FD513" t="n">
        <v>3.6</v>
      </c>
      <c r="FF513" t="n">
        <v>20</v>
      </c>
      <c r="FG513" t="n">
        <v>75</v>
      </c>
      <c r="FH513" t="n">
        <v>1575</v>
      </c>
      <c r="FI513" t="n">
        <v>-1425</v>
      </c>
      <c r="FJ513" t="n">
        <v>79.82024372450009</v>
      </c>
      <c r="HH513" t="n">
        <v>79.81999999999999</v>
      </c>
      <c r="HS513" t="n">
        <v>6.43</v>
      </c>
      <c r="IF513" t="n">
        <v>20</v>
      </c>
      <c r="IG513" t="n">
        <v>251</v>
      </c>
      <c r="IH513" t="n">
        <v>5271</v>
      </c>
      <c r="II513" t="n">
        <v>-4769</v>
      </c>
      <c r="IJ513" t="n">
        <v>253.2775699283511</v>
      </c>
      <c r="KH513" t="n">
        <v>253.278</v>
      </c>
      <c r="KS513" t="n">
        <v>0.91</v>
      </c>
    </row>
    <row r="514">
      <c r="A514" t="inlineStr">
        <is>
          <t>2026-04-22</t>
        </is>
      </c>
      <c r="B514" t="inlineStr">
        <is>
          <t>Liver 11</t>
        </is>
      </c>
      <c r="C514" t="inlineStr">
        <is>
          <t>100226042201</t>
        </is>
      </c>
      <c r="D514" t="inlineStr">
        <is>
          <t>ALT</t>
        </is>
      </c>
      <c r="F514" t="n">
        <v>15</v>
      </c>
      <c r="G514" t="n">
        <v>28</v>
      </c>
      <c r="H514" t="n">
        <v>448</v>
      </c>
      <c r="I514" t="n">
        <v>-392</v>
      </c>
      <c r="J514" t="n">
        <v>25.02432709595173</v>
      </c>
      <c r="BH514" t="n">
        <v>25.024</v>
      </c>
      <c r="BS514" t="n">
        <v>-10.63</v>
      </c>
      <c r="CF514" t="n">
        <v>15</v>
      </c>
      <c r="CG514" t="n">
        <v>115</v>
      </c>
      <c r="CH514" t="n">
        <v>1840</v>
      </c>
      <c r="CI514" t="n">
        <v>-1610</v>
      </c>
      <c r="CJ514" t="n">
        <v>123.9313744235899</v>
      </c>
      <c r="CK514" t="n">
        <v>132.3762155826646</v>
      </c>
      <c r="EH514" t="n">
        <v>128.154</v>
      </c>
      <c r="ES514" t="n">
        <v>11.44</v>
      </c>
      <c r="FD514" t="n">
        <v>3.29</v>
      </c>
      <c r="FF514" t="n">
        <v>15</v>
      </c>
      <c r="FG514" t="n">
        <v>26</v>
      </c>
      <c r="FH514" t="n">
        <v>416</v>
      </c>
      <c r="FI514" t="n">
        <v>-364</v>
      </c>
      <c r="FJ514" t="n">
        <v>20.05898799835603</v>
      </c>
      <c r="HH514" t="n">
        <v>20.059</v>
      </c>
      <c r="HS514" t="n">
        <v>-22.85</v>
      </c>
      <c r="IF514" t="n">
        <v>15</v>
      </c>
      <c r="IG514" t="n">
        <v>217</v>
      </c>
      <c r="IH514" t="n">
        <v>3472</v>
      </c>
      <c r="II514" t="n">
        <v>-3038</v>
      </c>
      <c r="IJ514" t="n">
        <v>218.4261076736928</v>
      </c>
      <c r="KH514" t="n">
        <v>218.426</v>
      </c>
      <c r="KS514" t="n">
        <v>0.66</v>
      </c>
    </row>
    <row r="515">
      <c r="A515" t="inlineStr">
        <is>
          <t>2026-04-22</t>
        </is>
      </c>
      <c r="B515" t="inlineStr">
        <is>
          <t>Liver 11</t>
        </is>
      </c>
      <c r="C515" t="inlineStr">
        <is>
          <t>100226042201</t>
        </is>
      </c>
      <c r="D515" t="inlineStr">
        <is>
          <t>AST</t>
        </is>
      </c>
      <c r="F515" t="n">
        <v>15</v>
      </c>
      <c r="G515" t="n">
        <v>44</v>
      </c>
      <c r="H515" t="n">
        <v>704</v>
      </c>
      <c r="I515" t="n">
        <v>-616</v>
      </c>
      <c r="J515" t="n">
        <v>42.20996878642658</v>
      </c>
      <c r="BH515" t="n">
        <v>42.21</v>
      </c>
      <c r="BS515" t="n">
        <v>-4.07</v>
      </c>
      <c r="CF515" t="n">
        <v>15</v>
      </c>
      <c r="CG515" t="n">
        <v>221</v>
      </c>
      <c r="CH515" t="n">
        <v>3536</v>
      </c>
      <c r="CI515" t="n">
        <v>-3094</v>
      </c>
      <c r="CJ515" t="n">
        <v>226.8330385118976</v>
      </c>
      <c r="CK515" t="n">
        <v>235.2619027294269</v>
      </c>
      <c r="EH515" t="n">
        <v>231.047</v>
      </c>
      <c r="ES515" t="n">
        <v>4.55</v>
      </c>
      <c r="FD515" t="n">
        <v>1.82</v>
      </c>
      <c r="FF515" t="n">
        <v>15</v>
      </c>
      <c r="FG515" t="n">
        <v>45</v>
      </c>
      <c r="FH515" t="n">
        <v>720</v>
      </c>
      <c r="FI515" t="n">
        <v>-630</v>
      </c>
      <c r="FJ515" t="n">
        <v>41.91181535429016</v>
      </c>
      <c r="HH515" t="n">
        <v>41.912</v>
      </c>
      <c r="HS515" t="n">
        <v>-6.86</v>
      </c>
      <c r="IF515" t="n">
        <v>15</v>
      </c>
      <c r="IG515" t="n">
        <v>282</v>
      </c>
      <c r="IH515" t="n">
        <v>4512</v>
      </c>
      <c r="II515" t="n">
        <v>-3948</v>
      </c>
      <c r="IJ515" t="n">
        <v>275.14534157938</v>
      </c>
      <c r="KH515" t="n">
        <v>275.145</v>
      </c>
      <c r="KS515" t="n">
        <v>-2.43</v>
      </c>
    </row>
    <row r="516">
      <c r="A516" t="inlineStr">
        <is>
          <t>2026-04-22</t>
        </is>
      </c>
      <c r="B516" t="inlineStr">
        <is>
          <t>Liver 11</t>
        </is>
      </c>
      <c r="C516" t="inlineStr">
        <is>
          <t>100226042201</t>
        </is>
      </c>
      <c r="D516" t="inlineStr">
        <is>
          <t>BA</t>
        </is>
      </c>
      <c r="J516" t="n">
        <v>3.199165139527742</v>
      </c>
      <c r="BH516" t="n">
        <v>3.199</v>
      </c>
      <c r="CJ516" t="n">
        <v>3.214107377446091</v>
      </c>
      <c r="CK516" t="n">
        <v>3.193615985441274</v>
      </c>
      <c r="EH516" t="n">
        <v>3.204</v>
      </c>
      <c r="FD516" t="n">
        <v>0.32</v>
      </c>
      <c r="FJ516" t="n">
        <v>13.77371508878242</v>
      </c>
      <c r="HH516" t="n">
        <v>13.774</v>
      </c>
      <c r="IJ516" t="n">
        <v>12.23953857449615</v>
      </c>
      <c r="KH516" t="n">
        <v>12.24</v>
      </c>
    </row>
    <row r="517">
      <c r="A517" t="inlineStr">
        <is>
          <t>2026-04-22</t>
        </is>
      </c>
      <c r="B517" t="inlineStr">
        <is>
          <t>Liver 11</t>
        </is>
      </c>
      <c r="C517" t="inlineStr">
        <is>
          <t>100226042201</t>
        </is>
      </c>
      <c r="D517" t="inlineStr">
        <is>
          <t>GGT</t>
        </is>
      </c>
      <c r="F517" t="n">
        <v>15</v>
      </c>
      <c r="G517" t="n">
        <v>57</v>
      </c>
      <c r="H517" t="n">
        <v>912</v>
      </c>
      <c r="I517" t="n">
        <v>-798</v>
      </c>
      <c r="J517" t="n">
        <v>60.09171392939749</v>
      </c>
      <c r="BH517" t="n">
        <v>60.092</v>
      </c>
      <c r="BS517" t="n">
        <v>5.42</v>
      </c>
      <c r="CF517" t="n">
        <v>15</v>
      </c>
      <c r="CG517" t="n">
        <v>164</v>
      </c>
      <c r="CH517" t="n">
        <v>2624</v>
      </c>
      <c r="CI517" t="n">
        <v>-2296</v>
      </c>
      <c r="CJ517" t="n">
        <v>174.3447889020081</v>
      </c>
      <c r="CK517" t="n">
        <v>184.9715451000584</v>
      </c>
      <c r="EH517" t="n">
        <v>179.658</v>
      </c>
      <c r="ES517" t="n">
        <v>9.550000000000001</v>
      </c>
      <c r="FD517" t="n">
        <v>2.96</v>
      </c>
      <c r="FF517" t="n">
        <v>15</v>
      </c>
      <c r="FG517" t="n">
        <v>23</v>
      </c>
      <c r="FH517" t="n">
        <v>368</v>
      </c>
      <c r="FI517" t="n">
        <v>-322</v>
      </c>
      <c r="FJ517" t="n">
        <v>24.25892855645852</v>
      </c>
      <c r="HH517" t="n">
        <v>24.259</v>
      </c>
      <c r="HS517" t="n">
        <v>5.47</v>
      </c>
      <c r="IF517" t="n">
        <v>15</v>
      </c>
      <c r="IG517" t="n">
        <v>126</v>
      </c>
      <c r="IH517" t="n">
        <v>2016</v>
      </c>
      <c r="II517" t="n">
        <v>-1764</v>
      </c>
      <c r="IJ517" t="n">
        <v>133.0235503201513</v>
      </c>
      <c r="KH517" t="n">
        <v>133.024</v>
      </c>
      <c r="KS517" t="n">
        <v>5.57</v>
      </c>
    </row>
    <row r="518">
      <c r="A518" t="inlineStr">
        <is>
          <t>2026-04-22</t>
        </is>
      </c>
      <c r="B518" t="inlineStr">
        <is>
          <t>Liver 11</t>
        </is>
      </c>
      <c r="C518" t="inlineStr">
        <is>
          <t>100226042201</t>
        </is>
      </c>
      <c r="D518" t="inlineStr">
        <is>
          <t>GLU</t>
        </is>
      </c>
      <c r="F518" t="n">
        <v>8</v>
      </c>
      <c r="G518" t="n">
        <v>90.16</v>
      </c>
      <c r="H518" t="n">
        <v>811.4399999999999</v>
      </c>
      <c r="I518" t="n">
        <v>-631.12</v>
      </c>
      <c r="J518" t="n">
        <v>91.85093299426896</v>
      </c>
      <c r="BH518" t="n">
        <v>91.851</v>
      </c>
      <c r="BS518" t="n">
        <v>1.88</v>
      </c>
      <c r="CF518" t="n">
        <v>8</v>
      </c>
      <c r="CG518" t="n">
        <v>293.02</v>
      </c>
      <c r="CH518" t="n">
        <v>2637.18</v>
      </c>
      <c r="CI518" t="n">
        <v>-2051.14</v>
      </c>
      <c r="CJ518" t="n">
        <v>298.1870178197708</v>
      </c>
      <c r="CK518" t="n">
        <v>312.3981877852698</v>
      </c>
      <c r="EH518" t="n">
        <v>305.293</v>
      </c>
      <c r="ES518" t="n">
        <v>4.19</v>
      </c>
      <c r="FD518" t="n">
        <v>2.33</v>
      </c>
      <c r="FF518" t="n">
        <v>8</v>
      </c>
      <c r="FG518" t="n">
        <v>65.66</v>
      </c>
      <c r="FH518" t="n">
        <v>590.9399999999999</v>
      </c>
      <c r="FI518" t="n">
        <v>-459.62</v>
      </c>
      <c r="FJ518" t="n">
        <v>66.0083921581881</v>
      </c>
      <c r="HH518" t="n">
        <v>66.008</v>
      </c>
      <c r="HS518" t="n">
        <v>0.53</v>
      </c>
      <c r="IF518" t="n">
        <v>8</v>
      </c>
      <c r="IG518" t="n">
        <v>359.66</v>
      </c>
      <c r="IH518" t="n">
        <v>3236.94</v>
      </c>
      <c r="II518" t="n">
        <v>-2517.62</v>
      </c>
      <c r="IJ518" t="n">
        <v>360.0259179299703</v>
      </c>
      <c r="KH518" t="n">
        <v>360.026</v>
      </c>
      <c r="KS518" t="n">
        <v>0.1</v>
      </c>
    </row>
    <row r="519">
      <c r="A519" t="inlineStr">
        <is>
          <t>2026-04-22</t>
        </is>
      </c>
      <c r="B519" t="inlineStr">
        <is>
          <t>Liver 11</t>
        </is>
      </c>
      <c r="C519" t="inlineStr">
        <is>
          <t>100226042201</t>
        </is>
      </c>
      <c r="D519" t="inlineStr">
        <is>
          <t>TBIL</t>
        </is>
      </c>
      <c r="F519" t="n">
        <v>20</v>
      </c>
      <c r="G519" t="n">
        <v>1.1</v>
      </c>
      <c r="H519" t="n">
        <v>23.1</v>
      </c>
      <c r="I519" t="n">
        <v>-20.9</v>
      </c>
      <c r="J519" t="n">
        <v>1.416180727432915</v>
      </c>
      <c r="BH519" t="n">
        <v>1.416</v>
      </c>
      <c r="BS519" t="n">
        <v>28.74</v>
      </c>
      <c r="CF519" t="n">
        <v>20</v>
      </c>
      <c r="CG519" t="n">
        <v>5.1</v>
      </c>
      <c r="CH519" t="n">
        <v>107.1</v>
      </c>
      <c r="CI519" t="n">
        <v>-96.89999999999999</v>
      </c>
      <c r="CJ519" t="n">
        <v>5.453933601515607</v>
      </c>
      <c r="CK519" t="n">
        <v>5.832529556811818</v>
      </c>
      <c r="EH519" t="n">
        <v>5.643</v>
      </c>
      <c r="ES519" t="n">
        <v>10.65</v>
      </c>
      <c r="FD519" t="n">
        <v>3.35</v>
      </c>
      <c r="FF519" t="n">
        <v>20</v>
      </c>
      <c r="FG519" t="n">
        <v>0.8</v>
      </c>
      <c r="FH519" t="n">
        <v>16.8</v>
      </c>
      <c r="FI519" t="n">
        <v>-15.2</v>
      </c>
      <c r="FJ519" t="n">
        <v>0.7259766985759608</v>
      </c>
      <c r="HH519" t="n">
        <v>0.726</v>
      </c>
      <c r="HS519" t="n">
        <v>-9.25</v>
      </c>
      <c r="IF519" t="n">
        <v>20</v>
      </c>
      <c r="IG519" t="n">
        <v>8.4</v>
      </c>
      <c r="IH519" t="n">
        <v>176.4</v>
      </c>
      <c r="II519" t="n">
        <v>-159.6</v>
      </c>
      <c r="IJ519" t="n">
        <v>8.723168158068159</v>
      </c>
      <c r="KH519" t="n">
        <v>8.723000000000001</v>
      </c>
      <c r="KS519" t="n">
        <v>3.85</v>
      </c>
    </row>
    <row r="520">
      <c r="A520" t="inlineStr">
        <is>
          <t>2026-04-21</t>
        </is>
      </c>
      <c r="B520" t="inlineStr">
        <is>
          <t>Renal 15</t>
        </is>
      </c>
      <c r="C520" t="inlineStr">
        <is>
          <t>200726042101</t>
        </is>
      </c>
      <c r="D520" t="inlineStr">
        <is>
          <t>ALB</t>
        </is>
      </c>
      <c r="F520" t="n">
        <v>8</v>
      </c>
      <c r="G520" t="n">
        <v>4.2</v>
      </c>
      <c r="H520" t="n">
        <v>37.8</v>
      </c>
      <c r="I520" t="n">
        <v>-29.4</v>
      </c>
      <c r="J520" t="n">
        <v>4.146816089074447</v>
      </c>
      <c r="BH520" t="n">
        <v>4.147</v>
      </c>
      <c r="BS520" t="n">
        <v>-1.27</v>
      </c>
      <c r="CF520" t="n">
        <v>8</v>
      </c>
      <c r="CG520" t="n">
        <v>2.7</v>
      </c>
      <c r="CH520" t="n">
        <v>24.3</v>
      </c>
      <c r="CI520" t="n">
        <v>-18.9</v>
      </c>
      <c r="CJ520" t="n">
        <v>2.8461948784361</v>
      </c>
      <c r="EH520" t="n">
        <v>2.846</v>
      </c>
      <c r="ES520" t="n">
        <v>5.41</v>
      </c>
      <c r="FF520" t="n">
        <v>8</v>
      </c>
      <c r="FG520" t="n">
        <v>2.6</v>
      </c>
      <c r="FH520" t="n">
        <v>23.4</v>
      </c>
      <c r="FI520" t="n">
        <v>-18.2</v>
      </c>
      <c r="FJ520" t="n">
        <v>2.577959610926162</v>
      </c>
      <c r="HH520" t="n">
        <v>2.578</v>
      </c>
      <c r="HS520" t="n">
        <v>-0.85</v>
      </c>
      <c r="IF520" t="n">
        <v>8</v>
      </c>
      <c r="IG520" t="n">
        <v>4.2</v>
      </c>
      <c r="IH520" t="n">
        <v>37.8</v>
      </c>
      <c r="II520" t="n">
        <v>-29.4</v>
      </c>
      <c r="IJ520" t="n">
        <v>4.115650163465594</v>
      </c>
      <c r="KH520" t="n">
        <v>4.116</v>
      </c>
      <c r="KS520" t="n">
        <v>-2.01</v>
      </c>
    </row>
    <row r="521">
      <c r="A521" t="inlineStr">
        <is>
          <t>2026-04-21</t>
        </is>
      </c>
      <c r="B521" t="inlineStr">
        <is>
          <t>Renal 15</t>
        </is>
      </c>
      <c r="C521" t="inlineStr">
        <is>
          <t>200726042101</t>
        </is>
      </c>
      <c r="D521" t="inlineStr">
        <is>
          <t>BUN</t>
        </is>
      </c>
      <c r="F521" t="n">
        <v>9</v>
      </c>
      <c r="G521" t="n">
        <v>14.8</v>
      </c>
      <c r="H521" t="n">
        <v>148</v>
      </c>
      <c r="I521" t="n">
        <v>-118.4</v>
      </c>
      <c r="J521" t="n">
        <v>14.78232002654609</v>
      </c>
      <c r="BH521" t="n">
        <v>14.782</v>
      </c>
      <c r="BS521" t="n">
        <v>-0.12</v>
      </c>
      <c r="CF521" t="n">
        <v>9</v>
      </c>
      <c r="CG521" t="n">
        <v>44.7</v>
      </c>
      <c r="CH521" t="n">
        <v>447</v>
      </c>
      <c r="CI521" t="n">
        <v>-357.6</v>
      </c>
      <c r="CJ521" t="n">
        <v>45.99751444936332</v>
      </c>
      <c r="EH521" t="n">
        <v>45.998</v>
      </c>
      <c r="ES521" t="n">
        <v>2.9</v>
      </c>
      <c r="FF521" t="n">
        <v>9</v>
      </c>
      <c r="FG521" t="n">
        <v>14.7</v>
      </c>
      <c r="FH521" t="n">
        <v>147</v>
      </c>
      <c r="FI521" t="n">
        <v>-117.6</v>
      </c>
      <c r="FJ521" t="n">
        <v>14.66675712686479</v>
      </c>
      <c r="HH521" t="n">
        <v>14.667</v>
      </c>
      <c r="HS521" t="n">
        <v>-0.23</v>
      </c>
      <c r="IF521" t="n">
        <v>9</v>
      </c>
      <c r="IG521" t="n">
        <v>65.7</v>
      </c>
      <c r="IH521" t="n">
        <v>657</v>
      </c>
      <c r="II521" t="n">
        <v>-525.6</v>
      </c>
      <c r="IJ521" t="n">
        <v>66.9159417405838</v>
      </c>
      <c r="KH521" t="n">
        <v>66.916</v>
      </c>
      <c r="KS521" t="n">
        <v>1.85</v>
      </c>
    </row>
    <row r="522">
      <c r="A522" t="inlineStr">
        <is>
          <t>2026-04-21</t>
        </is>
      </c>
      <c r="B522" t="inlineStr">
        <is>
          <t>Renal 15</t>
        </is>
      </c>
      <c r="C522" t="inlineStr">
        <is>
          <t>200726042101</t>
        </is>
      </c>
      <c r="D522" t="inlineStr">
        <is>
          <t>CREA</t>
        </is>
      </c>
      <c r="F522" t="n">
        <v>10</v>
      </c>
      <c r="G522" t="n">
        <v>1.5</v>
      </c>
      <c r="H522" t="n">
        <v>16.5</v>
      </c>
      <c r="I522" t="n">
        <v>-13.5</v>
      </c>
      <c r="J522" t="n">
        <v>1.344258012263531</v>
      </c>
      <c r="BH522" t="n">
        <v>1.344</v>
      </c>
      <c r="BS522" t="n">
        <v>-10.38</v>
      </c>
      <c r="CF522" t="n">
        <v>10</v>
      </c>
      <c r="CG522" t="n">
        <v>5.55</v>
      </c>
      <c r="CH522" t="n">
        <v>61.05</v>
      </c>
      <c r="CI522" t="n">
        <v>-49.95</v>
      </c>
      <c r="CJ522" t="n">
        <v>4.686263441537139</v>
      </c>
      <c r="EH522" t="n">
        <v>4.686</v>
      </c>
      <c r="ES522" t="n">
        <v>-15.56</v>
      </c>
      <c r="FF522" t="n">
        <v>10</v>
      </c>
      <c r="FG522" t="n">
        <v>0.97</v>
      </c>
      <c r="FH522" t="n">
        <v>10.67</v>
      </c>
      <c r="FI522" t="n">
        <v>-8.73</v>
      </c>
      <c r="FJ522" t="n">
        <v>0.733898854068079</v>
      </c>
      <c r="HH522" t="n">
        <v>0.734</v>
      </c>
      <c r="HS522" t="n">
        <v>-24.34</v>
      </c>
      <c r="IF522" t="n">
        <v>10</v>
      </c>
      <c r="IG522" t="n">
        <v>5.95</v>
      </c>
      <c r="IH522" t="n">
        <v>65.45</v>
      </c>
      <c r="II522" t="n">
        <v>-53.55</v>
      </c>
      <c r="IJ522" t="n">
        <v>5.546120224559067</v>
      </c>
      <c r="KH522" t="n">
        <v>5.546</v>
      </c>
      <c r="KS522" t="n">
        <v>-6.79</v>
      </c>
    </row>
    <row r="523">
      <c r="A523" t="inlineStr">
        <is>
          <t>2026-04-21</t>
        </is>
      </c>
      <c r="B523" t="inlineStr">
        <is>
          <t>Renal 15</t>
        </is>
      </c>
      <c r="C523" t="inlineStr">
        <is>
          <t>200726042101</t>
        </is>
      </c>
      <c r="D523" t="inlineStr">
        <is>
          <t>Ca</t>
        </is>
      </c>
      <c r="G523" t="n">
        <v>9.1</v>
      </c>
      <c r="J523" t="n">
        <v>9.87021807578817</v>
      </c>
      <c r="BH523" t="n">
        <v>9.869999999999999</v>
      </c>
      <c r="BS523" t="n">
        <v>8.460000000000001</v>
      </c>
      <c r="CG523" t="n">
        <v>12.4</v>
      </c>
      <c r="CJ523" t="n">
        <v>13.53498738943607</v>
      </c>
      <c r="EH523" t="n">
        <v>13.535</v>
      </c>
      <c r="ES523" t="n">
        <v>9.15</v>
      </c>
      <c r="FG523" t="n">
        <v>5.9</v>
      </c>
      <c r="FJ523" t="n">
        <v>5.965020615130435</v>
      </c>
      <c r="HH523" t="n">
        <v>5.965</v>
      </c>
      <c r="HS523" t="n">
        <v>1.1</v>
      </c>
      <c r="IG523" t="n">
        <v>12.7</v>
      </c>
      <c r="IJ523" t="n">
        <v>13.15162044979653</v>
      </c>
      <c r="KH523" t="n">
        <v>13.152</v>
      </c>
      <c r="KS523" t="n">
        <v>3.56</v>
      </c>
    </row>
    <row r="524">
      <c r="A524" t="inlineStr">
        <is>
          <t>2026-04-21</t>
        </is>
      </c>
      <c r="B524" t="inlineStr">
        <is>
          <t>Renal 15</t>
        </is>
      </c>
      <c r="C524" t="inlineStr">
        <is>
          <t>200726042101</t>
        </is>
      </c>
      <c r="D524" t="inlineStr">
        <is>
          <t>GLU</t>
        </is>
      </c>
      <c r="F524" t="n">
        <v>8</v>
      </c>
      <c r="G524" t="n">
        <v>90.16</v>
      </c>
      <c r="H524" t="n">
        <v>811.4399999999999</v>
      </c>
      <c r="I524" t="n">
        <v>-631.12</v>
      </c>
      <c r="J524" t="n">
        <v>92.84117381404592</v>
      </c>
      <c r="BH524" t="n">
        <v>92.84099999999999</v>
      </c>
      <c r="BS524" t="n">
        <v>2.97</v>
      </c>
      <c r="CF524" t="n">
        <v>8</v>
      </c>
      <c r="CG524" t="n">
        <v>293.02</v>
      </c>
      <c r="CH524" t="n">
        <v>2637.18</v>
      </c>
      <c r="CI524" t="n">
        <v>-2051.14</v>
      </c>
      <c r="CJ524" t="n">
        <v>310.8163449033441</v>
      </c>
      <c r="EH524" t="n">
        <v>310.816</v>
      </c>
      <c r="ES524" t="n">
        <v>6.07</v>
      </c>
      <c r="FF524" t="n">
        <v>8</v>
      </c>
      <c r="FG524" t="n">
        <v>65.66</v>
      </c>
      <c r="FH524" t="n">
        <v>590.9399999999999</v>
      </c>
      <c r="FI524" t="n">
        <v>-459.62</v>
      </c>
      <c r="FJ524" t="n">
        <v>66.79453705961777</v>
      </c>
      <c r="HH524" t="n">
        <v>66.795</v>
      </c>
      <c r="HS524" t="n">
        <v>1.73</v>
      </c>
      <c r="IF524" t="n">
        <v>8</v>
      </c>
      <c r="IG524" t="n">
        <v>359.66</v>
      </c>
      <c r="IH524" t="n">
        <v>3236.94</v>
      </c>
      <c r="II524" t="n">
        <v>-2517.62</v>
      </c>
      <c r="IJ524" t="n">
        <v>365.5633835873805</v>
      </c>
      <c r="KH524" t="n">
        <v>365.563</v>
      </c>
      <c r="KS524" t="n">
        <v>1.64</v>
      </c>
    </row>
    <row r="525">
      <c r="A525" t="inlineStr">
        <is>
          <t>2026-04-21</t>
        </is>
      </c>
      <c r="B525" t="inlineStr">
        <is>
          <t>Renal 15</t>
        </is>
      </c>
      <c r="C525" t="inlineStr">
        <is>
          <t>200726042101</t>
        </is>
      </c>
      <c r="D525" t="inlineStr">
        <is>
          <t>PHOS</t>
        </is>
      </c>
      <c r="F525" t="n">
        <v>10</v>
      </c>
      <c r="G525" t="n">
        <v>3.3</v>
      </c>
      <c r="H525" t="n">
        <v>36.3</v>
      </c>
      <c r="I525" t="n">
        <v>-29.7</v>
      </c>
      <c r="J525" t="n">
        <v>3.299734761808106</v>
      </c>
      <c r="BH525" t="n">
        <v>3.3</v>
      </c>
      <c r="BS525" t="n">
        <v>-0.01</v>
      </c>
      <c r="CF525" t="n">
        <v>10</v>
      </c>
      <c r="CG525" t="n">
        <v>7.2</v>
      </c>
      <c r="CH525" t="n">
        <v>79.2</v>
      </c>
      <c r="CI525" t="n">
        <v>-64.8</v>
      </c>
      <c r="CJ525" t="n">
        <v>7.295877198759798</v>
      </c>
      <c r="EH525" t="n">
        <v>7.296</v>
      </c>
      <c r="ES525" t="n">
        <v>1.33</v>
      </c>
      <c r="FF525" t="n">
        <v>10</v>
      </c>
      <c r="FG525" t="n">
        <v>1.9</v>
      </c>
      <c r="FH525" t="n">
        <v>20.9</v>
      </c>
      <c r="FI525" t="n">
        <v>-17.1</v>
      </c>
      <c r="FJ525" t="n">
        <v>1.974940137991043</v>
      </c>
      <c r="HH525" t="n">
        <v>1.975</v>
      </c>
      <c r="HS525" t="n">
        <v>3.94</v>
      </c>
      <c r="IF525" t="n">
        <v>10</v>
      </c>
      <c r="IG525" t="n">
        <v>7.2</v>
      </c>
      <c r="IH525" t="n">
        <v>79.2</v>
      </c>
      <c r="II525" t="n">
        <v>-64.8</v>
      </c>
      <c r="IJ525" t="n">
        <v>7.303508713084257</v>
      </c>
      <c r="KH525" t="n">
        <v>7.304</v>
      </c>
      <c r="KS525" t="n">
        <v>1.44</v>
      </c>
    </row>
    <row r="526">
      <c r="A526" t="inlineStr">
        <is>
          <t>2026-04-21</t>
        </is>
      </c>
      <c r="B526" t="inlineStr">
        <is>
          <t>Renal 15</t>
        </is>
      </c>
      <c r="C526" t="inlineStr">
        <is>
          <t>200726042101</t>
        </is>
      </c>
      <c r="D526" t="inlineStr">
        <is>
          <t>TP</t>
        </is>
      </c>
      <c r="F526" t="n">
        <v>8</v>
      </c>
      <c r="G526" t="n">
        <v>6.4</v>
      </c>
      <c r="H526" t="n">
        <v>57.6</v>
      </c>
      <c r="I526" t="n">
        <v>-44.8</v>
      </c>
      <c r="J526" t="n">
        <v>6.516683265884481</v>
      </c>
      <c r="BH526" t="n">
        <v>6.517</v>
      </c>
      <c r="BS526" t="n">
        <v>1.82</v>
      </c>
      <c r="CF526" t="n">
        <v>8</v>
      </c>
      <c r="CG526" t="n">
        <v>4.1</v>
      </c>
      <c r="CH526" t="n">
        <v>36.9</v>
      </c>
      <c r="CI526" t="n">
        <v>-28.7</v>
      </c>
      <c r="CJ526" t="n">
        <v>4.413262956272149</v>
      </c>
      <c r="EH526" t="n">
        <v>4.413</v>
      </c>
      <c r="ES526" t="n">
        <v>7.64</v>
      </c>
      <c r="FF526" t="n">
        <v>8</v>
      </c>
      <c r="FG526" t="n">
        <v>4.2</v>
      </c>
      <c r="FH526" t="n">
        <v>37.8</v>
      </c>
      <c r="FI526" t="n">
        <v>-29.4</v>
      </c>
      <c r="FJ526" t="n">
        <v>4.014249282705088</v>
      </c>
      <c r="HH526" t="n">
        <v>4.014</v>
      </c>
      <c r="HS526" t="n">
        <v>-4.42</v>
      </c>
      <c r="IF526" t="n">
        <v>8</v>
      </c>
      <c r="IG526" t="n">
        <v>7.5</v>
      </c>
      <c r="IH526" t="n">
        <v>67.5</v>
      </c>
      <c r="II526" t="n">
        <v>-52.5</v>
      </c>
      <c r="IJ526" t="n">
        <v>7.667346881832118</v>
      </c>
      <c r="KH526" t="n">
        <v>7.667</v>
      </c>
      <c r="KS526" t="n">
        <v>2.23</v>
      </c>
    </row>
    <row r="527">
      <c r="A527" t="inlineStr">
        <is>
          <t>2026-04-21</t>
        </is>
      </c>
      <c r="B527" t="inlineStr">
        <is>
          <t>S-DMA</t>
        </is>
      </c>
      <c r="C527" t="inlineStr">
        <is>
          <t>111326042101</t>
        </is>
      </c>
      <c r="D527" t="inlineStr">
        <is>
          <t>S-DMA</t>
        </is>
      </c>
      <c r="J527" t="n">
        <v>19.44242428012138</v>
      </c>
      <c r="K527" t="n">
        <v>16.35248412587142</v>
      </c>
      <c r="L527" t="n">
        <v>22.70386420115656</v>
      </c>
      <c r="M527" t="n">
        <v>18.98275931501139</v>
      </c>
      <c r="N527" t="n">
        <v>19.57979548226908</v>
      </c>
      <c r="O527" t="n">
        <v>23.12682871640233</v>
      </c>
      <c r="P527" t="n">
        <v>20.91483669698365</v>
      </c>
      <c r="BH527" t="n">
        <v>20.158</v>
      </c>
      <c r="CD527" t="n">
        <v>10.7</v>
      </c>
      <c r="CJ527" t="n">
        <v>58.46394330492583</v>
      </c>
      <c r="CK527" t="n">
        <v>10.55111731187535</v>
      </c>
      <c r="CL527" t="n">
        <v>69.81029030670344</v>
      </c>
      <c r="CM527" t="n">
        <v>52.11064781556692</v>
      </c>
      <c r="CN527" t="n">
        <v>60.91439076472732</v>
      </c>
      <c r="CO527" t="n">
        <v>59.69985542308598</v>
      </c>
      <c r="CP527" t="n">
        <v>64.53208863320489</v>
      </c>
      <c r="EH527" t="n">
        <v>53.726</v>
      </c>
      <c r="FD527" t="n">
        <v>34.12</v>
      </c>
    </row>
    <row r="528">
      <c r="A528" t="inlineStr">
        <is>
          <t>2026-04-21</t>
        </is>
      </c>
      <c r="B528" t="inlineStr">
        <is>
          <t>Canine CRP</t>
        </is>
      </c>
      <c r="C528" t="inlineStr">
        <is>
          <t>110626042101</t>
        </is>
      </c>
      <c r="D528" t="inlineStr">
        <is>
          <t>cCRP</t>
        </is>
      </c>
      <c r="J528" t="n">
        <v>30.62725431048262</v>
      </c>
      <c r="K528" t="n">
        <v>32.46984824238255</v>
      </c>
      <c r="BH528" t="n">
        <v>31.549</v>
      </c>
      <c r="CD528" t="n">
        <v>2.92</v>
      </c>
      <c r="CJ528" t="n">
        <v>127.8444004922342</v>
      </c>
      <c r="CK528" t="n">
        <v>127.7912837476898</v>
      </c>
      <c r="EH528" t="n">
        <v>127.818</v>
      </c>
      <c r="FD528" t="n">
        <v>0.02</v>
      </c>
    </row>
    <row r="529">
      <c r="A529" t="inlineStr">
        <is>
          <t>2026-04-21</t>
        </is>
      </c>
      <c r="B529" t="inlineStr">
        <is>
          <t>Total T4</t>
        </is>
      </c>
      <c r="C529" t="inlineStr">
        <is>
          <t>110126042101</t>
        </is>
      </c>
      <c r="D529" t="inlineStr">
        <is>
          <t>TT4</t>
        </is>
      </c>
      <c r="J529" t="n">
        <v>1.435487443787233</v>
      </c>
      <c r="BH529" t="n">
        <v>1.435</v>
      </c>
      <c r="CJ529" t="n">
        <v>5.846360038317343</v>
      </c>
      <c r="EH529" t="n">
        <v>5.846</v>
      </c>
    </row>
    <row r="530">
      <c r="A530" t="inlineStr">
        <is>
          <t>2026-04-17</t>
        </is>
      </c>
      <c r="B530" t="inlineStr">
        <is>
          <t>Avian &amp; Reptile 26</t>
        </is>
      </c>
      <c r="C530" t="inlineStr">
        <is>
          <t>206426041701</t>
        </is>
      </c>
      <c r="D530" t="inlineStr">
        <is>
          <t>ALP</t>
        </is>
      </c>
      <c r="F530" t="n">
        <v>20</v>
      </c>
      <c r="G530" t="n">
        <v>136</v>
      </c>
      <c r="H530" t="n">
        <v>2856</v>
      </c>
      <c r="I530" t="n">
        <v>-2584</v>
      </c>
      <c r="J530" t="n">
        <v>140.4403882162021</v>
      </c>
      <c r="K530" t="n">
        <v>140.9376842903827</v>
      </c>
      <c r="L530" t="n">
        <v>141.1376055138808</v>
      </c>
      <c r="M530" t="n">
        <v>142.09316861809</v>
      </c>
      <c r="N530" t="n">
        <v>140.449087773362</v>
      </c>
      <c r="BH530" t="n">
        <v>141.012</v>
      </c>
      <c r="BS530" t="n">
        <v>3.68</v>
      </c>
      <c r="CD530" t="n">
        <v>0.43</v>
      </c>
      <c r="CF530" t="n">
        <v>20</v>
      </c>
      <c r="CG530" t="n">
        <v>456</v>
      </c>
      <c r="CH530" t="n">
        <v>9576</v>
      </c>
      <c r="CI530" t="n">
        <v>-8664</v>
      </c>
      <c r="CJ530" t="n">
        <v>449.7137189951036</v>
      </c>
      <c r="CK530" t="n">
        <v>484.5597007585142</v>
      </c>
      <c r="CL530" t="n">
        <v>454.5279030336228</v>
      </c>
      <c r="CM530" t="n">
        <v>482.5930409136889</v>
      </c>
      <c r="CN530" t="n">
        <v>455.8780778490269</v>
      </c>
      <c r="EH530" t="n">
        <v>465.454</v>
      </c>
      <c r="ES530" t="n">
        <v>2.07</v>
      </c>
      <c r="FD530" t="n">
        <v>3.21</v>
      </c>
      <c r="FF530" t="n">
        <v>20</v>
      </c>
      <c r="FG530" t="n">
        <v>75</v>
      </c>
      <c r="FH530" t="n">
        <v>1575</v>
      </c>
      <c r="FI530" t="n">
        <v>-1425</v>
      </c>
      <c r="FJ530" t="n">
        <v>73.69841949450766</v>
      </c>
      <c r="FK530" t="n">
        <v>73.2022096263335</v>
      </c>
      <c r="FL530" t="n">
        <v>73.60606802661634</v>
      </c>
      <c r="FM530" t="n">
        <v>73.67174030041859</v>
      </c>
      <c r="FN530" t="n">
        <v>73.71844742228318</v>
      </c>
      <c r="FO530" t="n">
        <v>74.06451185214237</v>
      </c>
      <c r="HH530" t="n">
        <v>73.66</v>
      </c>
      <c r="HS530" t="n">
        <v>-1.79</v>
      </c>
      <c r="ID530" t="n">
        <v>0.34</v>
      </c>
      <c r="IF530" t="n">
        <v>20</v>
      </c>
      <c r="IG530" t="n">
        <v>251</v>
      </c>
      <c r="IH530" t="n">
        <v>5271</v>
      </c>
      <c r="II530" t="n">
        <v>-4769</v>
      </c>
      <c r="IJ530" t="n">
        <v>451.0052422706108</v>
      </c>
      <c r="IK530" t="n">
        <v>230.2687713909118</v>
      </c>
      <c r="IL530" t="n">
        <v>225.8436221142441</v>
      </c>
      <c r="IM530" t="n">
        <v>228.2301054188568</v>
      </c>
      <c r="IN530" t="n">
        <v>225.766418448652</v>
      </c>
      <c r="IO530" t="n">
        <v>231.6349226323644</v>
      </c>
      <c r="KH530" t="n">
        <v>265.458</v>
      </c>
      <c r="KS530" t="n">
        <v>5.76</v>
      </c>
      <c r="LD530" t="n">
        <v>31.27</v>
      </c>
    </row>
    <row r="531">
      <c r="A531" t="inlineStr">
        <is>
          <t>2026-04-17</t>
        </is>
      </c>
      <c r="B531" t="inlineStr">
        <is>
          <t>Avian &amp; Reptile 26</t>
        </is>
      </c>
      <c r="C531" t="inlineStr">
        <is>
          <t>206426041701</t>
        </is>
      </c>
      <c r="D531" t="inlineStr">
        <is>
          <t>BA</t>
        </is>
      </c>
      <c r="J531" t="n">
        <v>5.648750090134577</v>
      </c>
      <c r="K531" t="n">
        <v>5.760468526682851</v>
      </c>
      <c r="L531" t="n">
        <v>5.302564242123315</v>
      </c>
      <c r="M531" t="n">
        <v>5.237909257790214</v>
      </c>
      <c r="N531" t="n">
        <v>5.757119437705272</v>
      </c>
      <c r="BH531" t="n">
        <v>5.541</v>
      </c>
      <c r="CD531" t="n">
        <v>4.08</v>
      </c>
      <c r="CJ531" t="n">
        <v>4.810734906384631</v>
      </c>
      <c r="CK531" t="n">
        <v>4.734892606992686</v>
      </c>
      <c r="CL531" t="n">
        <v>4.726590613076022</v>
      </c>
      <c r="CM531" t="n">
        <v>4.887207896632994</v>
      </c>
      <c r="CN531" t="n">
        <v>5.471411145463369</v>
      </c>
      <c r="EH531" t="n">
        <v>4.926</v>
      </c>
      <c r="FD531" t="n">
        <v>5.66</v>
      </c>
      <c r="FJ531" t="n">
        <v>13.69904526506053</v>
      </c>
      <c r="FK531" t="n">
        <v>13.51287711963724</v>
      </c>
      <c r="FL531" t="n">
        <v>13.04477772705025</v>
      </c>
      <c r="FM531" t="n">
        <v>14.35486920144942</v>
      </c>
      <c r="FN531" t="n">
        <v>14.74345175412039</v>
      </c>
      <c r="FO531" t="n">
        <v>14.19650175673099</v>
      </c>
      <c r="HH531" t="n">
        <v>13.925</v>
      </c>
      <c r="ID531" t="n">
        <v>4.07</v>
      </c>
      <c r="IJ531" t="n">
        <v>4.531439530587161</v>
      </c>
      <c r="IK531" t="n">
        <v>12.22432275329705</v>
      </c>
      <c r="IL531" t="n">
        <v>12.6609886035264</v>
      </c>
      <c r="IM531" t="n">
        <v>12.46484909164693</v>
      </c>
      <c r="IN531" t="n">
        <v>12.92258141161249</v>
      </c>
      <c r="IO531" t="n">
        <v>12.49139140798208</v>
      </c>
      <c r="KH531" t="n">
        <v>11.216</v>
      </c>
      <c r="LD531" t="n">
        <v>26.72</v>
      </c>
    </row>
    <row r="532">
      <c r="A532" t="inlineStr">
        <is>
          <t>2026-04-17</t>
        </is>
      </c>
      <c r="B532" t="inlineStr">
        <is>
          <t>Avian &amp; Reptile 26</t>
        </is>
      </c>
      <c r="C532" t="inlineStr">
        <is>
          <t>206426041701</t>
        </is>
      </c>
      <c r="D532" t="inlineStr">
        <is>
          <t>BUN</t>
        </is>
      </c>
      <c r="F532" t="n">
        <v>9</v>
      </c>
      <c r="G532" t="n">
        <v>14.8</v>
      </c>
      <c r="H532" t="n">
        <v>148</v>
      </c>
      <c r="I532" t="n">
        <v>-118.4</v>
      </c>
      <c r="J532" t="n">
        <v>14.43167993529425</v>
      </c>
      <c r="K532" t="n">
        <v>14.21953294350876</v>
      </c>
      <c r="L532" t="n">
        <v>14.16772766715065</v>
      </c>
      <c r="M532" t="n">
        <v>14.24671040985218</v>
      </c>
      <c r="N532" t="n">
        <v>14.3621778135393</v>
      </c>
      <c r="BH532" t="n">
        <v>14.286</v>
      </c>
      <c r="BS532" t="n">
        <v>-3.48</v>
      </c>
      <c r="CD532" t="n">
        <v>0.68</v>
      </c>
      <c r="CF532" t="n">
        <v>9</v>
      </c>
      <c r="CG532" t="n">
        <v>44.7</v>
      </c>
      <c r="CH532" t="n">
        <v>447</v>
      </c>
      <c r="CI532" t="n">
        <v>-357.6</v>
      </c>
      <c r="CJ532" t="n">
        <v>44.37487660729474</v>
      </c>
      <c r="CK532" t="n">
        <v>46.91712549755355</v>
      </c>
      <c r="CL532" t="n">
        <v>44.41472641691917</v>
      </c>
      <c r="CM532" t="n">
        <v>47.63545620203644</v>
      </c>
      <c r="CN532" t="n">
        <v>45.63886212030485</v>
      </c>
      <c r="EH532" t="n">
        <v>45.796</v>
      </c>
      <c r="ES532" t="n">
        <v>2.45</v>
      </c>
      <c r="FD532" t="n">
        <v>2.86</v>
      </c>
      <c r="FF532" t="n">
        <v>9</v>
      </c>
      <c r="FG532" t="n">
        <v>14.7</v>
      </c>
      <c r="FH532" t="n">
        <v>147</v>
      </c>
      <c r="FI532" t="n">
        <v>-117.6</v>
      </c>
      <c r="FJ532" t="n">
        <v>14.15783538793116</v>
      </c>
      <c r="FK532" t="n">
        <v>14.04546125200096</v>
      </c>
      <c r="FL532" t="n">
        <v>14.37299820506152</v>
      </c>
      <c r="FM532" t="n">
        <v>14.66450473989577</v>
      </c>
      <c r="FN532" t="n">
        <v>15.00149502644074</v>
      </c>
      <c r="FO532" t="n">
        <v>14.71678699626566</v>
      </c>
      <c r="HH532" t="n">
        <v>14.493</v>
      </c>
      <c r="HS532" t="n">
        <v>-1.41</v>
      </c>
      <c r="ID532" t="n">
        <v>2.3</v>
      </c>
      <c r="IF532" t="n">
        <v>9</v>
      </c>
      <c r="IG532" t="n">
        <v>65.7</v>
      </c>
      <c r="IH532" t="n">
        <v>657</v>
      </c>
      <c r="II532" t="n">
        <v>-525.6</v>
      </c>
      <c r="IJ532" t="n">
        <v>43.91325149946496</v>
      </c>
      <c r="IK532" t="n">
        <v>64.95893030407279</v>
      </c>
      <c r="IL532" t="n">
        <v>64.35484233976605</v>
      </c>
      <c r="IM532" t="n">
        <v>64.98114769691541</v>
      </c>
      <c r="IN532" t="n">
        <v>65.76367537296071</v>
      </c>
      <c r="IO532" t="n">
        <v>65.61773324123246</v>
      </c>
      <c r="KH532" t="n">
        <v>61.598</v>
      </c>
      <c r="KS532" t="n">
        <v>-6.24</v>
      </c>
      <c r="LD532" t="n">
        <v>12.86</v>
      </c>
    </row>
    <row r="533">
      <c r="A533" t="inlineStr">
        <is>
          <t>2026-04-17</t>
        </is>
      </c>
      <c r="B533" t="inlineStr">
        <is>
          <t>Avian &amp; Reptile 26</t>
        </is>
      </c>
      <c r="C533" t="inlineStr">
        <is>
          <t>206426041701</t>
        </is>
      </c>
      <c r="D533" t="inlineStr">
        <is>
          <t>CHOL</t>
        </is>
      </c>
      <c r="F533" t="n">
        <v>10</v>
      </c>
      <c r="G533" t="n">
        <v>228</v>
      </c>
      <c r="H533" t="n">
        <v>2508</v>
      </c>
      <c r="I533" t="n">
        <v>-2052</v>
      </c>
      <c r="J533" t="n">
        <v>231.6347104113151</v>
      </c>
      <c r="K533" t="n">
        <v>230.1769591483518</v>
      </c>
      <c r="L533" t="n">
        <v>233.355496544817</v>
      </c>
      <c r="M533" t="n">
        <v>232.4559200957667</v>
      </c>
      <c r="N533" t="n">
        <v>230.8142434221199</v>
      </c>
      <c r="BH533" t="n">
        <v>231.687</v>
      </c>
      <c r="BS533" t="n">
        <v>1.62</v>
      </c>
      <c r="CD533" t="n">
        <v>0.49</v>
      </c>
      <c r="CF533" t="n">
        <v>10</v>
      </c>
      <c r="CG533" t="n">
        <v>99</v>
      </c>
      <c r="CH533" t="n">
        <v>1089</v>
      </c>
      <c r="CI533" t="n">
        <v>-891</v>
      </c>
      <c r="CJ533" t="n">
        <v>93.35464123950884</v>
      </c>
      <c r="CK533" t="n">
        <v>99.34153638282474</v>
      </c>
      <c r="CL533" t="n">
        <v>97.32550177682886</v>
      </c>
      <c r="CM533" t="n">
        <v>104.6097610871823</v>
      </c>
      <c r="CN533" t="n">
        <v>98.37830329945332</v>
      </c>
      <c r="EH533" t="n">
        <v>98.602</v>
      </c>
      <c r="ES533" t="n">
        <v>-0.4</v>
      </c>
      <c r="FD533" t="n">
        <v>3.68</v>
      </c>
      <c r="FF533" t="n">
        <v>10</v>
      </c>
      <c r="FG533" t="n">
        <v>115</v>
      </c>
      <c r="FH533" t="n">
        <v>1265</v>
      </c>
      <c r="FI533" t="n">
        <v>-1035</v>
      </c>
      <c r="FJ533" t="n">
        <v>109.5589764748088</v>
      </c>
      <c r="FK533" t="n">
        <v>110.9418191344032</v>
      </c>
      <c r="FL533" t="n">
        <v>112.0782074214889</v>
      </c>
      <c r="FM533" t="n">
        <v>112.5196709417983</v>
      </c>
      <c r="FN533" t="n">
        <v>112.261055373691</v>
      </c>
      <c r="FO533" t="n">
        <v>110.3133999736169</v>
      </c>
      <c r="HH533" t="n">
        <v>111.279</v>
      </c>
      <c r="HS533" t="n">
        <v>-3.24</v>
      </c>
      <c r="ID533" t="n">
        <v>0.98</v>
      </c>
      <c r="IF533" t="n">
        <v>10</v>
      </c>
      <c r="IG533" t="n">
        <v>269</v>
      </c>
      <c r="IH533" t="n">
        <v>2959</v>
      </c>
      <c r="II533" t="n">
        <v>-2421</v>
      </c>
      <c r="IJ533" t="n">
        <v>96.84077468902353</v>
      </c>
      <c r="IK533" t="n">
        <v>263.3094371838223</v>
      </c>
      <c r="IL533" t="n">
        <v>264.0472426309123</v>
      </c>
      <c r="IM533" t="n">
        <v>269.6690079688179</v>
      </c>
      <c r="IN533" t="n">
        <v>259.4603815541599</v>
      </c>
      <c r="IO533" t="n">
        <v>269.6204110874427</v>
      </c>
      <c r="KH533" t="n">
        <v>237.158</v>
      </c>
      <c r="KS533" t="n">
        <v>-11.84</v>
      </c>
      <c r="LD533" t="n">
        <v>26.5</v>
      </c>
    </row>
    <row r="534">
      <c r="A534" t="inlineStr">
        <is>
          <t>2026-04-17</t>
        </is>
      </c>
      <c r="B534" t="inlineStr">
        <is>
          <t>Avian &amp; Reptile 26</t>
        </is>
      </c>
      <c r="C534" t="inlineStr">
        <is>
          <t>206426041701</t>
        </is>
      </c>
      <c r="D534" t="inlineStr">
        <is>
          <t>GGT</t>
        </is>
      </c>
      <c r="F534" t="n">
        <v>15</v>
      </c>
      <c r="G534" t="n">
        <v>57</v>
      </c>
      <c r="H534" t="n">
        <v>912</v>
      </c>
      <c r="I534" t="n">
        <v>-798</v>
      </c>
      <c r="J534" t="n">
        <v>60.98684158343706</v>
      </c>
      <c r="K534" t="n">
        <v>60.96334246770158</v>
      </c>
      <c r="L534" t="n">
        <v>60.39426769534442</v>
      </c>
      <c r="M534" t="n">
        <v>60.59754790454187</v>
      </c>
      <c r="N534" t="n">
        <v>60.72120715277173</v>
      </c>
      <c r="BH534" t="n">
        <v>60.733</v>
      </c>
      <c r="BS534" t="n">
        <v>6.55</v>
      </c>
      <c r="CD534" t="n">
        <v>0.37</v>
      </c>
      <c r="CF534" t="n">
        <v>15</v>
      </c>
      <c r="CG534" t="n">
        <v>164</v>
      </c>
      <c r="CH534" t="n">
        <v>2624</v>
      </c>
      <c r="CI534" t="n">
        <v>-2296</v>
      </c>
      <c r="CJ534" t="n">
        <v>169.2590641205331</v>
      </c>
      <c r="CK534" t="n">
        <v>179.5075121476637</v>
      </c>
      <c r="CL534" t="n">
        <v>169.8951939091561</v>
      </c>
      <c r="CM534" t="n">
        <v>183.9454125924591</v>
      </c>
      <c r="CN534" t="n">
        <v>173.4995242156243</v>
      </c>
      <c r="EH534" t="n">
        <v>175.221</v>
      </c>
      <c r="ES534" t="n">
        <v>6.84</v>
      </c>
      <c r="FD534" t="n">
        <v>3.24</v>
      </c>
      <c r="FF534" t="n">
        <v>15</v>
      </c>
      <c r="FG534" t="n">
        <v>23</v>
      </c>
      <c r="FH534" t="n">
        <v>368</v>
      </c>
      <c r="FI534" t="n">
        <v>-322</v>
      </c>
      <c r="FJ534" t="n">
        <v>22.22085263713687</v>
      </c>
      <c r="FK534" t="n">
        <v>25.28033555590887</v>
      </c>
      <c r="FL534" t="n">
        <v>23.73511168817164</v>
      </c>
      <c r="FM534" t="n">
        <v>24.20754178321141</v>
      </c>
      <c r="FN534" t="n">
        <v>23.30199995416331</v>
      </c>
      <c r="FO534" t="n">
        <v>23.76209556598954</v>
      </c>
      <c r="HH534" t="n">
        <v>23.751</v>
      </c>
      <c r="HS534" t="n">
        <v>3.27</v>
      </c>
      <c r="ID534" t="n">
        <v>3.88</v>
      </c>
      <c r="IF534" t="n">
        <v>15</v>
      </c>
      <c r="IG534" t="n">
        <v>126</v>
      </c>
      <c r="IH534" t="n">
        <v>2016</v>
      </c>
      <c r="II534" t="n">
        <v>-1764</v>
      </c>
      <c r="IJ534" t="n">
        <v>167.8863497923633</v>
      </c>
      <c r="IK534" t="n">
        <v>134.6490007916109</v>
      </c>
      <c r="IL534" t="n">
        <v>127.7360482765807</v>
      </c>
      <c r="IM534" t="n">
        <v>130.7121666759137</v>
      </c>
      <c r="IN534" t="n">
        <v>133.3419838377012</v>
      </c>
      <c r="IO534" t="n">
        <v>133.8751843032441</v>
      </c>
      <c r="KH534" t="n">
        <v>138.033</v>
      </c>
      <c r="KS534" t="n">
        <v>9.550000000000001</v>
      </c>
      <c r="LD534" t="n">
        <v>9.82</v>
      </c>
    </row>
    <row r="535">
      <c r="A535" t="inlineStr">
        <is>
          <t>2026-04-17</t>
        </is>
      </c>
      <c r="B535" t="inlineStr">
        <is>
          <t>Avian &amp; Reptile 26</t>
        </is>
      </c>
      <c r="C535" t="inlineStr">
        <is>
          <t>206426041701</t>
        </is>
      </c>
      <c r="D535" t="inlineStr">
        <is>
          <t>K</t>
        </is>
      </c>
      <c r="G535" t="n">
        <v>3.9</v>
      </c>
      <c r="J535" t="n">
        <v>3.701734003396699</v>
      </c>
      <c r="K535" t="n">
        <v>3.633293455402435</v>
      </c>
      <c r="L535" t="n">
        <v>3.755392005842689</v>
      </c>
      <c r="M535" t="n">
        <v>3.898970225811551</v>
      </c>
      <c r="N535" t="n">
        <v>3.688584734002502</v>
      </c>
      <c r="BH535" t="n">
        <v>3.736</v>
      </c>
      <c r="BS535" t="n">
        <v>-4.22</v>
      </c>
      <c r="CD535" t="n">
        <v>2.42</v>
      </c>
      <c r="CG535" t="n">
        <v>6</v>
      </c>
      <c r="CJ535" t="n">
        <v>5.994091420281777</v>
      </c>
      <c r="CK535" t="n">
        <v>6.504012398347232</v>
      </c>
      <c r="CL535" t="n">
        <v>6.30569348644644</v>
      </c>
      <c r="CM535" t="n">
        <v>6.499009104884685</v>
      </c>
      <c r="CN535" t="n">
        <v>6.278717348167033</v>
      </c>
      <c r="EH535" t="n">
        <v>6.316</v>
      </c>
      <c r="ES535" t="n">
        <v>5.27</v>
      </c>
      <c r="FD535" t="n">
        <v>2.95</v>
      </c>
      <c r="FG535" t="n">
        <v>2.2</v>
      </c>
      <c r="FJ535" t="n">
        <v>1.962408652606916</v>
      </c>
      <c r="FK535" t="n">
        <v>1.923968892455169</v>
      </c>
      <c r="FL535" t="n">
        <v>2.297432645094328</v>
      </c>
      <c r="FM535" t="n">
        <v>2.181540163374398</v>
      </c>
      <c r="FN535" t="n">
        <v>2.282179003699481</v>
      </c>
      <c r="FO535" t="n">
        <v>2.226726757127431</v>
      </c>
      <c r="HH535" t="n">
        <v>2.146</v>
      </c>
      <c r="HS535" t="n">
        <v>-2.47</v>
      </c>
      <c r="ID535" t="n">
        <v>6.92</v>
      </c>
      <c r="IG535" t="n">
        <v>8.4</v>
      </c>
      <c r="IJ535" t="n">
        <v>6.240498594565947</v>
      </c>
      <c r="IK535" t="n">
        <v>8.417545993100751</v>
      </c>
      <c r="IL535" t="n">
        <v>8.088393065508679</v>
      </c>
      <c r="IM535" t="n">
        <v>8.473218804204317</v>
      </c>
      <c r="IN535" t="n">
        <v>8.521069102967042</v>
      </c>
      <c r="IO535" t="n">
        <v>8.508362363435515</v>
      </c>
      <c r="KH535" t="n">
        <v>8.042</v>
      </c>
      <c r="KS535" t="n">
        <v>-4.27</v>
      </c>
      <c r="LD535" t="n">
        <v>10.18</v>
      </c>
    </row>
    <row r="536">
      <c r="A536" t="inlineStr">
        <is>
          <t>2026-04-17</t>
        </is>
      </c>
      <c r="B536" t="inlineStr">
        <is>
          <t>Avian &amp; Reptile 26</t>
        </is>
      </c>
      <c r="C536" t="inlineStr">
        <is>
          <t>206426041701</t>
        </is>
      </c>
      <c r="D536" t="inlineStr">
        <is>
          <t>LDH</t>
        </is>
      </c>
      <c r="F536" t="n">
        <v>15</v>
      </c>
      <c r="J536" t="n">
        <v>287.5567559419917</v>
      </c>
      <c r="K536" t="n">
        <v>296.8741124875874</v>
      </c>
      <c r="L536" t="n">
        <v>257.1477299779695</v>
      </c>
      <c r="M536" t="n">
        <v>271.523262249689</v>
      </c>
      <c r="N536" t="n">
        <v>255.6678878421208</v>
      </c>
      <c r="BH536" t="n">
        <v>273.754</v>
      </c>
      <c r="CD536" t="n">
        <v>5.96</v>
      </c>
      <c r="CF536" t="n">
        <v>15</v>
      </c>
      <c r="CJ536" t="n">
        <v>641.2911113430387</v>
      </c>
      <c r="CK536" t="n">
        <v>715.7145800074486</v>
      </c>
      <c r="CL536" t="n">
        <v>662.3816932673567</v>
      </c>
      <c r="CM536" t="n">
        <v>706.7221087063663</v>
      </c>
      <c r="CN536" t="n">
        <v>643.8089904447151</v>
      </c>
      <c r="EH536" t="n">
        <v>673.984</v>
      </c>
      <c r="FD536" t="n">
        <v>4.66</v>
      </c>
      <c r="FF536" t="n">
        <v>15</v>
      </c>
      <c r="FJ536" t="n">
        <v>183.1953184366333</v>
      </c>
      <c r="FK536" t="n">
        <v>189.865951200942</v>
      </c>
      <c r="FL536" t="n">
        <v>207.7921901476429</v>
      </c>
      <c r="FM536" t="n">
        <v>204.0974955297418</v>
      </c>
      <c r="FN536" t="n">
        <v>212.6870279728406</v>
      </c>
      <c r="FO536" t="n">
        <v>193.9828547112325</v>
      </c>
      <c r="HH536" t="n">
        <v>198.603</v>
      </c>
      <c r="ID536" t="n">
        <v>5.23</v>
      </c>
      <c r="IF536" t="n">
        <v>15</v>
      </c>
      <c r="IJ536" t="n">
        <v>658.430380875349</v>
      </c>
      <c r="IK536" t="n">
        <v>800.5442376096886</v>
      </c>
      <c r="IL536" t="n">
        <v>787.3854974599917</v>
      </c>
      <c r="IM536" t="n">
        <v>811.3530758819811</v>
      </c>
      <c r="IN536" t="n">
        <v>795.4180468307688</v>
      </c>
      <c r="IO536" t="n">
        <v>810.0854692491541</v>
      </c>
      <c r="KH536" t="n">
        <v>777.203</v>
      </c>
      <c r="LD536" t="n">
        <v>6.92</v>
      </c>
    </row>
    <row r="537">
      <c r="A537" t="inlineStr">
        <is>
          <t>2026-04-17</t>
        </is>
      </c>
      <c r="B537" t="inlineStr">
        <is>
          <t>Avian &amp; Reptile 26</t>
        </is>
      </c>
      <c r="C537" t="inlineStr">
        <is>
          <t>206426041701</t>
        </is>
      </c>
      <c r="D537" t="inlineStr">
        <is>
          <t>Na</t>
        </is>
      </c>
      <c r="G537" t="n">
        <v>141</v>
      </c>
      <c r="J537" t="n">
        <v>147.8512787675199</v>
      </c>
      <c r="K537" t="n">
        <v>149.2752117158716</v>
      </c>
      <c r="L537" t="n">
        <v>151.2004143284249</v>
      </c>
      <c r="M537" t="n">
        <v>153.6008206272691</v>
      </c>
      <c r="N537" t="n">
        <v>146.5646304368282</v>
      </c>
      <c r="BH537" t="n">
        <v>149.698</v>
      </c>
      <c r="BS537" t="n">
        <v>6.17</v>
      </c>
      <c r="CD537" t="n">
        <v>1.66</v>
      </c>
      <c r="CG537" t="n">
        <v>129</v>
      </c>
      <c r="CJ537" t="n">
        <v>135.3324923173245</v>
      </c>
      <c r="CK537" t="n">
        <v>139.522341131547</v>
      </c>
      <c r="CL537" t="n">
        <v>134.0759687980041</v>
      </c>
      <c r="CM537" t="n">
        <v>142.0989431399097</v>
      </c>
      <c r="CN537" t="n">
        <v>138.3838167166155</v>
      </c>
      <c r="EH537" t="n">
        <v>137.883</v>
      </c>
      <c r="ES537" t="n">
        <v>6.89</v>
      </c>
      <c r="FD537" t="n">
        <v>2.09</v>
      </c>
      <c r="FG537" t="n">
        <v>118</v>
      </c>
      <c r="FJ537" t="n">
        <v>119.0217728247899</v>
      </c>
      <c r="FK537" t="n">
        <v>118.6643637928521</v>
      </c>
      <c r="FL537" t="n">
        <v>122.7543105527651</v>
      </c>
      <c r="FM537" t="n">
        <v>121.6579884305419</v>
      </c>
      <c r="FN537" t="n">
        <v>122.8696552478791</v>
      </c>
      <c r="FO537" t="n">
        <v>119.9842098928357</v>
      </c>
      <c r="HH537" t="n">
        <v>120.825</v>
      </c>
      <c r="HS537" t="n">
        <v>2.39</v>
      </c>
      <c r="ID537" t="n">
        <v>1.4</v>
      </c>
      <c r="IG537" t="n">
        <v>166</v>
      </c>
      <c r="IJ537" t="n">
        <v>140.1752407933371</v>
      </c>
      <c r="IK537" t="n">
        <v>160.3344445180039</v>
      </c>
      <c r="IL537" t="n">
        <v>162.4271190321845</v>
      </c>
      <c r="IM537" t="n">
        <v>167.2677657828442</v>
      </c>
      <c r="IN537" t="n">
        <v>166.3620206815735</v>
      </c>
      <c r="IO537" t="n">
        <v>168.8750249630143</v>
      </c>
      <c r="KH537" t="n">
        <v>160.907</v>
      </c>
      <c r="KS537" t="n">
        <v>-3.07</v>
      </c>
      <c r="LD537" t="n">
        <v>6.04</v>
      </c>
    </row>
    <row r="538">
      <c r="A538" t="inlineStr">
        <is>
          <t>2026-04-17</t>
        </is>
      </c>
      <c r="B538" t="inlineStr">
        <is>
          <t>Avian &amp; Reptile 26</t>
        </is>
      </c>
      <c r="C538" t="inlineStr">
        <is>
          <t>106326041701</t>
        </is>
      </c>
      <c r="D538" t="inlineStr">
        <is>
          <t>ALB</t>
        </is>
      </c>
      <c r="F538" t="n">
        <v>8</v>
      </c>
      <c r="G538" t="n">
        <v>4.2</v>
      </c>
      <c r="H538" t="n">
        <v>37.8</v>
      </c>
      <c r="I538" t="n">
        <v>-29.4</v>
      </c>
      <c r="J538" t="n">
        <v>4.138688646053362</v>
      </c>
      <c r="K538" t="n">
        <v>4.154094181453669</v>
      </c>
      <c r="L538" t="n">
        <v>4.100986967554343</v>
      </c>
      <c r="M538" t="n">
        <v>4.127332796714596</v>
      </c>
      <c r="N538" t="n">
        <v>4.110796369276104</v>
      </c>
      <c r="BH538" t="n">
        <v>4.126</v>
      </c>
      <c r="BS538" t="n">
        <v>-1.75</v>
      </c>
      <c r="CD538" t="n">
        <v>0.46</v>
      </c>
      <c r="CF538" t="n">
        <v>8</v>
      </c>
      <c r="CG538" t="n">
        <v>2.7</v>
      </c>
      <c r="CH538" t="n">
        <v>24.3</v>
      </c>
      <c r="CI538" t="n">
        <v>-18.9</v>
      </c>
      <c r="CJ538" t="n">
        <v>2.725290895280933</v>
      </c>
      <c r="CK538" t="n">
        <v>3.031694164856655</v>
      </c>
      <c r="CL538" t="n">
        <v>2.740872728626017</v>
      </c>
      <c r="CM538" t="n">
        <v>2.953244507331436</v>
      </c>
      <c r="CN538" t="n">
        <v>2.75731521164175</v>
      </c>
      <c r="EH538" t="n">
        <v>2.842</v>
      </c>
      <c r="ES538" t="n">
        <v>5.25</v>
      </c>
      <c r="FD538" t="n">
        <v>4.43</v>
      </c>
      <c r="FF538" t="n">
        <v>8</v>
      </c>
      <c r="FG538" t="n">
        <v>2.6</v>
      </c>
      <c r="FH538" t="n">
        <v>23.4</v>
      </c>
      <c r="FI538" t="n">
        <v>-18.2</v>
      </c>
      <c r="FJ538" t="n">
        <v>2.5081493307763</v>
      </c>
      <c r="FK538" t="n">
        <v>2.518369057299442</v>
      </c>
      <c r="FL538" t="n">
        <v>2.553640856138586</v>
      </c>
      <c r="FM538" t="n">
        <v>2.55913395922961</v>
      </c>
      <c r="FN538" t="n">
        <v>2.570807313160802</v>
      </c>
      <c r="FO538" t="n">
        <v>2.514400793131048</v>
      </c>
      <c r="HH538" t="n">
        <v>2.537</v>
      </c>
      <c r="HS538" t="n">
        <v>-2.41</v>
      </c>
      <c r="ID538" t="n">
        <v>0.97</v>
      </c>
      <c r="IF538" t="n">
        <v>8</v>
      </c>
      <c r="IG538" t="n">
        <v>4.2</v>
      </c>
      <c r="IH538" t="n">
        <v>37.8</v>
      </c>
      <c r="II538" t="n">
        <v>-29.4</v>
      </c>
      <c r="IJ538" t="n">
        <v>2.692564171541142</v>
      </c>
      <c r="IK538" t="n">
        <v>4.067824940648308</v>
      </c>
      <c r="IL538" t="n">
        <v>4.03300470260397</v>
      </c>
      <c r="IM538" t="n">
        <v>4.070894685857192</v>
      </c>
      <c r="IN538" t="n">
        <v>4.09046969652997</v>
      </c>
      <c r="IO538" t="n">
        <v>4.104829504635294</v>
      </c>
      <c r="KH538" t="n">
        <v>3.843</v>
      </c>
      <c r="KS538" t="n">
        <v>-8.49</v>
      </c>
      <c r="LD538" t="n">
        <v>13.4</v>
      </c>
    </row>
    <row r="539">
      <c r="A539" t="inlineStr">
        <is>
          <t>2026-04-17</t>
        </is>
      </c>
      <c r="B539" t="inlineStr">
        <is>
          <t>Avian &amp; Reptile 26</t>
        </is>
      </c>
      <c r="C539" t="inlineStr">
        <is>
          <t>106326041701</t>
        </is>
      </c>
      <c r="D539" t="inlineStr">
        <is>
          <t>AST</t>
        </is>
      </c>
      <c r="F539" t="n">
        <v>15</v>
      </c>
      <c r="G539" t="n">
        <v>44</v>
      </c>
      <c r="H539" t="n">
        <v>704</v>
      </c>
      <c r="I539" t="n">
        <v>-616</v>
      </c>
      <c r="J539" t="n">
        <v>43.5510073649372</v>
      </c>
      <c r="K539" t="n">
        <v>44.48042600039628</v>
      </c>
      <c r="L539" t="n">
        <v>43.59601187830648</v>
      </c>
      <c r="M539" t="n">
        <v>43.74493437518827</v>
      </c>
      <c r="N539" t="n">
        <v>42.28218751246994</v>
      </c>
      <c r="BH539" t="n">
        <v>43.531</v>
      </c>
      <c r="BS539" t="n">
        <v>-1.07</v>
      </c>
      <c r="CD539" t="n">
        <v>1.63</v>
      </c>
      <c r="CF539" t="n">
        <v>15</v>
      </c>
      <c r="CG539" t="n">
        <v>221</v>
      </c>
      <c r="CH539" t="n">
        <v>3536</v>
      </c>
      <c r="CI539" t="n">
        <v>-3094</v>
      </c>
      <c r="CJ539" t="n">
        <v>218.1247753000868</v>
      </c>
      <c r="CK539" t="n">
        <v>246.6540395095243</v>
      </c>
      <c r="CL539" t="n">
        <v>209.7603150839047</v>
      </c>
      <c r="CM539" t="n">
        <v>237.8237405341756</v>
      </c>
      <c r="CN539" t="n">
        <v>222.5646285074847</v>
      </c>
      <c r="EH539" t="n">
        <v>226.985</v>
      </c>
      <c r="ES539" t="n">
        <v>2.71</v>
      </c>
      <c r="FD539" t="n">
        <v>5.91</v>
      </c>
      <c r="FF539" t="n">
        <v>15</v>
      </c>
      <c r="FG539" t="n">
        <v>45</v>
      </c>
      <c r="FH539" t="n">
        <v>720</v>
      </c>
      <c r="FI539" t="n">
        <v>-630</v>
      </c>
      <c r="FJ539" t="n">
        <v>43.20063742800149</v>
      </c>
      <c r="FK539" t="n">
        <v>42.50841087898438</v>
      </c>
      <c r="FL539" t="n">
        <v>45.36871822043587</v>
      </c>
      <c r="FM539" t="n">
        <v>45.87085268986875</v>
      </c>
      <c r="FN539" t="n">
        <v>45.371284497246</v>
      </c>
      <c r="FO539" t="n">
        <v>43.68220795529242</v>
      </c>
      <c r="HH539" t="n">
        <v>44.334</v>
      </c>
      <c r="HS539" t="n">
        <v>-1.48</v>
      </c>
      <c r="ID539" t="n">
        <v>2.85</v>
      </c>
      <c r="IF539" t="n">
        <v>15</v>
      </c>
      <c r="IG539" t="n">
        <v>282</v>
      </c>
      <c r="IH539" t="n">
        <v>4512</v>
      </c>
      <c r="II539" t="n">
        <v>-3948</v>
      </c>
      <c r="IJ539" t="n">
        <v>212.8928004752925</v>
      </c>
      <c r="IK539" t="n">
        <v>277.5583710448068</v>
      </c>
      <c r="IL539" t="n">
        <v>274.3066455309105</v>
      </c>
      <c r="IM539" t="n">
        <v>275.1425105729573</v>
      </c>
      <c r="IN539" t="n">
        <v>282.0423795326931</v>
      </c>
      <c r="IO539" t="n">
        <v>278.0242628636738</v>
      </c>
      <c r="KH539" t="n">
        <v>266.661</v>
      </c>
      <c r="KS539" t="n">
        <v>-5.44</v>
      </c>
      <c r="LD539" t="n">
        <v>9.06</v>
      </c>
    </row>
    <row r="540">
      <c r="A540" t="inlineStr">
        <is>
          <t>2026-04-17</t>
        </is>
      </c>
      <c r="B540" t="inlineStr">
        <is>
          <t>Avian &amp; Reptile 26</t>
        </is>
      </c>
      <c r="C540" t="inlineStr">
        <is>
          <t>106326041701</t>
        </is>
      </c>
      <c r="D540" t="inlineStr">
        <is>
          <t>CK</t>
        </is>
      </c>
      <c r="F540" t="n">
        <v>20</v>
      </c>
      <c r="J540" t="n">
        <v>133.7927951891515</v>
      </c>
      <c r="K540" t="n">
        <v>148.3940118094005</v>
      </c>
      <c r="L540" t="n">
        <v>146.685064849616</v>
      </c>
      <c r="M540" t="n">
        <v>147.6014436584011</v>
      </c>
      <c r="N540" t="n">
        <v>134.966188165893</v>
      </c>
      <c r="BH540" t="n">
        <v>142.288</v>
      </c>
      <c r="CD540" t="n">
        <v>4.56</v>
      </c>
      <c r="CF540" t="n">
        <v>20</v>
      </c>
      <c r="CJ540" t="n">
        <v>466.3707067205954</v>
      </c>
      <c r="CK540" t="n">
        <v>557.6986398651144</v>
      </c>
      <c r="CL540" t="n">
        <v>512.7138906326691</v>
      </c>
      <c r="CM540" t="n">
        <v>523.1652509204009</v>
      </c>
      <c r="CN540" t="n">
        <v>469.7164043592857</v>
      </c>
      <c r="EH540" t="n">
        <v>505.933</v>
      </c>
      <c r="FD540" t="n">
        <v>6.79</v>
      </c>
      <c r="FF540" t="n">
        <v>20</v>
      </c>
      <c r="FJ540" t="n">
        <v>63.62308668906638</v>
      </c>
      <c r="FK540" t="n">
        <v>82.69248088071505</v>
      </c>
      <c r="FL540" t="n">
        <v>80.19235925981459</v>
      </c>
      <c r="FM540" t="n">
        <v>70.72376462459742</v>
      </c>
      <c r="FN540" t="n">
        <v>83.22462145001025</v>
      </c>
      <c r="FO540" t="n">
        <v>66.77202250837367</v>
      </c>
      <c r="HH540" t="n">
        <v>74.538</v>
      </c>
      <c r="ID540" t="n">
        <v>10.51</v>
      </c>
      <c r="IF540" t="n">
        <v>20</v>
      </c>
      <c r="IJ540" t="n">
        <v>494.5651772927093</v>
      </c>
      <c r="IK540" t="n">
        <v>553.3956884983761</v>
      </c>
      <c r="IL540" t="n">
        <v>550.6557155502837</v>
      </c>
      <c r="IM540" t="n">
        <v>608.3078646581146</v>
      </c>
      <c r="IN540" t="n">
        <v>599.3387568285349</v>
      </c>
      <c r="IO540" t="n">
        <v>595.9765941429225</v>
      </c>
      <c r="KH540" t="n">
        <v>567.04</v>
      </c>
      <c r="LD540" t="n">
        <v>6.94</v>
      </c>
    </row>
    <row r="541">
      <c r="A541" t="inlineStr">
        <is>
          <t>2026-04-17</t>
        </is>
      </c>
      <c r="B541" t="inlineStr">
        <is>
          <t>Avian &amp; Reptile 26</t>
        </is>
      </c>
      <c r="C541" t="inlineStr">
        <is>
          <t>106326041701</t>
        </is>
      </c>
      <c r="D541" t="inlineStr">
        <is>
          <t>Ca</t>
        </is>
      </c>
      <c r="G541" t="n">
        <v>9.1</v>
      </c>
      <c r="J541" t="n">
        <v>9.354509536221839</v>
      </c>
      <c r="K541" t="n">
        <v>9.637721289306526</v>
      </c>
      <c r="L541" t="n">
        <v>9.483003377105431</v>
      </c>
      <c r="M541" t="n">
        <v>9.548464993055635</v>
      </c>
      <c r="N541" t="n">
        <v>9.328678805071753</v>
      </c>
      <c r="BH541" t="n">
        <v>9.470000000000001</v>
      </c>
      <c r="BS541" t="n">
        <v>4.07</v>
      </c>
      <c r="CD541" t="n">
        <v>1.23</v>
      </c>
      <c r="CG541" t="n">
        <v>12.4</v>
      </c>
      <c r="CJ541" t="n">
        <v>12.46877335556127</v>
      </c>
      <c r="CK541" t="n">
        <v>13.58086287177125</v>
      </c>
      <c r="CL541" t="n">
        <v>12.68803659510925</v>
      </c>
      <c r="CM541" t="n">
        <v>13.44652627188538</v>
      </c>
      <c r="CN541" t="n">
        <v>12.28882655185826</v>
      </c>
      <c r="EH541" t="n">
        <v>12.895</v>
      </c>
      <c r="ES541" t="n">
        <v>3.99</v>
      </c>
      <c r="FD541" t="n">
        <v>4.05</v>
      </c>
      <c r="FG541" t="n">
        <v>5.9</v>
      </c>
      <c r="FJ541" t="n">
        <v>5.589668957781877</v>
      </c>
      <c r="FK541" t="n">
        <v>5.673524109053139</v>
      </c>
      <c r="FL541" t="n">
        <v>5.886935044939932</v>
      </c>
      <c r="FM541" t="n">
        <v>5.734319668304897</v>
      </c>
      <c r="FN541" t="n">
        <v>5.729065503564886</v>
      </c>
      <c r="FO541" t="n">
        <v>5.857187762847275</v>
      </c>
      <c r="HH541" t="n">
        <v>5.745</v>
      </c>
      <c r="HS541" t="n">
        <v>-2.63</v>
      </c>
      <c r="ID541" t="n">
        <v>1.77</v>
      </c>
      <c r="IG541" t="n">
        <v>12.7</v>
      </c>
      <c r="IJ541" t="n">
        <v>12.63573960163908</v>
      </c>
      <c r="IK541" t="n">
        <v>12.56824276840644</v>
      </c>
      <c r="IL541" t="n">
        <v>12.41070881326526</v>
      </c>
      <c r="IM541" t="n">
        <v>12.96364410770014</v>
      </c>
      <c r="IN541" t="n">
        <v>12.83944586544358</v>
      </c>
      <c r="IO541" t="n">
        <v>12.48789224845475</v>
      </c>
      <c r="KH541" t="n">
        <v>12.651</v>
      </c>
      <c r="KS541" t="n">
        <v>-0.39</v>
      </c>
      <c r="LD541" t="n">
        <v>1.53</v>
      </c>
    </row>
    <row r="542">
      <c r="A542" t="inlineStr">
        <is>
          <t>2026-04-17</t>
        </is>
      </c>
      <c r="B542" t="inlineStr">
        <is>
          <t>Avian &amp; Reptile 26</t>
        </is>
      </c>
      <c r="C542" t="inlineStr">
        <is>
          <t>106326041701</t>
        </is>
      </c>
      <c r="D542" t="inlineStr">
        <is>
          <t>GLU</t>
        </is>
      </c>
      <c r="F542" t="n">
        <v>8</v>
      </c>
      <c r="G542" t="n">
        <v>90.16</v>
      </c>
      <c r="H542" t="n">
        <v>811.4399999999999</v>
      </c>
      <c r="I542" t="n">
        <v>-631.12</v>
      </c>
      <c r="J542" t="n">
        <v>91.0673266015732</v>
      </c>
      <c r="K542" t="n">
        <v>91.43045359667244</v>
      </c>
      <c r="L542" t="n">
        <v>90.90595304589343</v>
      </c>
      <c r="M542" t="n">
        <v>91.1397081224805</v>
      </c>
      <c r="N542" t="n">
        <v>90.40585699355148</v>
      </c>
      <c r="BH542" t="n">
        <v>90.98999999999999</v>
      </c>
      <c r="BS542" t="n">
        <v>0.92</v>
      </c>
      <c r="CD542" t="n">
        <v>0.37</v>
      </c>
      <c r="CF542" t="n">
        <v>8</v>
      </c>
      <c r="CG542" t="n">
        <v>293.02</v>
      </c>
      <c r="CH542" t="n">
        <v>2637.18</v>
      </c>
      <c r="CI542" t="n">
        <v>-2051.14</v>
      </c>
      <c r="CJ542" t="n">
        <v>302.2389261223016</v>
      </c>
      <c r="CK542" t="n">
        <v>329.8425294596584</v>
      </c>
      <c r="CL542" t="n">
        <v>303.4842906352076</v>
      </c>
      <c r="CM542" t="n">
        <v>319.5729468550497</v>
      </c>
      <c r="CN542" t="n">
        <v>303.0028235362946</v>
      </c>
      <c r="EH542" t="n">
        <v>311.628</v>
      </c>
      <c r="ES542" t="n">
        <v>6.35</v>
      </c>
      <c r="FD542" t="n">
        <v>3.58</v>
      </c>
      <c r="FF542" t="n">
        <v>8</v>
      </c>
      <c r="FG542" t="n">
        <v>65.66</v>
      </c>
      <c r="FH542" t="n">
        <v>590.9399999999999</v>
      </c>
      <c r="FI542" t="n">
        <v>-459.62</v>
      </c>
      <c r="FJ542" t="n">
        <v>64.63938520022489</v>
      </c>
      <c r="FK542" t="n">
        <v>64.09966612856516</v>
      </c>
      <c r="FL542" t="n">
        <v>64.68638479313901</v>
      </c>
      <c r="FM542" t="n">
        <v>64.82938236633686</v>
      </c>
      <c r="FN542" t="n">
        <v>65.92070259956807</v>
      </c>
      <c r="FO542" t="n">
        <v>63.17259964402408</v>
      </c>
      <c r="HH542" t="n">
        <v>64.55800000000001</v>
      </c>
      <c r="HS542" t="n">
        <v>-1.68</v>
      </c>
      <c r="ID542" t="n">
        <v>1.28</v>
      </c>
      <c r="IF542" t="n">
        <v>8</v>
      </c>
      <c r="IG542" t="n">
        <v>359.66</v>
      </c>
      <c r="IH542" t="n">
        <v>3236.94</v>
      </c>
      <c r="II542" t="n">
        <v>-2517.62</v>
      </c>
      <c r="IJ542" t="n">
        <v>297.4861607640842</v>
      </c>
      <c r="IK542" t="n">
        <v>367.3534785213135</v>
      </c>
      <c r="IL542" t="n">
        <v>361.09203204218</v>
      </c>
      <c r="IM542" t="n">
        <v>366.0923514209245</v>
      </c>
      <c r="IN542" t="n">
        <v>364.0984719717317</v>
      </c>
      <c r="IO542" t="n">
        <v>368.6595031314757</v>
      </c>
      <c r="KH542" t="n">
        <v>354.13</v>
      </c>
      <c r="KS542" t="n">
        <v>-1.54</v>
      </c>
      <c r="LD542" t="n">
        <v>7.19</v>
      </c>
    </row>
    <row r="543">
      <c r="A543" t="inlineStr">
        <is>
          <t>2026-04-17</t>
        </is>
      </c>
      <c r="B543" t="inlineStr">
        <is>
          <t>Avian &amp; Reptile 26</t>
        </is>
      </c>
      <c r="C543" t="inlineStr">
        <is>
          <t>106326041701</t>
        </is>
      </c>
      <c r="D543" t="inlineStr">
        <is>
          <t>PHOS</t>
        </is>
      </c>
      <c r="F543" t="n">
        <v>10</v>
      </c>
      <c r="G543" t="n">
        <v>3.3</v>
      </c>
      <c r="H543" t="n">
        <v>36.3</v>
      </c>
      <c r="I543" t="n">
        <v>-29.7</v>
      </c>
      <c r="J543" t="n">
        <v>3.225278032261976</v>
      </c>
      <c r="K543" t="n">
        <v>3.298081558725779</v>
      </c>
      <c r="L543" t="n">
        <v>3.202013002353056</v>
      </c>
      <c r="M543" t="n">
        <v>3.345511450410621</v>
      </c>
      <c r="N543" t="n">
        <v>3.198465828187625</v>
      </c>
      <c r="BH543" t="n">
        <v>3.254</v>
      </c>
      <c r="BS543" t="n">
        <v>-1.4</v>
      </c>
      <c r="CD543" t="n">
        <v>1.79</v>
      </c>
      <c r="CF543" t="n">
        <v>10</v>
      </c>
      <c r="CG543" t="n">
        <v>7.2</v>
      </c>
      <c r="CH543" t="n">
        <v>79.2</v>
      </c>
      <c r="CI543" t="n">
        <v>-64.8</v>
      </c>
      <c r="CJ543" t="n">
        <v>7.054470999169905</v>
      </c>
      <c r="CK543" t="n">
        <v>7.977052000840803</v>
      </c>
      <c r="CL543" t="n">
        <v>7.156693348073301</v>
      </c>
      <c r="CM543" t="n">
        <v>7.850653792137385</v>
      </c>
      <c r="CN543" t="n">
        <v>7.128061493975478</v>
      </c>
      <c r="EH543" t="n">
        <v>7.433</v>
      </c>
      <c r="ES543" t="n">
        <v>3.24</v>
      </c>
      <c r="FD543" t="n">
        <v>5.32</v>
      </c>
      <c r="FF543" t="n">
        <v>10</v>
      </c>
      <c r="FG543" t="n">
        <v>1.9</v>
      </c>
      <c r="FH543" t="n">
        <v>20.9</v>
      </c>
      <c r="FI543" t="n">
        <v>-17.1</v>
      </c>
      <c r="FJ543" t="n">
        <v>1.869451246856343</v>
      </c>
      <c r="FK543" t="n">
        <v>1.890382698306664</v>
      </c>
      <c r="FL543" t="n">
        <v>1.924535075746023</v>
      </c>
      <c r="FM543" t="n">
        <v>1.902257488127527</v>
      </c>
      <c r="FN543" t="n">
        <v>1.954508009136476</v>
      </c>
      <c r="FO543" t="n">
        <v>1.914974722498205</v>
      </c>
      <c r="HH543" t="n">
        <v>1.909</v>
      </c>
      <c r="HS543" t="n">
        <v>0.49</v>
      </c>
      <c r="ID543" t="n">
        <v>1.4</v>
      </c>
      <c r="IF543" t="n">
        <v>10</v>
      </c>
      <c r="IG543" t="n">
        <v>7.2</v>
      </c>
      <c r="IH543" t="n">
        <v>79.2</v>
      </c>
      <c r="II543" t="n">
        <v>-64.8</v>
      </c>
      <c r="IJ543" t="n">
        <v>7.119492826991388</v>
      </c>
      <c r="IK543" t="n">
        <v>7.321245979770693</v>
      </c>
      <c r="IL543" t="n">
        <v>7.168851085667255</v>
      </c>
      <c r="IM543" t="n">
        <v>7.324689057221407</v>
      </c>
      <c r="IN543" t="n">
        <v>7.164980067906079</v>
      </c>
      <c r="IO543" t="n">
        <v>7.348809869079637</v>
      </c>
      <c r="KH543" t="n">
        <v>7.241</v>
      </c>
      <c r="KS543" t="n">
        <v>0.57</v>
      </c>
      <c r="LD543" t="n">
        <v>1.27</v>
      </c>
    </row>
    <row r="544">
      <c r="A544" t="inlineStr">
        <is>
          <t>2026-04-17</t>
        </is>
      </c>
      <c r="B544" t="inlineStr">
        <is>
          <t>Avian &amp; Reptile 26</t>
        </is>
      </c>
      <c r="C544" t="inlineStr">
        <is>
          <t>106326041701</t>
        </is>
      </c>
      <c r="D544" t="inlineStr">
        <is>
          <t>TP</t>
        </is>
      </c>
      <c r="F544" t="n">
        <v>8</v>
      </c>
      <c r="G544" t="n">
        <v>6.4</v>
      </c>
      <c r="H544" t="n">
        <v>57.6</v>
      </c>
      <c r="I544" t="n">
        <v>-44.8</v>
      </c>
      <c r="J544" t="n">
        <v>6.498012435924549</v>
      </c>
      <c r="K544" t="n">
        <v>6.591017521817838</v>
      </c>
      <c r="L544" t="n">
        <v>6.414975811436266</v>
      </c>
      <c r="M544" t="n">
        <v>6.591337488755268</v>
      </c>
      <c r="N544" t="n">
        <v>6.488058808991267</v>
      </c>
      <c r="BH544" t="n">
        <v>6.517</v>
      </c>
      <c r="BS544" t="n">
        <v>1.82</v>
      </c>
      <c r="CD544" t="n">
        <v>1.03</v>
      </c>
      <c r="CF544" t="n">
        <v>8</v>
      </c>
      <c r="CG544" t="n">
        <v>4.1</v>
      </c>
      <c r="CH544" t="n">
        <v>36.9</v>
      </c>
      <c r="CI544" t="n">
        <v>-28.7</v>
      </c>
      <c r="CJ544" t="n">
        <v>4.246103323037744</v>
      </c>
      <c r="CK544" t="n">
        <v>4.810930798773715</v>
      </c>
      <c r="CL544" t="n">
        <v>4.289169922109945</v>
      </c>
      <c r="CM544" t="n">
        <v>4.711523362254358</v>
      </c>
      <c r="CN544" t="n">
        <v>4.319004401891174</v>
      </c>
      <c r="EH544" t="n">
        <v>4.475</v>
      </c>
      <c r="ES544" t="n">
        <v>9.15</v>
      </c>
      <c r="FD544" t="n">
        <v>5.29</v>
      </c>
      <c r="FF544" t="n">
        <v>8</v>
      </c>
      <c r="FG544" t="n">
        <v>4.2</v>
      </c>
      <c r="FH544" t="n">
        <v>37.8</v>
      </c>
      <c r="FI544" t="n">
        <v>-29.4</v>
      </c>
      <c r="FJ544" t="n">
        <v>3.84330831550833</v>
      </c>
      <c r="FK544" t="n">
        <v>4.002051236426917</v>
      </c>
      <c r="FL544" t="n">
        <v>3.966199228788476</v>
      </c>
      <c r="FM544" t="n">
        <v>4.00341331833698</v>
      </c>
      <c r="FN544" t="n">
        <v>4.059722493446333</v>
      </c>
      <c r="FO544" t="n">
        <v>3.919772876191016</v>
      </c>
      <c r="HH544" t="n">
        <v>3.966</v>
      </c>
      <c r="HS544" t="n">
        <v>-5.58</v>
      </c>
      <c r="ID544" t="n">
        <v>1.74</v>
      </c>
      <c r="IF544" t="n">
        <v>8</v>
      </c>
      <c r="IG544" t="n">
        <v>7.5</v>
      </c>
      <c r="IH544" t="n">
        <v>67.5</v>
      </c>
      <c r="II544" t="n">
        <v>-52.5</v>
      </c>
      <c r="IJ544" t="n">
        <v>4.186804756328646</v>
      </c>
      <c r="IK544" t="n">
        <v>7.310753857121375</v>
      </c>
      <c r="IL544" t="n">
        <v>7.261266966884419</v>
      </c>
      <c r="IM544" t="n">
        <v>7.308965782559529</v>
      </c>
      <c r="IN544" t="n">
        <v>7.402153295729958</v>
      </c>
      <c r="IO544" t="n">
        <v>7.428278372046764</v>
      </c>
      <c r="KH544" t="n">
        <v>6.816</v>
      </c>
      <c r="KS544" t="n">
        <v>-9.119999999999999</v>
      </c>
      <c r="LD544" t="n">
        <v>17.27</v>
      </c>
    </row>
    <row r="545">
      <c r="A545" t="inlineStr">
        <is>
          <t>2026-04-17</t>
        </is>
      </c>
      <c r="B545" t="inlineStr">
        <is>
          <t>Avian &amp; Reptile 26</t>
        </is>
      </c>
      <c r="C545" t="inlineStr">
        <is>
          <t>106326041701</t>
        </is>
      </c>
      <c r="D545" t="inlineStr">
        <is>
          <t>URIC</t>
        </is>
      </c>
      <c r="F545" t="n">
        <v>10</v>
      </c>
      <c r="G545" t="n">
        <v>4.561200670000002</v>
      </c>
      <c r="H545" t="n">
        <v>50.17320737000001</v>
      </c>
      <c r="I545" t="n">
        <v>-41.05080603000002</v>
      </c>
      <c r="J545" t="n">
        <v>4.666307169046715</v>
      </c>
      <c r="K545" t="n">
        <v>4.697681442476286</v>
      </c>
      <c r="L545" t="n">
        <v>4.624665190708698</v>
      </c>
      <c r="M545" t="n">
        <v>4.67494160271155</v>
      </c>
      <c r="N545" t="n">
        <v>4.671660021015186</v>
      </c>
      <c r="BH545" t="n">
        <v>4.667</v>
      </c>
      <c r="BS545" t="n">
        <v>2.32</v>
      </c>
      <c r="CD545" t="n">
        <v>0.51</v>
      </c>
      <c r="CF545" t="n">
        <v>10</v>
      </c>
      <c r="CG545" t="n">
        <v>9.699999999999999</v>
      </c>
      <c r="CH545" t="n">
        <v>106.7</v>
      </c>
      <c r="CI545" t="n">
        <v>-87.3</v>
      </c>
      <c r="CJ545" t="n">
        <v>9.844874879006625</v>
      </c>
      <c r="CK545" t="n">
        <v>10.86576477439074</v>
      </c>
      <c r="CL545" t="n">
        <v>9.808696384200999</v>
      </c>
      <c r="CM545" t="n">
        <v>10.59531670505224</v>
      </c>
      <c r="CN545" t="n">
        <v>9.884570641870177</v>
      </c>
      <c r="EH545" t="n">
        <v>10.2</v>
      </c>
      <c r="ES545" t="n">
        <v>5.15</v>
      </c>
      <c r="FD545" t="n">
        <v>4.34</v>
      </c>
      <c r="FF545" t="n">
        <v>10</v>
      </c>
      <c r="FG545" t="n">
        <v>2.7</v>
      </c>
      <c r="FH545" t="n">
        <v>29.7</v>
      </c>
      <c r="FI545" t="n">
        <v>-24.3</v>
      </c>
      <c r="FJ545" t="n">
        <v>2.654257808966218</v>
      </c>
      <c r="FK545" t="n">
        <v>2.873028089389106</v>
      </c>
      <c r="FL545" t="n">
        <v>2.914822333877542</v>
      </c>
      <c r="FM545" t="n">
        <v>2.953270918393363</v>
      </c>
      <c r="FN545" t="n">
        <v>2.897435719282897</v>
      </c>
      <c r="FO545" t="n">
        <v>2.6466115926273</v>
      </c>
      <c r="HH545" t="n">
        <v>2.823</v>
      </c>
      <c r="HS545" t="n">
        <v>4.56</v>
      </c>
      <c r="ID545" t="n">
        <v>4.41</v>
      </c>
      <c r="IF545" t="n">
        <v>10</v>
      </c>
      <c r="IG545" t="n">
        <v>9.300000000000001</v>
      </c>
      <c r="IH545" t="n">
        <v>102.3</v>
      </c>
      <c r="II545" t="n">
        <v>-83.7</v>
      </c>
      <c r="IJ545" t="n">
        <v>9.718168724224958</v>
      </c>
      <c r="IK545" t="n">
        <v>9.749964700100708</v>
      </c>
      <c r="IL545" t="n">
        <v>9.56131170582881</v>
      </c>
      <c r="IM545" t="n">
        <v>9.752433614531578</v>
      </c>
      <c r="IN545" t="n">
        <v>9.67278398613225</v>
      </c>
      <c r="IO545" t="n">
        <v>9.706694751028634</v>
      </c>
      <c r="KH545" t="n">
        <v>9.694000000000001</v>
      </c>
      <c r="KS545" t="n">
        <v>4.23</v>
      </c>
      <c r="LD545" t="n">
        <v>0.67</v>
      </c>
    </row>
    <row r="546">
      <c r="A546" t="inlineStr">
        <is>
          <t>2026-04-17</t>
        </is>
      </c>
      <c r="B546" t="inlineStr">
        <is>
          <t>Renal 15</t>
        </is>
      </c>
      <c r="C546" t="inlineStr">
        <is>
          <t>100726041701</t>
        </is>
      </c>
      <c r="D546" t="inlineStr">
        <is>
          <t>ALB</t>
        </is>
      </c>
      <c r="F546" t="n">
        <v>8</v>
      </c>
      <c r="G546" t="n">
        <v>4.2</v>
      </c>
      <c r="H546" t="n">
        <v>37.8</v>
      </c>
      <c r="I546" t="n">
        <v>-29.4</v>
      </c>
      <c r="J546" t="n">
        <v>4.174845841673886</v>
      </c>
      <c r="K546" t="n">
        <v>4.15614726778313</v>
      </c>
      <c r="L546" t="n">
        <v>4.183516743033923</v>
      </c>
      <c r="M546" t="n">
        <v>4.150019067146667</v>
      </c>
      <c r="BH546" t="n">
        <v>4.166</v>
      </c>
      <c r="BS546" t="n">
        <v>-0.8100000000000001</v>
      </c>
      <c r="CD546" t="n">
        <v>0.33</v>
      </c>
      <c r="CF546" t="n">
        <v>8</v>
      </c>
      <c r="CG546" t="n">
        <v>2.7</v>
      </c>
      <c r="CH546" t="n">
        <v>24.3</v>
      </c>
      <c r="CI546" t="n">
        <v>-18.9</v>
      </c>
      <c r="CJ546" t="n">
        <v>2.718451387113703</v>
      </c>
      <c r="CK546" t="n">
        <v>2.789556230680945</v>
      </c>
      <c r="CL546" t="n">
        <v>2.750804972908516</v>
      </c>
      <c r="CM546" t="n">
        <v>2.77755374674031</v>
      </c>
      <c r="EH546" t="n">
        <v>2.759</v>
      </c>
      <c r="ES546" t="n">
        <v>2.19</v>
      </c>
      <c r="FD546" t="n">
        <v>0.99</v>
      </c>
      <c r="FF546" t="n">
        <v>8</v>
      </c>
      <c r="FG546" t="n">
        <v>2.6</v>
      </c>
      <c r="FH546" t="n">
        <v>23.4</v>
      </c>
      <c r="FI546" t="n">
        <v>-18.2</v>
      </c>
      <c r="FJ546" t="n">
        <v>2.517116939124995</v>
      </c>
      <c r="FK546" t="n">
        <v>2.547281740862242</v>
      </c>
      <c r="FL546" t="n">
        <v>2.412524859110996</v>
      </c>
      <c r="FM546" t="n">
        <v>2.448619602009846</v>
      </c>
      <c r="HH546" t="n">
        <v>2.481</v>
      </c>
      <c r="HS546" t="n">
        <v>-4.56</v>
      </c>
      <c r="ID546" t="n">
        <v>2.15</v>
      </c>
      <c r="IF546" t="n">
        <v>8</v>
      </c>
      <c r="IG546" t="n">
        <v>4.2</v>
      </c>
      <c r="IH546" t="n">
        <v>37.8</v>
      </c>
      <c r="II546" t="n">
        <v>-29.4</v>
      </c>
      <c r="IJ546" t="n">
        <v>4.089540814341269</v>
      </c>
      <c r="IK546" t="n">
        <v>4.092841304556032</v>
      </c>
      <c r="IL546" t="n">
        <v>3.973894694895014</v>
      </c>
      <c r="IM546" t="n">
        <v>4.154821145342535</v>
      </c>
      <c r="KH546" t="n">
        <v>4.078</v>
      </c>
      <c r="KS546" t="n">
        <v>-2.91</v>
      </c>
      <c r="LD546" t="n">
        <v>1.6</v>
      </c>
    </row>
    <row r="547">
      <c r="A547" t="inlineStr">
        <is>
          <t>2026-04-17</t>
        </is>
      </c>
      <c r="B547" t="inlineStr">
        <is>
          <t>Renal 15</t>
        </is>
      </c>
      <c r="C547" t="inlineStr">
        <is>
          <t>100726041701</t>
        </is>
      </c>
      <c r="D547" t="inlineStr">
        <is>
          <t>BUN</t>
        </is>
      </c>
      <c r="F547" t="n">
        <v>9</v>
      </c>
      <c r="G547" t="n">
        <v>14.8</v>
      </c>
      <c r="H547" t="n">
        <v>148</v>
      </c>
      <c r="I547" t="n">
        <v>-118.4</v>
      </c>
      <c r="J547" t="n">
        <v>14.41566553782965</v>
      </c>
      <c r="K547" t="n">
        <v>14.27105241814608</v>
      </c>
      <c r="L547" t="n">
        <v>14.47086048200262</v>
      </c>
      <c r="M547" t="n">
        <v>14.28550241102486</v>
      </c>
      <c r="BH547" t="n">
        <v>14.361</v>
      </c>
      <c r="BS547" t="n">
        <v>-2.97</v>
      </c>
      <c r="CD547" t="n">
        <v>0.59</v>
      </c>
      <c r="CF547" t="n">
        <v>9</v>
      </c>
      <c r="CG547" t="n">
        <v>44.7</v>
      </c>
      <c r="CH547" t="n">
        <v>447</v>
      </c>
      <c r="CI547" t="n">
        <v>-357.6</v>
      </c>
      <c r="CJ547" t="n">
        <v>45.81996853642637</v>
      </c>
      <c r="CK547" t="n">
        <v>44.59476254976688</v>
      </c>
      <c r="CL547" t="n">
        <v>44.99022173257137</v>
      </c>
      <c r="CM547" t="n">
        <v>44.76099217357112</v>
      </c>
      <c r="EH547" t="n">
        <v>45.041</v>
      </c>
      <c r="ES547" t="n">
        <v>0.76</v>
      </c>
      <c r="FD547" t="n">
        <v>1.05</v>
      </c>
      <c r="FF547" t="n">
        <v>9</v>
      </c>
      <c r="FG547" t="n">
        <v>14.7</v>
      </c>
      <c r="FH547" t="n">
        <v>147</v>
      </c>
      <c r="FI547" t="n">
        <v>-117.6</v>
      </c>
      <c r="FJ547" t="n">
        <v>14.50097774763819</v>
      </c>
      <c r="FK547" t="n">
        <v>14.67780700992292</v>
      </c>
      <c r="FL547" t="n">
        <v>13.98855918134194</v>
      </c>
      <c r="FM547" t="n">
        <v>14.08031049527102</v>
      </c>
      <c r="HH547" t="n">
        <v>14.312</v>
      </c>
      <c r="HS547" t="n">
        <v>-2.64</v>
      </c>
      <c r="ID547" t="n">
        <v>2</v>
      </c>
      <c r="IF547" t="n">
        <v>9</v>
      </c>
      <c r="IG547" t="n">
        <v>65.7</v>
      </c>
      <c r="IH547" t="n">
        <v>657</v>
      </c>
      <c r="II547" t="n">
        <v>-525.6</v>
      </c>
      <c r="IJ547" t="n">
        <v>65.50927361743888</v>
      </c>
      <c r="IK547" t="n">
        <v>64.61769874702654</v>
      </c>
      <c r="IL547" t="n">
        <v>63.2360196209905</v>
      </c>
      <c r="IM547" t="n">
        <v>65.7262998134871</v>
      </c>
      <c r="KH547" t="n">
        <v>64.77200000000001</v>
      </c>
      <c r="KS547" t="n">
        <v>-1.41</v>
      </c>
      <c r="LD547" t="n">
        <v>1.51</v>
      </c>
    </row>
    <row r="548">
      <c r="A548" t="inlineStr">
        <is>
          <t>2026-04-17</t>
        </is>
      </c>
      <c r="B548" t="inlineStr">
        <is>
          <t>Renal 15</t>
        </is>
      </c>
      <c r="C548" t="inlineStr">
        <is>
          <t>100726041701</t>
        </is>
      </c>
      <c r="D548" t="inlineStr">
        <is>
          <t>CREA</t>
        </is>
      </c>
      <c r="F548" t="n">
        <v>10</v>
      </c>
      <c r="G548" t="n">
        <v>1.5</v>
      </c>
      <c r="H548" t="n">
        <v>16.5</v>
      </c>
      <c r="I548" t="n">
        <v>-13.5</v>
      </c>
      <c r="J548" t="n">
        <v>1.31842613698156</v>
      </c>
      <c r="K548" t="n">
        <v>1.342249560506491</v>
      </c>
      <c r="L548" t="n">
        <v>1.2460886240211</v>
      </c>
      <c r="M548" t="n">
        <v>1.252016892711742</v>
      </c>
      <c r="BH548" t="n">
        <v>1.29</v>
      </c>
      <c r="BS548" t="n">
        <v>-14.02</v>
      </c>
      <c r="CD548" t="n">
        <v>3.22</v>
      </c>
      <c r="CF548" t="n">
        <v>10</v>
      </c>
      <c r="CG548" t="n">
        <v>5.55</v>
      </c>
      <c r="CH548" t="n">
        <v>61.05</v>
      </c>
      <c r="CI548" t="n">
        <v>-49.95</v>
      </c>
      <c r="CJ548" t="n">
        <v>4.631778330758342</v>
      </c>
      <c r="CK548" t="n">
        <v>4.678397197038223</v>
      </c>
      <c r="CL548" t="n">
        <v>4.604228012565303</v>
      </c>
      <c r="CM548" t="n">
        <v>4.692318330164522</v>
      </c>
      <c r="EH548" t="n">
        <v>4.652</v>
      </c>
      <c r="ES548" t="n">
        <v>-16.19</v>
      </c>
      <c r="FD548" t="n">
        <v>0.76</v>
      </c>
      <c r="FF548" t="n">
        <v>10</v>
      </c>
      <c r="FG548" t="n">
        <v>0.97</v>
      </c>
      <c r="FH548" t="n">
        <v>10.67</v>
      </c>
      <c r="FI548" t="n">
        <v>-8.73</v>
      </c>
      <c r="FJ548" t="n">
        <v>0.637337297284625</v>
      </c>
      <c r="FK548" t="n">
        <v>0.6092012970888188</v>
      </c>
      <c r="FL548" t="n">
        <v>0.620146666406946</v>
      </c>
      <c r="FM548" t="n">
        <v>0.6745991128958495</v>
      </c>
      <c r="HH548" t="n">
        <v>0.635</v>
      </c>
      <c r="HS548" t="n">
        <v>-34.5</v>
      </c>
      <c r="ID548" t="n">
        <v>3.9</v>
      </c>
      <c r="IF548" t="n">
        <v>10</v>
      </c>
      <c r="IG548" t="n">
        <v>5.95</v>
      </c>
      <c r="IH548" t="n">
        <v>65.45</v>
      </c>
      <c r="II548" t="n">
        <v>-53.55</v>
      </c>
      <c r="IJ548" t="n">
        <v>5.213861250038414</v>
      </c>
      <c r="IK548" t="n">
        <v>5.454534616854232</v>
      </c>
      <c r="IL548" t="n">
        <v>5.16981982663028</v>
      </c>
      <c r="IM548" t="n">
        <v>5.454243811769294</v>
      </c>
      <c r="KH548" t="n">
        <v>5.323</v>
      </c>
      <c r="KS548" t="n">
        <v>-10.54</v>
      </c>
      <c r="LD548" t="n">
        <v>2.48</v>
      </c>
    </row>
    <row r="549">
      <c r="A549" t="inlineStr">
        <is>
          <t>2026-04-17</t>
        </is>
      </c>
      <c r="B549" t="inlineStr">
        <is>
          <t>Renal 15</t>
        </is>
      </c>
      <c r="C549" t="inlineStr">
        <is>
          <t>100726041701</t>
        </is>
      </c>
      <c r="D549" t="inlineStr">
        <is>
          <t>Ca</t>
        </is>
      </c>
      <c r="G549" t="n">
        <v>9.1</v>
      </c>
      <c r="J549" t="n">
        <v>9.445970070455157</v>
      </c>
      <c r="K549" t="n">
        <v>9.957068550471305</v>
      </c>
      <c r="L549" t="n">
        <v>9.534490373397972</v>
      </c>
      <c r="M549" t="n">
        <v>9.701016738954937</v>
      </c>
      <c r="BH549" t="n">
        <v>9.66</v>
      </c>
      <c r="BS549" t="n">
        <v>6.15</v>
      </c>
      <c r="CD549" t="n">
        <v>2.01</v>
      </c>
      <c r="CG549" t="n">
        <v>12.4</v>
      </c>
      <c r="CJ549" t="n">
        <v>13.08277211175816</v>
      </c>
      <c r="CK549" t="n">
        <v>12.71824582051084</v>
      </c>
      <c r="CL549" t="n">
        <v>12.66562817133795</v>
      </c>
      <c r="CM549" t="n">
        <v>12.65555816406759</v>
      </c>
      <c r="EH549" t="n">
        <v>12.781</v>
      </c>
      <c r="ES549" t="n">
        <v>3.07</v>
      </c>
      <c r="FD549" t="n">
        <v>1.38</v>
      </c>
      <c r="FG549" t="n">
        <v>5.9</v>
      </c>
      <c r="FJ549" t="n">
        <v>5.872359721147533</v>
      </c>
      <c r="FK549" t="n">
        <v>5.899518145024181</v>
      </c>
      <c r="FL549" t="n">
        <v>5.892285974333599</v>
      </c>
      <c r="FM549" t="n">
        <v>5.607018575760406</v>
      </c>
      <c r="HH549" t="n">
        <v>5.818</v>
      </c>
      <c r="HS549" t="n">
        <v>-1.39</v>
      </c>
      <c r="ID549" t="n">
        <v>2.1</v>
      </c>
      <c r="IG549" t="n">
        <v>12.7</v>
      </c>
      <c r="IJ549" t="n">
        <v>12.48625829580383</v>
      </c>
      <c r="IK549" t="n">
        <v>12.89104185695167</v>
      </c>
      <c r="IL549" t="n">
        <v>12.3859290784014</v>
      </c>
      <c r="IM549" t="n">
        <v>12.68482351380122</v>
      </c>
      <c r="KH549" t="n">
        <v>12.612</v>
      </c>
      <c r="KS549" t="n">
        <v>-0.6899999999999999</v>
      </c>
      <c r="LD549" t="n">
        <v>1.54</v>
      </c>
    </row>
    <row r="550">
      <c r="A550" t="inlineStr">
        <is>
          <t>2026-04-17</t>
        </is>
      </c>
      <c r="B550" t="inlineStr">
        <is>
          <t>Renal 15</t>
        </is>
      </c>
      <c r="C550" t="inlineStr">
        <is>
          <t>100726041701</t>
        </is>
      </c>
      <c r="D550" t="inlineStr">
        <is>
          <t>GLU</t>
        </is>
      </c>
      <c r="F550" t="n">
        <v>8</v>
      </c>
      <c r="G550" t="n">
        <v>90.16</v>
      </c>
      <c r="H550" t="n">
        <v>811.4399999999999</v>
      </c>
      <c r="I550" t="n">
        <v>-631.12</v>
      </c>
      <c r="J550" t="n">
        <v>92.61083294003259</v>
      </c>
      <c r="K550" t="n">
        <v>92.60363612266009</v>
      </c>
      <c r="L550" t="n">
        <v>93.05851952523663</v>
      </c>
      <c r="M550" t="n">
        <v>93.07324787379582</v>
      </c>
      <c r="BH550" t="n">
        <v>92.837</v>
      </c>
      <c r="BS550" t="n">
        <v>2.97</v>
      </c>
      <c r="CD550" t="n">
        <v>0.25</v>
      </c>
      <c r="CF550" t="n">
        <v>8</v>
      </c>
      <c r="CG550" t="n">
        <v>293.02</v>
      </c>
      <c r="CH550" t="n">
        <v>2637.18</v>
      </c>
      <c r="CI550" t="n">
        <v>-2051.14</v>
      </c>
      <c r="CJ550" t="n">
        <v>303.6558246025594</v>
      </c>
      <c r="CK550" t="n">
        <v>303.9906845123639</v>
      </c>
      <c r="CL550" t="n">
        <v>302.7230799815498</v>
      </c>
      <c r="CM550" t="n">
        <v>304.1828450098645</v>
      </c>
      <c r="EH550" t="n">
        <v>303.638</v>
      </c>
      <c r="ES550" t="n">
        <v>3.62</v>
      </c>
      <c r="FD550" t="n">
        <v>0.18</v>
      </c>
      <c r="FF550" t="n">
        <v>8</v>
      </c>
      <c r="FG550" t="n">
        <v>65.66</v>
      </c>
      <c r="FH550" t="n">
        <v>590.9399999999999</v>
      </c>
      <c r="FI550" t="n">
        <v>-459.62</v>
      </c>
      <c r="FJ550" t="n">
        <v>65.71230165822772</v>
      </c>
      <c r="FK550" t="n">
        <v>66.97373811506856</v>
      </c>
      <c r="FL550" t="n">
        <v>63.51926665643713</v>
      </c>
      <c r="FM550" t="n">
        <v>63.95174939533456</v>
      </c>
      <c r="HH550" t="n">
        <v>65.039</v>
      </c>
      <c r="HS550" t="n">
        <v>-0.95</v>
      </c>
      <c r="ID550" t="n">
        <v>2.13</v>
      </c>
      <c r="IF550" t="n">
        <v>8</v>
      </c>
      <c r="IG550" t="n">
        <v>359.66</v>
      </c>
      <c r="IH550" t="n">
        <v>3236.94</v>
      </c>
      <c r="II550" t="n">
        <v>-2517.62</v>
      </c>
      <c r="IJ550" t="n">
        <v>358.4307793443402</v>
      </c>
      <c r="IK550" t="n">
        <v>363.3428715180742</v>
      </c>
      <c r="IL550" t="n">
        <v>348.3419163261034</v>
      </c>
      <c r="IM550" t="n">
        <v>371.5089521250515</v>
      </c>
      <c r="KH550" t="n">
        <v>360.406</v>
      </c>
      <c r="KS550" t="n">
        <v>0.21</v>
      </c>
      <c r="LD550" t="n">
        <v>2.33</v>
      </c>
    </row>
    <row r="551">
      <c r="A551" t="inlineStr">
        <is>
          <t>2026-04-17</t>
        </is>
      </c>
      <c r="B551" t="inlineStr">
        <is>
          <t>Renal 15</t>
        </is>
      </c>
      <c r="C551" t="inlineStr">
        <is>
          <t>100726041701</t>
        </is>
      </c>
      <c r="D551" t="inlineStr">
        <is>
          <t>PHOS</t>
        </is>
      </c>
      <c r="F551" t="n">
        <v>10</v>
      </c>
      <c r="G551" t="n">
        <v>3.3</v>
      </c>
      <c r="H551" t="n">
        <v>36.3</v>
      </c>
      <c r="I551" t="n">
        <v>-29.7</v>
      </c>
      <c r="J551" t="n">
        <v>3.267166894129091</v>
      </c>
      <c r="K551" t="n">
        <v>3.320385295699711</v>
      </c>
      <c r="L551" t="n">
        <v>3.21790843514009</v>
      </c>
      <c r="M551" t="n">
        <v>3.277038243817736</v>
      </c>
      <c r="BH551" t="n">
        <v>3.271</v>
      </c>
      <c r="BS551" t="n">
        <v>-0.89</v>
      </c>
      <c r="CD551" t="n">
        <v>1.11</v>
      </c>
      <c r="CF551" t="n">
        <v>10</v>
      </c>
      <c r="CG551" t="n">
        <v>7.2</v>
      </c>
      <c r="CH551" t="n">
        <v>79.2</v>
      </c>
      <c r="CI551" t="n">
        <v>-64.8</v>
      </c>
      <c r="CJ551" t="n">
        <v>7.2431877644304</v>
      </c>
      <c r="CK551" t="n">
        <v>7.276551996616834</v>
      </c>
      <c r="CL551" t="n">
        <v>7.175811928545379</v>
      </c>
      <c r="CM551" t="n">
        <v>7.32804738822977</v>
      </c>
      <c r="EH551" t="n">
        <v>7.256</v>
      </c>
      <c r="ES551" t="n">
        <v>0.78</v>
      </c>
      <c r="FD551" t="n">
        <v>0.76</v>
      </c>
      <c r="FF551" t="n">
        <v>10</v>
      </c>
      <c r="FG551" t="n">
        <v>1.9</v>
      </c>
      <c r="FH551" t="n">
        <v>20.9</v>
      </c>
      <c r="FI551" t="n">
        <v>-17.1</v>
      </c>
      <c r="FJ551" t="n">
        <v>1.936916981935127</v>
      </c>
      <c r="FK551" t="n">
        <v>1.953152434873519</v>
      </c>
      <c r="FL551" t="n">
        <v>1.827812853222427</v>
      </c>
      <c r="FM551" t="n">
        <v>1.85657280784257</v>
      </c>
      <c r="HH551" t="n">
        <v>1.894</v>
      </c>
      <c r="HS551" t="n">
        <v>-0.34</v>
      </c>
      <c r="ID551" t="n">
        <v>2.78</v>
      </c>
      <c r="IF551" t="n">
        <v>10</v>
      </c>
      <c r="IG551" t="n">
        <v>7.2</v>
      </c>
      <c r="IH551" t="n">
        <v>79.2</v>
      </c>
      <c r="II551" t="n">
        <v>-64.8</v>
      </c>
      <c r="IJ551" t="n">
        <v>7.19018298994905</v>
      </c>
      <c r="IK551" t="n">
        <v>7.22125239509435</v>
      </c>
      <c r="IL551" t="n">
        <v>6.870508979280146</v>
      </c>
      <c r="IM551" t="n">
        <v>7.440552780453498</v>
      </c>
      <c r="KH551" t="n">
        <v>7.181</v>
      </c>
      <c r="KS551" t="n">
        <v>-0.27</v>
      </c>
      <c r="LD551" t="n">
        <v>2.83</v>
      </c>
    </row>
    <row r="552">
      <c r="A552" t="inlineStr">
        <is>
          <t>2026-04-17</t>
        </is>
      </c>
      <c r="B552" t="inlineStr">
        <is>
          <t>Renal 15</t>
        </is>
      </c>
      <c r="C552" t="inlineStr">
        <is>
          <t>100726041701</t>
        </is>
      </c>
      <c r="D552" t="inlineStr">
        <is>
          <t>TP</t>
        </is>
      </c>
      <c r="F552" t="n">
        <v>8</v>
      </c>
      <c r="G552" t="n">
        <v>6.4</v>
      </c>
      <c r="H552" t="n">
        <v>57.6</v>
      </c>
      <c r="I552" t="n">
        <v>-44.8</v>
      </c>
      <c r="J552" t="n">
        <v>6.602011558010462</v>
      </c>
      <c r="K552" t="n">
        <v>6.569813049164237</v>
      </c>
      <c r="L552" t="n">
        <v>6.602835855876078</v>
      </c>
      <c r="M552" t="n">
        <v>6.599448998744945</v>
      </c>
      <c r="BH552" t="n">
        <v>6.594</v>
      </c>
      <c r="BS552" t="n">
        <v>3.02</v>
      </c>
      <c r="CD552" t="n">
        <v>0.21</v>
      </c>
      <c r="CF552" t="n">
        <v>8</v>
      </c>
      <c r="CG552" t="n">
        <v>4.1</v>
      </c>
      <c r="CH552" t="n">
        <v>36.9</v>
      </c>
      <c r="CI552" t="n">
        <v>-28.7</v>
      </c>
      <c r="CJ552" t="n">
        <v>4.398789281043321</v>
      </c>
      <c r="CK552" t="n">
        <v>4.311244880839677</v>
      </c>
      <c r="CL552" t="n">
        <v>4.326232217795697</v>
      </c>
      <c r="CM552" t="n">
        <v>4.310291087607988</v>
      </c>
      <c r="EH552" t="n">
        <v>4.337</v>
      </c>
      <c r="ES552" t="n">
        <v>5.77</v>
      </c>
      <c r="FD552" t="n">
        <v>0.84</v>
      </c>
      <c r="FF552" t="n">
        <v>8</v>
      </c>
      <c r="FG552" t="n">
        <v>4.2</v>
      </c>
      <c r="FH552" t="n">
        <v>37.8</v>
      </c>
      <c r="FI552" t="n">
        <v>-29.4</v>
      </c>
      <c r="FJ552" t="n">
        <v>3.974040349431169</v>
      </c>
      <c r="FK552" t="n">
        <v>4.011496065743161</v>
      </c>
      <c r="FL552" t="n">
        <v>3.80373469951571</v>
      </c>
      <c r="FM552" t="n">
        <v>3.777257337448424</v>
      </c>
      <c r="HH552" t="n">
        <v>3.892</v>
      </c>
      <c r="HS552" t="n">
        <v>-7.34</v>
      </c>
      <c r="ID552" t="n">
        <v>2.63</v>
      </c>
      <c r="IF552" t="n">
        <v>8</v>
      </c>
      <c r="IG552" t="n">
        <v>7.5</v>
      </c>
      <c r="IH552" t="n">
        <v>67.5</v>
      </c>
      <c r="II552" t="n">
        <v>-52.5</v>
      </c>
      <c r="IJ552" t="n">
        <v>7.341906672725418</v>
      </c>
      <c r="IK552" t="n">
        <v>7.377526813446421</v>
      </c>
      <c r="IL552" t="n">
        <v>7.127862461670121</v>
      </c>
      <c r="IM552" t="n">
        <v>7.551886146290796</v>
      </c>
      <c r="KH552" t="n">
        <v>7.35</v>
      </c>
      <c r="KS552" t="n">
        <v>-2</v>
      </c>
      <c r="LD552" t="n">
        <v>2.05</v>
      </c>
    </row>
    <row r="553">
      <c r="A553" t="inlineStr">
        <is>
          <t>2026-04-16</t>
        </is>
      </c>
      <c r="B553" t="inlineStr">
        <is>
          <t>Equine 26</t>
        </is>
      </c>
      <c r="C553" t="inlineStr">
        <is>
          <t>206026041601</t>
        </is>
      </c>
      <c r="D553" t="inlineStr">
        <is>
          <t>ALP</t>
        </is>
      </c>
      <c r="F553" t="n">
        <v>20</v>
      </c>
      <c r="G553" t="n">
        <v>136</v>
      </c>
      <c r="H553" t="n">
        <v>2856</v>
      </c>
      <c r="I553" t="n">
        <v>-2584</v>
      </c>
      <c r="J553" t="n">
        <v>61.79850176671041</v>
      </c>
      <c r="K553" t="n">
        <v>61.80911643921813</v>
      </c>
      <c r="BH553" t="n">
        <v>61.804</v>
      </c>
      <c r="BS553" t="n">
        <v>-54.56</v>
      </c>
      <c r="CD553" t="n">
        <v>0.01</v>
      </c>
      <c r="CF553" t="n">
        <v>20</v>
      </c>
      <c r="CG553" t="n">
        <v>456</v>
      </c>
      <c r="CH553" t="n">
        <v>9576</v>
      </c>
      <c r="CI553" t="n">
        <v>-8664</v>
      </c>
      <c r="CJ553" t="n">
        <v>61.41000258096821</v>
      </c>
      <c r="CK553" t="n">
        <v>61.62157181868957</v>
      </c>
      <c r="EH553" t="n">
        <v>61.516</v>
      </c>
      <c r="ES553" t="n">
        <v>-86.51000000000001</v>
      </c>
      <c r="FD553" t="n">
        <v>0.17</v>
      </c>
      <c r="FF553" t="n">
        <v>20</v>
      </c>
      <c r="FG553" t="n">
        <v>75</v>
      </c>
      <c r="FH553" t="n">
        <v>1575</v>
      </c>
      <c r="FI553" t="n">
        <v>-1425</v>
      </c>
      <c r="FJ553" t="n">
        <v>61.58289261721626</v>
      </c>
      <c r="FK553" t="n">
        <v>61.82062888911535</v>
      </c>
      <c r="HH553" t="n">
        <v>61.702</v>
      </c>
      <c r="HS553" t="n">
        <v>-17.73</v>
      </c>
      <c r="ID553" t="n">
        <v>0.19</v>
      </c>
      <c r="IF553" t="n">
        <v>20</v>
      </c>
      <c r="IG553" t="n">
        <v>251</v>
      </c>
      <c r="IH553" t="n">
        <v>5271</v>
      </c>
      <c r="II553" t="n">
        <v>-4769</v>
      </c>
      <c r="IJ553" t="n">
        <v>60.6531175808007</v>
      </c>
      <c r="IK553" t="n">
        <v>61.33996176961563</v>
      </c>
      <c r="KH553" t="n">
        <v>60.997</v>
      </c>
      <c r="KS553" t="n">
        <v>-75.7</v>
      </c>
      <c r="LD553" t="n">
        <v>0.5600000000000001</v>
      </c>
    </row>
    <row r="554">
      <c r="A554" t="inlineStr">
        <is>
          <t>2026-04-16</t>
        </is>
      </c>
      <c r="B554" t="inlineStr">
        <is>
          <t>Equine 26</t>
        </is>
      </c>
      <c r="C554" t="inlineStr">
        <is>
          <t>206026041601</t>
        </is>
      </c>
      <c r="D554" t="inlineStr">
        <is>
          <t>CREA</t>
        </is>
      </c>
      <c r="F554" t="n">
        <v>10</v>
      </c>
      <c r="G554" t="n">
        <v>1.5</v>
      </c>
      <c r="H554" t="n">
        <v>16.5</v>
      </c>
      <c r="I554" t="n">
        <v>-13.5</v>
      </c>
      <c r="J554" t="n">
        <v>1.334483944036307</v>
      </c>
      <c r="K554" t="n">
        <v>1.310470766276512</v>
      </c>
      <c r="BH554" t="n">
        <v>1.322</v>
      </c>
      <c r="BS554" t="n">
        <v>-11.83</v>
      </c>
      <c r="CD554" t="n">
        <v>0.91</v>
      </c>
      <c r="CF554" t="n">
        <v>10</v>
      </c>
      <c r="CG554" t="n">
        <v>5.55</v>
      </c>
      <c r="CH554" t="n">
        <v>61.05</v>
      </c>
      <c r="CI554" t="n">
        <v>-49.95</v>
      </c>
      <c r="CJ554" t="n">
        <v>4.684524180940469</v>
      </c>
      <c r="CK554" t="n">
        <v>4.667595390382342</v>
      </c>
      <c r="EH554" t="n">
        <v>4.676</v>
      </c>
      <c r="ES554" t="n">
        <v>-15.75</v>
      </c>
      <c r="FD554" t="n">
        <v>0.18</v>
      </c>
      <c r="FF554" t="n">
        <v>10</v>
      </c>
      <c r="FG554" t="n">
        <v>0.97</v>
      </c>
      <c r="FH554" t="n">
        <v>10.67</v>
      </c>
      <c r="FI554" t="n">
        <v>-8.73</v>
      </c>
      <c r="FJ554" t="n">
        <v>0.671465411408911</v>
      </c>
      <c r="FK554" t="n">
        <v>0.6543794888918069</v>
      </c>
      <c r="HH554" t="n">
        <v>0.663</v>
      </c>
      <c r="HS554" t="n">
        <v>-31.66</v>
      </c>
      <c r="ID554" t="n">
        <v>1.29</v>
      </c>
      <c r="IF554" t="n">
        <v>10</v>
      </c>
      <c r="IG554" t="n">
        <v>5.95</v>
      </c>
      <c r="IH554" t="n">
        <v>65.45</v>
      </c>
      <c r="II554" t="n">
        <v>-53.55</v>
      </c>
      <c r="IJ554" t="n">
        <v>5.370257436842851</v>
      </c>
      <c r="IK554" t="n">
        <v>5.406290534656995</v>
      </c>
      <c r="KH554" t="n">
        <v>5.388</v>
      </c>
      <c r="KS554" t="n">
        <v>-9.44</v>
      </c>
      <c r="LD554" t="n">
        <v>0.33</v>
      </c>
    </row>
    <row r="555">
      <c r="A555" t="inlineStr">
        <is>
          <t>2026-04-16</t>
        </is>
      </c>
      <c r="B555" t="inlineStr">
        <is>
          <t>Equine 26</t>
        </is>
      </c>
      <c r="C555" t="inlineStr">
        <is>
          <t>206026041601</t>
        </is>
      </c>
      <c r="D555" t="inlineStr">
        <is>
          <t>Ca</t>
        </is>
      </c>
      <c r="G555" t="n">
        <v>9.1</v>
      </c>
      <c r="J555" t="n">
        <v>9.707208509294169</v>
      </c>
      <c r="K555" t="n">
        <v>9.891717509590375</v>
      </c>
      <c r="BH555" t="n">
        <v>9.798999999999999</v>
      </c>
      <c r="BS555" t="n">
        <v>7.69</v>
      </c>
      <c r="CD555" t="n">
        <v>0.9399999999999999</v>
      </c>
      <c r="CG555" t="n">
        <v>12.4</v>
      </c>
      <c r="CJ555" t="n">
        <v>12.68815454790978</v>
      </c>
      <c r="CK555" t="n">
        <v>12.66528718213718</v>
      </c>
      <c r="EH555" t="n">
        <v>12.677</v>
      </c>
      <c r="ES555" t="n">
        <v>2.23</v>
      </c>
      <c r="FD555" t="n">
        <v>0.09</v>
      </c>
      <c r="FG555" t="n">
        <v>5.9</v>
      </c>
      <c r="FJ555" t="n">
        <v>5.673613013893636</v>
      </c>
      <c r="FK555" t="n">
        <v>5.971251748407672</v>
      </c>
      <c r="HH555" t="n">
        <v>5.822</v>
      </c>
      <c r="HS555" t="n">
        <v>-1.31</v>
      </c>
      <c r="ID555" t="n">
        <v>2.56</v>
      </c>
      <c r="IG555" t="n">
        <v>12.7</v>
      </c>
      <c r="IJ555" t="n">
        <v>12.40861979846643</v>
      </c>
      <c r="IK555" t="n">
        <v>12.67270229599816</v>
      </c>
      <c r="KH555" t="n">
        <v>12.541</v>
      </c>
      <c r="KS555" t="n">
        <v>-1.25</v>
      </c>
      <c r="LD555" t="n">
        <v>1.05</v>
      </c>
    </row>
    <row r="556">
      <c r="A556" t="inlineStr">
        <is>
          <t>2026-04-16</t>
        </is>
      </c>
      <c r="B556" t="inlineStr">
        <is>
          <t>Equine 26</t>
        </is>
      </c>
      <c r="C556" t="inlineStr">
        <is>
          <t>206026041601</t>
        </is>
      </c>
      <c r="D556" t="inlineStr">
        <is>
          <t>K</t>
        </is>
      </c>
      <c r="G556" t="n">
        <v>3.9</v>
      </c>
      <c r="J556" t="n">
        <v>3.788387664204281</v>
      </c>
      <c r="K556" t="n">
        <v>3.708182497086806</v>
      </c>
      <c r="BH556" t="n">
        <v>3.748</v>
      </c>
      <c r="BS556" t="n">
        <v>-3.89</v>
      </c>
      <c r="CD556" t="n">
        <v>1.07</v>
      </c>
      <c r="CG556" t="n">
        <v>6</v>
      </c>
      <c r="CJ556" t="n">
        <v>6.203082553182531</v>
      </c>
      <c r="CK556" t="n">
        <v>6.123529978484665</v>
      </c>
      <c r="EH556" t="n">
        <v>6.163</v>
      </c>
      <c r="ES556" t="n">
        <v>2.72</v>
      </c>
      <c r="FD556" t="n">
        <v>0.65</v>
      </c>
      <c r="FG556" t="n">
        <v>2.2</v>
      </c>
      <c r="FJ556" t="n">
        <v>2.777107112901795</v>
      </c>
      <c r="FK556" t="n">
        <v>2.267453922216588</v>
      </c>
      <c r="HH556" t="n">
        <v>2.522</v>
      </c>
      <c r="HS556" t="n">
        <v>14.65</v>
      </c>
      <c r="ID556" t="n">
        <v>10.1</v>
      </c>
      <c r="IG556" t="n">
        <v>8.4</v>
      </c>
      <c r="IJ556" t="n">
        <v>8.555712954591478</v>
      </c>
      <c r="IK556" t="n">
        <v>8.513847385310626</v>
      </c>
      <c r="KH556" t="n">
        <v>8.535</v>
      </c>
      <c r="KS556" t="n">
        <v>1.6</v>
      </c>
      <c r="LD556" t="n">
        <v>0.25</v>
      </c>
    </row>
    <row r="557">
      <c r="A557" t="inlineStr">
        <is>
          <t>2026-04-16</t>
        </is>
      </c>
      <c r="B557" t="inlineStr">
        <is>
          <t>Equine 26</t>
        </is>
      </c>
      <c r="C557" t="inlineStr">
        <is>
          <t>206026041601</t>
        </is>
      </c>
      <c r="D557" t="inlineStr">
        <is>
          <t>Na</t>
        </is>
      </c>
      <c r="G557" t="n">
        <v>141</v>
      </c>
      <c r="J557" t="n">
        <v>148.4190634083684</v>
      </c>
      <c r="K557" t="n">
        <v>149.3937250115972</v>
      </c>
      <c r="BH557" t="n">
        <v>148.906</v>
      </c>
      <c r="BS557" t="n">
        <v>5.61</v>
      </c>
      <c r="CD557" t="n">
        <v>0.33</v>
      </c>
      <c r="CG557" t="n">
        <v>129</v>
      </c>
      <c r="CJ557" t="n">
        <v>138.8370863880246</v>
      </c>
      <c r="CK557" t="n">
        <v>133.4591149657879</v>
      </c>
      <c r="EH557" t="n">
        <v>136.148</v>
      </c>
      <c r="ES557" t="n">
        <v>5.54</v>
      </c>
      <c r="FD557" t="n">
        <v>1.98</v>
      </c>
      <c r="FG557" t="n">
        <v>118</v>
      </c>
      <c r="FJ557" t="n">
        <v>121.9383583781624</v>
      </c>
      <c r="FK557" t="n">
        <v>125.3239544883003</v>
      </c>
      <c r="HH557" t="n">
        <v>123.631</v>
      </c>
      <c r="HS557" t="n">
        <v>4.77</v>
      </c>
      <c r="ID557" t="n">
        <v>1.37</v>
      </c>
      <c r="IG557" t="n">
        <v>166</v>
      </c>
      <c r="IJ557" t="n">
        <v>167.5027380786584</v>
      </c>
      <c r="IK557" t="n">
        <v>166.3994957301065</v>
      </c>
      <c r="KH557" t="n">
        <v>166.951</v>
      </c>
      <c r="KS557" t="n">
        <v>0.57</v>
      </c>
      <c r="LD557" t="n">
        <v>0.33</v>
      </c>
    </row>
    <row r="558">
      <c r="A558" t="inlineStr">
        <is>
          <t>2026-04-16</t>
        </is>
      </c>
      <c r="B558" t="inlineStr">
        <is>
          <t>Equine 26</t>
        </is>
      </c>
      <c r="C558" t="inlineStr">
        <is>
          <t>206026041601</t>
        </is>
      </c>
      <c r="D558" t="inlineStr">
        <is>
          <t>PHOS</t>
        </is>
      </c>
      <c r="F558" t="n">
        <v>10</v>
      </c>
      <c r="G558" t="n">
        <v>3.3</v>
      </c>
      <c r="H558" t="n">
        <v>36.3</v>
      </c>
      <c r="I558" t="n">
        <v>-29.7</v>
      </c>
      <c r="J558" t="n">
        <v>3.265308637781138</v>
      </c>
      <c r="K558" t="n">
        <v>3.293383576258882</v>
      </c>
      <c r="BH558" t="n">
        <v>3.279</v>
      </c>
      <c r="BS558" t="n">
        <v>-0.63</v>
      </c>
      <c r="CD558" t="n">
        <v>0.43</v>
      </c>
      <c r="CF558" t="n">
        <v>10</v>
      </c>
      <c r="CG558" t="n">
        <v>7.2</v>
      </c>
      <c r="CH558" t="n">
        <v>79.2</v>
      </c>
      <c r="CI558" t="n">
        <v>-64.8</v>
      </c>
      <c r="CJ558" t="n">
        <v>7.386803335617319</v>
      </c>
      <c r="CK558" t="n">
        <v>7.080638624577845</v>
      </c>
      <c r="EH558" t="n">
        <v>7.234</v>
      </c>
      <c r="ES558" t="n">
        <v>0.47</v>
      </c>
      <c r="FD558" t="n">
        <v>2.12</v>
      </c>
      <c r="FF558" t="n">
        <v>10</v>
      </c>
      <c r="FG558" t="n">
        <v>1.9</v>
      </c>
      <c r="FH558" t="n">
        <v>20.9</v>
      </c>
      <c r="FI558" t="n">
        <v>-17.1</v>
      </c>
      <c r="FJ558" t="n">
        <v>1.995725318104405</v>
      </c>
      <c r="FK558" t="n">
        <v>1.950753124344297</v>
      </c>
      <c r="HH558" t="n">
        <v>1.973</v>
      </c>
      <c r="HS558" t="n">
        <v>3.85</v>
      </c>
      <c r="ID558" t="n">
        <v>1.14</v>
      </c>
      <c r="IF558" t="n">
        <v>10</v>
      </c>
      <c r="IG558" t="n">
        <v>7.2</v>
      </c>
      <c r="IH558" t="n">
        <v>79.2</v>
      </c>
      <c r="II558" t="n">
        <v>-64.8</v>
      </c>
      <c r="IJ558" t="n">
        <v>7.329641646308685</v>
      </c>
      <c r="IK558" t="n">
        <v>7.309925293076737</v>
      </c>
      <c r="KH558" t="n">
        <v>7.32</v>
      </c>
      <c r="KS558" t="n">
        <v>1.66</v>
      </c>
      <c r="LD558" t="n">
        <v>0.13</v>
      </c>
    </row>
    <row r="559">
      <c r="A559" t="inlineStr">
        <is>
          <t>2026-04-16</t>
        </is>
      </c>
      <c r="B559" t="inlineStr">
        <is>
          <t>Equine 26</t>
        </is>
      </c>
      <c r="C559" t="inlineStr">
        <is>
          <t>206026041601</t>
        </is>
      </c>
      <c r="D559" t="inlineStr">
        <is>
          <t>TBIL</t>
        </is>
      </c>
      <c r="F559" t="n">
        <v>20</v>
      </c>
      <c r="G559" t="n">
        <v>1.1</v>
      </c>
      <c r="H559" t="n">
        <v>23.1</v>
      </c>
      <c r="I559" t="n">
        <v>-20.9</v>
      </c>
      <c r="J559" t="n">
        <v>1.441807729487624</v>
      </c>
      <c r="K559" t="n">
        <v>1.437835016539487</v>
      </c>
      <c r="BH559" t="n">
        <v>1.44</v>
      </c>
      <c r="BS559" t="n">
        <v>30.89</v>
      </c>
      <c r="CD559" t="n">
        <v>0.14</v>
      </c>
      <c r="CF559" t="n">
        <v>20</v>
      </c>
      <c r="CG559" t="n">
        <v>5.1</v>
      </c>
      <c r="CH559" t="n">
        <v>107.1</v>
      </c>
      <c r="CI559" t="n">
        <v>-96.89999999999999</v>
      </c>
      <c r="CJ559" t="n">
        <v>5.598018040617547</v>
      </c>
      <c r="CK559" t="n">
        <v>5.430862594445789</v>
      </c>
      <c r="EH559" t="n">
        <v>5.514</v>
      </c>
      <c r="ES559" t="n">
        <v>8.130000000000001</v>
      </c>
      <c r="FD559" t="n">
        <v>1.52</v>
      </c>
      <c r="FF559" t="n">
        <v>20</v>
      </c>
      <c r="FG559" t="n">
        <v>0.8</v>
      </c>
      <c r="FH559" t="n">
        <v>16.8</v>
      </c>
      <c r="FI559" t="n">
        <v>-15.2</v>
      </c>
      <c r="FJ559" t="n">
        <v>0.7807363353787036</v>
      </c>
      <c r="FK559" t="n">
        <v>0.813875177675814</v>
      </c>
      <c r="HH559" t="n">
        <v>0.797</v>
      </c>
      <c r="HS559" t="n">
        <v>-0.34</v>
      </c>
      <c r="ID559" t="n">
        <v>2.08</v>
      </c>
      <c r="IF559" t="n">
        <v>20</v>
      </c>
      <c r="IG559" t="n">
        <v>8.4</v>
      </c>
      <c r="IH559" t="n">
        <v>176.4</v>
      </c>
      <c r="II559" t="n">
        <v>-159.6</v>
      </c>
      <c r="IJ559" t="n">
        <v>8.723262920516202</v>
      </c>
      <c r="IK559" t="n">
        <v>8.698994654933518</v>
      </c>
      <c r="KH559" t="n">
        <v>8.711</v>
      </c>
      <c r="KS559" t="n">
        <v>3.7</v>
      </c>
      <c r="LD559" t="n">
        <v>0.14</v>
      </c>
    </row>
    <row r="560">
      <c r="A560" t="inlineStr">
        <is>
          <t>2026-04-15</t>
        </is>
      </c>
      <c r="B560" t="inlineStr">
        <is>
          <t>Optimum Wellness 37</t>
        </is>
      </c>
      <c r="C560" t="inlineStr">
        <is>
          <t>209226041501</t>
        </is>
      </c>
      <c r="D560" t="inlineStr">
        <is>
          <t>AMY</t>
        </is>
      </c>
      <c r="F560" t="n">
        <v>10</v>
      </c>
      <c r="G560" t="n">
        <v>78</v>
      </c>
      <c r="H560" t="n">
        <v>858</v>
      </c>
      <c r="I560" t="n">
        <v>-702</v>
      </c>
      <c r="J560" t="n">
        <v>75.26324600939911</v>
      </c>
      <c r="K560" t="n">
        <v>74.60499967850805</v>
      </c>
      <c r="L560" t="n">
        <v>75.9751212016383</v>
      </c>
      <c r="M560" t="n">
        <v>75.86918678582751</v>
      </c>
      <c r="N560" t="n">
        <v>76.36808997901417</v>
      </c>
      <c r="O560" t="n">
        <v>75.28638477871047</v>
      </c>
      <c r="BH560" t="n">
        <v>75.56100000000001</v>
      </c>
      <c r="BS560" t="n">
        <v>-3.13</v>
      </c>
      <c r="CD560" t="n">
        <v>0.76</v>
      </c>
      <c r="CF560" t="n">
        <v>10</v>
      </c>
      <c r="CG560" t="n">
        <v>404</v>
      </c>
      <c r="CH560" t="n">
        <v>4444</v>
      </c>
      <c r="CI560" t="n">
        <v>-3636</v>
      </c>
      <c r="CJ560" t="n">
        <v>378.9840745024347</v>
      </c>
      <c r="CK560" t="n">
        <v>392.8364633016405</v>
      </c>
      <c r="CL560" t="n">
        <v>383.2429157537409</v>
      </c>
      <c r="EH560" t="n">
        <v>385.021</v>
      </c>
      <c r="ES560" t="n">
        <v>-4.7</v>
      </c>
      <c r="FD560" t="n">
        <v>1.5</v>
      </c>
      <c r="FF560" t="n">
        <v>10</v>
      </c>
      <c r="FG560" t="n">
        <v>63</v>
      </c>
      <c r="FH560" t="n">
        <v>693</v>
      </c>
      <c r="FI560" t="n">
        <v>-567</v>
      </c>
      <c r="FJ560" t="n">
        <v>62.32710359035706</v>
      </c>
      <c r="FK560" t="n">
        <v>62.45828637966521</v>
      </c>
      <c r="FL560" t="n">
        <v>64.28805554396791</v>
      </c>
      <c r="FM560" t="n">
        <v>62.50934114664485</v>
      </c>
      <c r="FN560" t="n">
        <v>73.62874079280758</v>
      </c>
      <c r="FO560" t="n">
        <v>63.38614535998766</v>
      </c>
      <c r="HH560" t="n">
        <v>64.76600000000001</v>
      </c>
      <c r="HS560" t="n">
        <v>2.8</v>
      </c>
      <c r="ID560" t="n">
        <v>6.21</v>
      </c>
      <c r="IF560" t="n">
        <v>10</v>
      </c>
      <c r="IG560" t="n">
        <v>297</v>
      </c>
      <c r="IH560" t="n">
        <v>3267</v>
      </c>
      <c r="II560" t="n">
        <v>-2673</v>
      </c>
      <c r="IJ560" t="n">
        <v>286.4543911954577</v>
      </c>
      <c r="IK560" t="n">
        <v>278.0779165987587</v>
      </c>
      <c r="IL560" t="n">
        <v>284.2463753694029</v>
      </c>
      <c r="IM560" t="n">
        <v>281.4170293108892</v>
      </c>
      <c r="KH560" t="n">
        <v>282.549</v>
      </c>
      <c r="KS560" t="n">
        <v>-4.87</v>
      </c>
      <c r="LD560" t="n">
        <v>1.11</v>
      </c>
    </row>
    <row r="561">
      <c r="A561" t="inlineStr">
        <is>
          <t>2026-04-15</t>
        </is>
      </c>
      <c r="B561" t="inlineStr">
        <is>
          <t>Optimum Wellness 37</t>
        </is>
      </c>
      <c r="C561" t="inlineStr">
        <is>
          <t>209226041501</t>
        </is>
      </c>
      <c r="D561" t="inlineStr">
        <is>
          <t>AST</t>
        </is>
      </c>
      <c r="F561" t="n">
        <v>15</v>
      </c>
      <c r="G561" t="n">
        <v>44</v>
      </c>
      <c r="H561" t="n">
        <v>704</v>
      </c>
      <c r="I561" t="n">
        <v>-616</v>
      </c>
      <c r="J561" t="n">
        <v>40.01139603493547</v>
      </c>
      <c r="K561" t="n">
        <v>40.63874041079316</v>
      </c>
      <c r="L561" t="n">
        <v>42.57594507439553</v>
      </c>
      <c r="M561" t="n">
        <v>40.00050615276813</v>
      </c>
      <c r="N561" t="n">
        <v>42.449429501358</v>
      </c>
      <c r="O561" t="n">
        <v>41.44887236234464</v>
      </c>
      <c r="BH561" t="n">
        <v>41.187</v>
      </c>
      <c r="BS561" t="n">
        <v>-6.39</v>
      </c>
      <c r="CD561" t="n">
        <v>2.56</v>
      </c>
      <c r="CF561" t="n">
        <v>15</v>
      </c>
      <c r="CG561" t="n">
        <v>221</v>
      </c>
      <c r="CH561" t="n">
        <v>3536</v>
      </c>
      <c r="CI561" t="n">
        <v>-3094</v>
      </c>
      <c r="CJ561" t="n">
        <v>202.4357521967633</v>
      </c>
      <c r="CK561" t="n">
        <v>210.009084098807</v>
      </c>
      <c r="CL561" t="n">
        <v>196.3612792485952</v>
      </c>
      <c r="EH561" t="n">
        <v>202.935</v>
      </c>
      <c r="ES561" t="n">
        <v>-8.17</v>
      </c>
      <c r="FD561" t="n">
        <v>2.75</v>
      </c>
      <c r="FF561" t="n">
        <v>15</v>
      </c>
      <c r="FG561" t="n">
        <v>45</v>
      </c>
      <c r="FH561" t="n">
        <v>720</v>
      </c>
      <c r="FI561" t="n">
        <v>-630</v>
      </c>
      <c r="FJ561" t="n">
        <v>41.50616724250123</v>
      </c>
      <c r="FK561" t="n">
        <v>41.92871261317825</v>
      </c>
      <c r="FL561" t="n">
        <v>44.05233076394789</v>
      </c>
      <c r="FM561" t="n">
        <v>40.30453823462483</v>
      </c>
      <c r="FN561" t="n">
        <v>43.47070226544992</v>
      </c>
      <c r="FO561" t="n">
        <v>42.4203149336135</v>
      </c>
      <c r="HH561" t="n">
        <v>42.28</v>
      </c>
      <c r="HS561" t="n">
        <v>-6.04</v>
      </c>
      <c r="ID561" t="n">
        <v>2.93</v>
      </c>
      <c r="IF561" t="n">
        <v>15</v>
      </c>
      <c r="IG561" t="n">
        <v>282</v>
      </c>
      <c r="IH561" t="n">
        <v>4512</v>
      </c>
      <c r="II561" t="n">
        <v>-3948</v>
      </c>
      <c r="IJ561" t="n">
        <v>256.3218649580151</v>
      </c>
      <c r="IK561" t="n">
        <v>246.585538684437</v>
      </c>
      <c r="IL561" t="n">
        <v>256.6713698251131</v>
      </c>
      <c r="IM561" t="n">
        <v>247.0509198484948</v>
      </c>
      <c r="KH561" t="n">
        <v>251.657</v>
      </c>
      <c r="KS561" t="n">
        <v>-10.76</v>
      </c>
      <c r="LD561" t="n">
        <v>1.92</v>
      </c>
    </row>
    <row r="562">
      <c r="A562" t="inlineStr">
        <is>
          <t>2026-04-15</t>
        </is>
      </c>
      <c r="B562" t="inlineStr">
        <is>
          <t>Optimum Wellness 37</t>
        </is>
      </c>
      <c r="C562" t="inlineStr">
        <is>
          <t>209226041501</t>
        </is>
      </c>
      <c r="D562" t="inlineStr">
        <is>
          <t>CHOL</t>
        </is>
      </c>
      <c r="F562" t="n">
        <v>10</v>
      </c>
      <c r="G562" t="n">
        <v>228</v>
      </c>
      <c r="H562" t="n">
        <v>2508</v>
      </c>
      <c r="I562" t="n">
        <v>-2052</v>
      </c>
      <c r="J562" t="n">
        <v>223.7822827551253</v>
      </c>
      <c r="K562" t="n">
        <v>227.1154277676575</v>
      </c>
      <c r="L562" t="n">
        <v>224.0604114811785</v>
      </c>
      <c r="M562" t="n">
        <v>231.04229426045</v>
      </c>
      <c r="N562" t="n">
        <v>229.9872220043969</v>
      </c>
      <c r="O562" t="n">
        <v>228.6988250306955</v>
      </c>
      <c r="BH562" t="n">
        <v>227.448</v>
      </c>
      <c r="BS562" t="n">
        <v>-0.24</v>
      </c>
      <c r="CD562" t="n">
        <v>1.22</v>
      </c>
      <c r="CF562" t="n">
        <v>10</v>
      </c>
      <c r="CG562" t="n">
        <v>99</v>
      </c>
      <c r="CH562" t="n">
        <v>1089</v>
      </c>
      <c r="CI562" t="n">
        <v>-891</v>
      </c>
      <c r="CJ562" t="n">
        <v>97.71009306291262</v>
      </c>
      <c r="CK562" t="n">
        <v>99.16455351333613</v>
      </c>
      <c r="CL562" t="n">
        <v>96.48086973822683</v>
      </c>
      <c r="EH562" t="n">
        <v>97.785</v>
      </c>
      <c r="ES562" t="n">
        <v>-1.23</v>
      </c>
      <c r="FD562" t="n">
        <v>1.12</v>
      </c>
      <c r="FF562" t="n">
        <v>10</v>
      </c>
      <c r="FG562" t="n">
        <v>115</v>
      </c>
      <c r="FH562" t="n">
        <v>1265</v>
      </c>
      <c r="FI562" t="n">
        <v>-1035</v>
      </c>
      <c r="FJ562" t="n">
        <v>111.0916424644843</v>
      </c>
      <c r="FK562" t="n">
        <v>111.4764801070813</v>
      </c>
      <c r="FL562" t="n">
        <v>113.7879433800751</v>
      </c>
      <c r="FM562" t="n">
        <v>110.9906631435686</v>
      </c>
      <c r="FN562" t="n">
        <v>111.4990124249315</v>
      </c>
      <c r="FO562" t="n">
        <v>113.7415006083416</v>
      </c>
      <c r="HH562" t="n">
        <v>112.098</v>
      </c>
      <c r="HS562" t="n">
        <v>-2.52</v>
      </c>
      <c r="ID562" t="n">
        <v>1.06</v>
      </c>
      <c r="IF562" t="n">
        <v>10</v>
      </c>
      <c r="IG562" t="n">
        <v>269</v>
      </c>
      <c r="IH562" t="n">
        <v>2959</v>
      </c>
      <c r="II562" t="n">
        <v>-2421</v>
      </c>
      <c r="IJ562" t="n">
        <v>256.6965460559604</v>
      </c>
      <c r="IK562" t="n">
        <v>250.9753085055768</v>
      </c>
      <c r="IL562" t="n">
        <v>256.1765698686175</v>
      </c>
      <c r="IM562" t="n">
        <v>251.9660498226643</v>
      </c>
      <c r="KH562" t="n">
        <v>253.954</v>
      </c>
      <c r="KS562" t="n">
        <v>-5.59</v>
      </c>
      <c r="LD562" t="n">
        <v>0.99</v>
      </c>
    </row>
    <row r="563">
      <c r="A563" t="inlineStr">
        <is>
          <t>2026-04-15</t>
        </is>
      </c>
      <c r="B563" t="inlineStr">
        <is>
          <t>Optimum Wellness 37</t>
        </is>
      </c>
      <c r="C563" t="inlineStr">
        <is>
          <t>209226041501</t>
        </is>
      </c>
      <c r="D563" t="inlineStr">
        <is>
          <t>CK</t>
        </is>
      </c>
      <c r="F563" t="n">
        <v>20</v>
      </c>
      <c r="J563" t="n">
        <v>122.0669116156096</v>
      </c>
      <c r="K563" t="n">
        <v>126.7613815252644</v>
      </c>
      <c r="L563" t="n">
        <v>120.4385234975546</v>
      </c>
      <c r="M563" t="n">
        <v>125.450647320846</v>
      </c>
      <c r="N563" t="n">
        <v>127.6621330912615</v>
      </c>
      <c r="O563" t="n">
        <v>125.1874412363188</v>
      </c>
      <c r="BH563" t="n">
        <v>124.595</v>
      </c>
      <c r="CD563" t="n">
        <v>2.04</v>
      </c>
      <c r="CF563" t="n">
        <v>20</v>
      </c>
      <c r="CJ563" t="n">
        <v>454.850433228342</v>
      </c>
      <c r="CK563" t="n">
        <v>466.122402599942</v>
      </c>
      <c r="CL563" t="n">
        <v>451.3455124691245</v>
      </c>
      <c r="EH563" t="n">
        <v>457.439</v>
      </c>
      <c r="FD563" t="n">
        <v>1.38</v>
      </c>
      <c r="FF563" t="n">
        <v>20</v>
      </c>
      <c r="FJ563" t="n">
        <v>61.05438382835613</v>
      </c>
      <c r="FK563" t="n">
        <v>68.81979508714208</v>
      </c>
      <c r="FL563" t="n">
        <v>64.18696635285708</v>
      </c>
      <c r="FM563" t="n">
        <v>62.23320178118282</v>
      </c>
      <c r="FN563" t="n">
        <v>68.12762416715506</v>
      </c>
      <c r="FO563" t="n">
        <v>61.92885900044214</v>
      </c>
      <c r="HH563" t="n">
        <v>64.392</v>
      </c>
      <c r="ID563" t="n">
        <v>4.72</v>
      </c>
      <c r="IF563" t="n">
        <v>20</v>
      </c>
      <c r="IJ563" t="n">
        <v>593.7591176798296</v>
      </c>
      <c r="IK563" t="n">
        <v>527.8022210753982</v>
      </c>
      <c r="IL563" t="n">
        <v>546.1544766612263</v>
      </c>
      <c r="IM563" t="n">
        <v>535.4723636625024</v>
      </c>
      <c r="KH563" t="n">
        <v>550.797</v>
      </c>
      <c r="LD563" t="n">
        <v>4.66</v>
      </c>
    </row>
    <row r="564">
      <c r="A564" t="inlineStr">
        <is>
          <t>2026-04-15</t>
        </is>
      </c>
      <c r="B564" t="inlineStr">
        <is>
          <t>Optimum Wellness 37</t>
        </is>
      </c>
      <c r="C564" t="inlineStr">
        <is>
          <t>209226041501</t>
        </is>
      </c>
      <c r="D564" t="inlineStr">
        <is>
          <t>Ca</t>
        </is>
      </c>
      <c r="G564" t="n">
        <v>9.1</v>
      </c>
      <c r="J564" t="n">
        <v>9.617682593083051</v>
      </c>
      <c r="K564" t="n">
        <v>9.656788004181392</v>
      </c>
      <c r="L564" t="n">
        <v>9.420563650636538</v>
      </c>
      <c r="M564" t="n">
        <v>9.774883345201115</v>
      </c>
      <c r="N564" t="n">
        <v>9.60047419731068</v>
      </c>
      <c r="O564" t="n">
        <v>9.796664870013801</v>
      </c>
      <c r="BH564" t="n">
        <v>9.645</v>
      </c>
      <c r="BS564" t="n">
        <v>5.98</v>
      </c>
      <c r="CD564" t="n">
        <v>1.29</v>
      </c>
      <c r="CG564" t="n">
        <v>12.4</v>
      </c>
      <c r="CJ564" t="n">
        <v>12.9748943573059</v>
      </c>
      <c r="CK564" t="n">
        <v>13.04562121763944</v>
      </c>
      <c r="CL564" t="n">
        <v>12.73434264038428</v>
      </c>
      <c r="EH564" t="n">
        <v>12.918</v>
      </c>
      <c r="ES564" t="n">
        <v>4.18</v>
      </c>
      <c r="FD564" t="n">
        <v>1.03</v>
      </c>
      <c r="FG564" t="n">
        <v>5.9</v>
      </c>
      <c r="FJ564" t="n">
        <v>5.832766679464543</v>
      </c>
      <c r="FK564" t="n">
        <v>5.567623247037513</v>
      </c>
      <c r="FL564" t="n">
        <v>5.91692995603926</v>
      </c>
      <c r="FM564" t="n">
        <v>5.616090333760184</v>
      </c>
      <c r="FN564" t="n">
        <v>5.705691304919018</v>
      </c>
      <c r="FO564" t="n">
        <v>5.829334076125544</v>
      </c>
      <c r="HH564" t="n">
        <v>5.745</v>
      </c>
      <c r="HS564" t="n">
        <v>-2.63</v>
      </c>
      <c r="ID564" t="n">
        <v>2.18</v>
      </c>
      <c r="IG564" t="n">
        <v>12.7</v>
      </c>
      <c r="IJ564" t="n">
        <v>12.90655674764362</v>
      </c>
      <c r="IK564" t="n">
        <v>12.31499240270404</v>
      </c>
      <c r="IL564" t="n">
        <v>11.38847489842825</v>
      </c>
      <c r="IM564" t="n">
        <v>12.76040239212567</v>
      </c>
      <c r="KH564" t="n">
        <v>12.343</v>
      </c>
      <c r="KS564" t="n">
        <v>-2.81</v>
      </c>
      <c r="LD564" t="n">
        <v>4.8</v>
      </c>
    </row>
    <row r="565">
      <c r="A565" t="inlineStr">
        <is>
          <t>2026-04-15</t>
        </is>
      </c>
      <c r="B565" t="inlineStr">
        <is>
          <t>Optimum Wellness 37</t>
        </is>
      </c>
      <c r="C565" t="inlineStr">
        <is>
          <t>209226041501</t>
        </is>
      </c>
      <c r="D565" t="inlineStr">
        <is>
          <t>GGT</t>
        </is>
      </c>
      <c r="F565" t="n">
        <v>15</v>
      </c>
      <c r="G565" t="n">
        <v>57</v>
      </c>
      <c r="H565" t="n">
        <v>912</v>
      </c>
      <c r="I565" t="n">
        <v>-798</v>
      </c>
      <c r="J565" t="n">
        <v>55.89722785399513</v>
      </c>
      <c r="K565" t="n">
        <v>55.84591678136522</v>
      </c>
      <c r="L565" t="n">
        <v>56.68404725028341</v>
      </c>
      <c r="M565" t="n">
        <v>56.08338439856159</v>
      </c>
      <c r="N565" t="n">
        <v>53.89293242335049</v>
      </c>
      <c r="O565" t="n">
        <v>57.94694560993918</v>
      </c>
      <c r="BH565" t="n">
        <v>56.058</v>
      </c>
      <c r="BS565" t="n">
        <v>-1.65</v>
      </c>
      <c r="CD565" t="n">
        <v>2.15</v>
      </c>
      <c r="CF565" t="n">
        <v>15</v>
      </c>
      <c r="CG565" t="n">
        <v>164</v>
      </c>
      <c r="CH565" t="n">
        <v>2624</v>
      </c>
      <c r="CI565" t="n">
        <v>-2296</v>
      </c>
      <c r="CJ565" t="n">
        <v>161.3555454084903</v>
      </c>
      <c r="CK565" t="n">
        <v>161.3389247051222</v>
      </c>
      <c r="CL565" t="n">
        <v>155.7083054646366</v>
      </c>
      <c r="EH565" t="n">
        <v>159.468</v>
      </c>
      <c r="ES565" t="n">
        <v>-2.76</v>
      </c>
      <c r="FD565" t="n">
        <v>1.67</v>
      </c>
      <c r="FF565" t="n">
        <v>15</v>
      </c>
      <c r="FG565" t="n">
        <v>23</v>
      </c>
      <c r="FH565" t="n">
        <v>368</v>
      </c>
      <c r="FI565" t="n">
        <v>-322</v>
      </c>
      <c r="FJ565" t="n">
        <v>21.75125352080095</v>
      </c>
      <c r="FK565" t="n">
        <v>22.3690346494547</v>
      </c>
      <c r="FL565" t="n">
        <v>23.55334030076259</v>
      </c>
      <c r="FM565" t="n">
        <v>22.13095956596518</v>
      </c>
      <c r="FN565" t="n">
        <v>23.65987259313677</v>
      </c>
      <c r="FO565" t="n">
        <v>23.66398869850158</v>
      </c>
      <c r="HH565" t="n">
        <v>22.855</v>
      </c>
      <c r="HS565" t="n">
        <v>-0.63</v>
      </c>
      <c r="ID565" t="n">
        <v>3.47</v>
      </c>
      <c r="IF565" t="n">
        <v>15</v>
      </c>
      <c r="IG565" t="n">
        <v>126</v>
      </c>
      <c r="IH565" t="n">
        <v>2016</v>
      </c>
      <c r="II565" t="n">
        <v>-1764</v>
      </c>
      <c r="IJ565" t="n">
        <v>124.9023321661836</v>
      </c>
      <c r="IK565" t="n">
        <v>120.297416862038</v>
      </c>
      <c r="IL565" t="n">
        <v>122.2784192942219</v>
      </c>
      <c r="IM565" t="n">
        <v>121.2627244380986</v>
      </c>
      <c r="KH565" t="n">
        <v>122.185</v>
      </c>
      <c r="KS565" t="n">
        <v>-3.03</v>
      </c>
      <c r="LD565" t="n">
        <v>1.41</v>
      </c>
    </row>
    <row r="566">
      <c r="A566" t="inlineStr">
        <is>
          <t>2026-04-15</t>
        </is>
      </c>
      <c r="B566" t="inlineStr">
        <is>
          <t>Optimum Wellness 37</t>
        </is>
      </c>
      <c r="C566" t="inlineStr">
        <is>
          <t>209226041501</t>
        </is>
      </c>
      <c r="D566" t="inlineStr">
        <is>
          <t>PHOS</t>
        </is>
      </c>
      <c r="F566" t="n">
        <v>10</v>
      </c>
      <c r="G566" t="n">
        <v>3.3</v>
      </c>
      <c r="H566" t="n">
        <v>36.3</v>
      </c>
      <c r="I566" t="n">
        <v>-29.7</v>
      </c>
      <c r="J566" t="n">
        <v>3.044143406995063</v>
      </c>
      <c r="K566" t="n">
        <v>3.02806530417012</v>
      </c>
      <c r="L566" t="n">
        <v>3.032966649397185</v>
      </c>
      <c r="M566" t="n">
        <v>3.108855869592807</v>
      </c>
      <c r="N566" t="n">
        <v>3.039598968784786</v>
      </c>
      <c r="O566" t="n">
        <v>3.012497861386748</v>
      </c>
      <c r="BH566" t="n">
        <v>3.044</v>
      </c>
      <c r="BS566" t="n">
        <v>-7.75</v>
      </c>
      <c r="CD566" t="n">
        <v>1</v>
      </c>
      <c r="CF566" t="n">
        <v>10</v>
      </c>
      <c r="CG566" t="n">
        <v>7.2</v>
      </c>
      <c r="CH566" t="n">
        <v>79.2</v>
      </c>
      <c r="CI566" t="n">
        <v>-64.8</v>
      </c>
      <c r="CJ566" t="n">
        <v>6.762524170497918</v>
      </c>
      <c r="CK566" t="n">
        <v>6.885233396229675</v>
      </c>
      <c r="CL566" t="n">
        <v>6.669416623330434</v>
      </c>
      <c r="EH566" t="n">
        <v>6.772</v>
      </c>
      <c r="ES566" t="n">
        <v>-5.94</v>
      </c>
      <c r="FD566" t="n">
        <v>1.31</v>
      </c>
      <c r="FF566" t="n">
        <v>10</v>
      </c>
      <c r="FG566" t="n">
        <v>1.9</v>
      </c>
      <c r="FH566" t="n">
        <v>20.9</v>
      </c>
      <c r="FI566" t="n">
        <v>-17.1</v>
      </c>
      <c r="FJ566" t="n">
        <v>1.78566145157553</v>
      </c>
      <c r="FK566" t="n">
        <v>1.817929025046934</v>
      </c>
      <c r="FL566" t="n">
        <v>1.868985678697368</v>
      </c>
      <c r="FM566" t="n">
        <v>1.834990551885387</v>
      </c>
      <c r="FN566" t="n">
        <v>1.87591334066016</v>
      </c>
      <c r="FO566" t="n">
        <v>1.880125656414802</v>
      </c>
      <c r="HH566" t="n">
        <v>1.844</v>
      </c>
      <c r="HS566" t="n">
        <v>-2.95</v>
      </c>
      <c r="ID566" t="n">
        <v>1.87</v>
      </c>
      <c r="IF566" t="n">
        <v>10</v>
      </c>
      <c r="IG566" t="n">
        <v>7.2</v>
      </c>
      <c r="IH566" t="n">
        <v>79.2</v>
      </c>
      <c r="II566" t="n">
        <v>-64.8</v>
      </c>
      <c r="IJ566" t="n">
        <v>6.863874612004308</v>
      </c>
      <c r="IK566" t="n">
        <v>6.844658896913236</v>
      </c>
      <c r="IL566" t="n">
        <v>6.911746622683091</v>
      </c>
      <c r="IM566" t="n">
        <v>6.752053966537657</v>
      </c>
      <c r="KH566" t="n">
        <v>6.843</v>
      </c>
      <c r="KS566" t="n">
        <v>-4.96</v>
      </c>
      <c r="LD566" t="n">
        <v>0.85</v>
      </c>
    </row>
    <row r="567">
      <c r="A567" t="inlineStr">
        <is>
          <t>2026-04-15</t>
        </is>
      </c>
      <c r="B567" t="inlineStr">
        <is>
          <t>Optimum Wellness 37</t>
        </is>
      </c>
      <c r="C567" t="inlineStr">
        <is>
          <t>209226041501</t>
        </is>
      </c>
      <c r="D567" t="inlineStr">
        <is>
          <t>TBIL</t>
        </is>
      </c>
      <c r="F567" t="n">
        <v>20</v>
      </c>
      <c r="G567" t="n">
        <v>1.1</v>
      </c>
      <c r="H567" t="n">
        <v>23.1</v>
      </c>
      <c r="I567" t="n">
        <v>-20.9</v>
      </c>
      <c r="J567" t="n">
        <v>1.202028013455799</v>
      </c>
      <c r="K567" t="n">
        <v>1.147312867699438</v>
      </c>
      <c r="L567" t="n">
        <v>1.189028528442815</v>
      </c>
      <c r="M567" t="n">
        <v>1.258419807911343</v>
      </c>
      <c r="N567" t="n">
        <v>1.233614951850083</v>
      </c>
      <c r="O567" t="n">
        <v>1.281299348805788</v>
      </c>
      <c r="BH567" t="n">
        <v>1.219</v>
      </c>
      <c r="BS567" t="n">
        <v>10.78</v>
      </c>
      <c r="CD567" t="n">
        <v>3.67</v>
      </c>
      <c r="CF567" t="n">
        <v>20</v>
      </c>
      <c r="CG567" t="n">
        <v>5.1</v>
      </c>
      <c r="CH567" t="n">
        <v>107.1</v>
      </c>
      <c r="CI567" t="n">
        <v>-96.89999999999999</v>
      </c>
      <c r="CJ567" t="n">
        <v>5.175722923684652</v>
      </c>
      <c r="CK567" t="n">
        <v>5.211923832831091</v>
      </c>
      <c r="CL567" t="n">
        <v>5.050611141691163</v>
      </c>
      <c r="EH567" t="n">
        <v>5.146</v>
      </c>
      <c r="ES567" t="n">
        <v>0.9</v>
      </c>
      <c r="FD567" t="n">
        <v>1.34</v>
      </c>
      <c r="FF567" t="n">
        <v>20</v>
      </c>
      <c r="FG567" t="n">
        <v>0.8</v>
      </c>
      <c r="FH567" t="n">
        <v>16.8</v>
      </c>
      <c r="FI567" t="n">
        <v>-15.2</v>
      </c>
      <c r="FJ567" t="n">
        <v>0.6254342529993968</v>
      </c>
      <c r="FK567" t="n">
        <v>0.5814255338396803</v>
      </c>
      <c r="FL567" t="n">
        <v>0.6475932544721577</v>
      </c>
      <c r="FM567" t="n">
        <v>0.5776097137771092</v>
      </c>
      <c r="FN567" t="n">
        <v>0.5803966815414574</v>
      </c>
      <c r="FO567" t="n">
        <v>0.6693284099830521</v>
      </c>
      <c r="HH567" t="n">
        <v>0.614</v>
      </c>
      <c r="HS567" t="n">
        <v>-23.3</v>
      </c>
      <c r="ID567" t="n">
        <v>5.89</v>
      </c>
      <c r="IF567" t="n">
        <v>20</v>
      </c>
      <c r="IG567" t="n">
        <v>8.4</v>
      </c>
      <c r="IH567" t="n">
        <v>176.4</v>
      </c>
      <c r="II567" t="n">
        <v>-159.6</v>
      </c>
      <c r="IJ567" t="n">
        <v>8.294478550153261</v>
      </c>
      <c r="IK567" t="n">
        <v>7.582664494169323</v>
      </c>
      <c r="IL567" t="n">
        <v>7.740425095933538</v>
      </c>
      <c r="IM567" t="n">
        <v>7.644642621033634</v>
      </c>
      <c r="KH567" t="n">
        <v>7.816</v>
      </c>
      <c r="KS567" t="n">
        <v>-6.96</v>
      </c>
      <c r="LD567" t="n">
        <v>3.61</v>
      </c>
    </row>
    <row r="568">
      <c r="A568" t="inlineStr">
        <is>
          <t>2026-04-15</t>
        </is>
      </c>
      <c r="B568" t="inlineStr">
        <is>
          <t>Critical Care 26</t>
        </is>
      </c>
      <c r="C568" t="inlineStr">
        <is>
          <t>205826041501</t>
        </is>
      </c>
      <c r="D568" t="inlineStr">
        <is>
          <t>CK</t>
        </is>
      </c>
      <c r="F568" t="n">
        <v>20</v>
      </c>
      <c r="J568" t="n">
        <v>126.8447027062085</v>
      </c>
      <c r="K568" t="n">
        <v>127.0729459028694</v>
      </c>
      <c r="L568" t="n">
        <v>127.8695119172338</v>
      </c>
      <c r="M568" t="n">
        <v>484.8520143420732</v>
      </c>
      <c r="N568" t="n">
        <v>501.9169219254021</v>
      </c>
      <c r="O568" t="n">
        <v>137.9306066656256</v>
      </c>
      <c r="P568" t="n">
        <v>143.8010838727207</v>
      </c>
      <c r="Q568" t="n">
        <v>132.2670126125133</v>
      </c>
      <c r="BH568" t="n">
        <v>222.819</v>
      </c>
      <c r="CD568" t="n">
        <v>70.18000000000001</v>
      </c>
      <c r="CF568" t="n">
        <v>20</v>
      </c>
      <c r="CJ568" t="n">
        <v>477.9068455445321</v>
      </c>
      <c r="CK568" t="n">
        <v>462.9322565965658</v>
      </c>
      <c r="CL568" t="n">
        <v>467.1449335182554</v>
      </c>
      <c r="CM568" t="n">
        <v>482.4509068667392</v>
      </c>
      <c r="EH568" t="n">
        <v>472.609</v>
      </c>
      <c r="FD568" t="n">
        <v>1.67</v>
      </c>
      <c r="FF568" t="n">
        <v>20</v>
      </c>
      <c r="FJ568" t="n">
        <v>69.38948098752901</v>
      </c>
      <c r="FK568" t="n">
        <v>63.21788384323928</v>
      </c>
      <c r="FL568" t="n">
        <v>55.34015678225366</v>
      </c>
      <c r="FM568" t="n">
        <v>73.5053638022211</v>
      </c>
      <c r="FN568" t="n">
        <v>87.08844753004615</v>
      </c>
      <c r="FO568" t="n">
        <v>70.31075471679854</v>
      </c>
      <c r="HH568" t="n">
        <v>69.809</v>
      </c>
      <c r="ID568" t="n">
        <v>13.91</v>
      </c>
      <c r="IF568" t="n">
        <v>20</v>
      </c>
      <c r="IJ568" t="n">
        <v>580.3251261191457</v>
      </c>
      <c r="IK568" t="n">
        <v>582.3256405136142</v>
      </c>
      <c r="IL568" t="n">
        <v>577.162721786815</v>
      </c>
      <c r="IM568" t="n">
        <v>602.8333335802954</v>
      </c>
      <c r="IN568" t="n">
        <v>608.9803690219908</v>
      </c>
      <c r="IO568" t="n">
        <v>499.3323775390068</v>
      </c>
      <c r="KH568" t="n">
        <v>575.16</v>
      </c>
      <c r="LD568" t="n">
        <v>6.25</v>
      </c>
    </row>
    <row r="569">
      <c r="A569" t="inlineStr">
        <is>
          <t>2026-04-15</t>
        </is>
      </c>
      <c r="B569" t="inlineStr">
        <is>
          <t>Critical Care 26</t>
        </is>
      </c>
      <c r="C569" t="inlineStr">
        <is>
          <t>205826041501</t>
        </is>
      </c>
      <c r="D569" t="inlineStr">
        <is>
          <t>Ca</t>
        </is>
      </c>
      <c r="G569" t="n">
        <v>9.1</v>
      </c>
      <c r="J569" t="n">
        <v>9.663903182596439</v>
      </c>
      <c r="K569" t="n">
        <v>9.601558793333901</v>
      </c>
      <c r="L569" t="n">
        <v>9.446141357139529</v>
      </c>
      <c r="M569" t="n">
        <v>12.50362007906875</v>
      </c>
      <c r="N569" t="n">
        <v>12.65329925545156</v>
      </c>
      <c r="O569" t="n">
        <v>9.890445743631767</v>
      </c>
      <c r="P569" t="n">
        <v>9.787125721258542</v>
      </c>
      <c r="BH569" t="n">
        <v>10.507</v>
      </c>
      <c r="BS569" t="n">
        <v>15.46</v>
      </c>
      <c r="CD569" t="n">
        <v>12.54</v>
      </c>
      <c r="CG569" t="n">
        <v>12.4</v>
      </c>
      <c r="CJ569" t="n">
        <v>13.11272154488188</v>
      </c>
      <c r="CK569" t="n">
        <v>12.78054441001797</v>
      </c>
      <c r="CL569" t="n">
        <v>12.77175481818187</v>
      </c>
      <c r="CM569" t="n">
        <v>12.84913690441525</v>
      </c>
      <c r="EH569" t="n">
        <v>12.879</v>
      </c>
      <c r="ES569" t="n">
        <v>3.86</v>
      </c>
      <c r="FD569" t="n">
        <v>1.08</v>
      </c>
      <c r="FG569" t="n">
        <v>5.9</v>
      </c>
      <c r="FJ569" t="n">
        <v>6.276390917700652</v>
      </c>
      <c r="FK569" t="n">
        <v>6.289728014578479</v>
      </c>
      <c r="FL569" t="n">
        <v>5.865335239611509</v>
      </c>
      <c r="FM569" t="n">
        <v>5.669416144223346</v>
      </c>
      <c r="FN569" t="n">
        <v>6.160954645390268</v>
      </c>
      <c r="FO569" t="n">
        <v>6.290227198521508</v>
      </c>
      <c r="HH569" t="n">
        <v>6.092</v>
      </c>
      <c r="HS569" t="n">
        <v>3.25</v>
      </c>
      <c r="ID569" t="n">
        <v>3.95</v>
      </c>
      <c r="IG569" t="n">
        <v>12.7</v>
      </c>
      <c r="IJ569" t="n">
        <v>13.06421438882979</v>
      </c>
      <c r="IK569" t="n">
        <v>11.60760820328019</v>
      </c>
      <c r="IL569" t="n">
        <v>12.58258769875485</v>
      </c>
      <c r="IM569" t="n">
        <v>12.72147069080455</v>
      </c>
      <c r="IN569" t="n">
        <v>12.55131197438518</v>
      </c>
      <c r="IO569" t="n">
        <v>12.39207397915619</v>
      </c>
      <c r="KH569" t="n">
        <v>12.487</v>
      </c>
      <c r="KS569" t="n">
        <v>-1.68</v>
      </c>
      <c r="LD569" t="n">
        <v>3.56</v>
      </c>
    </row>
    <row r="570">
      <c r="A570" t="inlineStr">
        <is>
          <t>2026-04-15</t>
        </is>
      </c>
      <c r="B570" t="inlineStr">
        <is>
          <t>Critical Care 26</t>
        </is>
      </c>
      <c r="C570" t="inlineStr">
        <is>
          <t>205826041501</t>
        </is>
      </c>
      <c r="D570" t="inlineStr">
        <is>
          <t>Cl</t>
        </is>
      </c>
      <c r="F570" t="n">
        <v>5</v>
      </c>
      <c r="G570" t="n">
        <v>90</v>
      </c>
      <c r="H570" t="n">
        <v>540</v>
      </c>
      <c r="I570" t="n">
        <v>-360</v>
      </c>
      <c r="J570" t="n">
        <v>86.3997367068125</v>
      </c>
      <c r="K570" t="n">
        <v>87.91031011351663</v>
      </c>
      <c r="L570" t="n">
        <v>86.64872943599582</v>
      </c>
      <c r="M570" t="n">
        <v>76.96231414246189</v>
      </c>
      <c r="N570" t="n">
        <v>77.90612281885541</v>
      </c>
      <c r="O570" t="n">
        <v>88.34484249650156</v>
      </c>
      <c r="P570" t="n">
        <v>84.56472417174004</v>
      </c>
      <c r="Q570" t="n">
        <v>88.90072704595374</v>
      </c>
      <c r="BH570" t="n">
        <v>84.705</v>
      </c>
      <c r="BS570" t="n">
        <v>-5.88</v>
      </c>
      <c r="CD570" t="n">
        <v>5.18</v>
      </c>
      <c r="CF570" t="n">
        <v>5</v>
      </c>
      <c r="CG570" t="n">
        <v>91</v>
      </c>
      <c r="CH570" t="n">
        <v>546</v>
      </c>
      <c r="CI570" t="n">
        <v>-364</v>
      </c>
      <c r="CJ570" t="n">
        <v>81.33625893055711</v>
      </c>
      <c r="CK570" t="n">
        <v>79.87474918398809</v>
      </c>
      <c r="CL570" t="n">
        <v>78.46951109346239</v>
      </c>
      <c r="CM570" t="n">
        <v>78.94562002449665</v>
      </c>
      <c r="EH570" t="n">
        <v>79.657</v>
      </c>
      <c r="ES570" t="n">
        <v>-12.47</v>
      </c>
      <c r="FD570" t="n">
        <v>1.37</v>
      </c>
      <c r="FF570" t="n">
        <v>5</v>
      </c>
      <c r="FG570" t="n">
        <v>77</v>
      </c>
      <c r="FH570" t="n">
        <v>462</v>
      </c>
      <c r="FI570" t="n">
        <v>-308</v>
      </c>
      <c r="FJ570" t="n">
        <v>72.35080834415312</v>
      </c>
      <c r="FK570" t="n">
        <v>72.83393233436625</v>
      </c>
      <c r="FL570" t="n">
        <v>69.86792945301623</v>
      </c>
      <c r="FM570" t="n">
        <v>71.47355887268927</v>
      </c>
      <c r="FN570" t="n">
        <v>71.57119031603507</v>
      </c>
      <c r="FO570" t="n">
        <v>73.27461288361906</v>
      </c>
      <c r="HH570" t="n">
        <v>71.895</v>
      </c>
      <c r="HS570" t="n">
        <v>-6.63</v>
      </c>
      <c r="ID570" t="n">
        <v>1.54</v>
      </c>
      <c r="IF570" t="n">
        <v>5</v>
      </c>
      <c r="IG570" t="n">
        <v>118</v>
      </c>
      <c r="IH570" t="n">
        <v>708</v>
      </c>
      <c r="II570" t="n">
        <v>-472</v>
      </c>
      <c r="IJ570" t="n">
        <v>112.2211461240626</v>
      </c>
      <c r="IK570" t="n">
        <v>112.0418934332635</v>
      </c>
      <c r="IL570" t="n">
        <v>109.9614210838152</v>
      </c>
      <c r="IM570" t="n">
        <v>113.0272648966387</v>
      </c>
      <c r="IN570" t="n">
        <v>107.3127714757984</v>
      </c>
      <c r="IO570" t="n">
        <v>107.349948776837</v>
      </c>
      <c r="KH570" t="n">
        <v>110.319</v>
      </c>
      <c r="KS570" t="n">
        <v>-6.51</v>
      </c>
      <c r="LD570" t="n">
        <v>2.09</v>
      </c>
    </row>
    <row r="571">
      <c r="A571" t="inlineStr">
        <is>
          <t>2026-04-15</t>
        </is>
      </c>
      <c r="B571" t="inlineStr">
        <is>
          <t>Critical Care 26</t>
        </is>
      </c>
      <c r="C571" t="inlineStr">
        <is>
          <t>205826041501</t>
        </is>
      </c>
      <c r="D571" t="inlineStr">
        <is>
          <t>K</t>
        </is>
      </c>
      <c r="G571" t="n">
        <v>3.9</v>
      </c>
      <c r="J571" t="n">
        <v>3.86093027619261</v>
      </c>
      <c r="K571" t="n">
        <v>3.721590153339904</v>
      </c>
      <c r="L571" t="n">
        <v>3.610293915212289</v>
      </c>
      <c r="M571" t="n">
        <v>5.882688065479596</v>
      </c>
      <c r="N571" t="n">
        <v>6.029718485804252</v>
      </c>
      <c r="O571" t="n">
        <v>3.791715723352686</v>
      </c>
      <c r="P571" t="n">
        <v>3.630557109167347</v>
      </c>
      <c r="Q571" t="n">
        <v>3.698413324473565</v>
      </c>
      <c r="BH571" t="n">
        <v>4.278</v>
      </c>
      <c r="BS571" t="n">
        <v>9.699999999999999</v>
      </c>
      <c r="CD571" t="n">
        <v>22.73</v>
      </c>
      <c r="CG571" t="n">
        <v>6</v>
      </c>
      <c r="CJ571" t="n">
        <v>6.077090841801426</v>
      </c>
      <c r="CK571" t="n">
        <v>5.844637362027276</v>
      </c>
      <c r="CL571" t="n">
        <v>6.029168251677903</v>
      </c>
      <c r="CM571" t="n">
        <v>5.963453617864525</v>
      </c>
      <c r="EH571" t="n">
        <v>5.979</v>
      </c>
      <c r="ES571" t="n">
        <v>-0.36</v>
      </c>
      <c r="FD571" t="n">
        <v>1.46</v>
      </c>
      <c r="FG571" t="n">
        <v>2.2</v>
      </c>
      <c r="FJ571" t="n">
        <v>2.402239627916535</v>
      </c>
      <c r="FK571" t="n">
        <v>2.361119811344814</v>
      </c>
      <c r="FL571" t="n">
        <v>2.281690050106884</v>
      </c>
      <c r="FM571" t="n">
        <v>2.197932200596531</v>
      </c>
      <c r="FN571" t="n">
        <v>2.421201874457784</v>
      </c>
      <c r="FO571" t="n">
        <v>2.378625070352293</v>
      </c>
      <c r="HH571" t="n">
        <v>2.34</v>
      </c>
      <c r="HS571" t="n">
        <v>6.38</v>
      </c>
      <c r="ID571" t="n">
        <v>3.31</v>
      </c>
      <c r="IG571" t="n">
        <v>8.4</v>
      </c>
      <c r="IJ571" t="n">
        <v>8.058528290266946</v>
      </c>
      <c r="IK571" t="n">
        <v>8.034990859010612</v>
      </c>
      <c r="IL571" t="n">
        <v>8.003216477156986</v>
      </c>
      <c r="IM571" t="n">
        <v>7.970554569892837</v>
      </c>
      <c r="IN571" t="n">
        <v>7.742804017278882</v>
      </c>
      <c r="IO571" t="n">
        <v>8.177887012809352</v>
      </c>
      <c r="KH571" t="n">
        <v>7.998</v>
      </c>
      <c r="KS571" t="n">
        <v>-4.79</v>
      </c>
      <c r="LD571" t="n">
        <v>1.64</v>
      </c>
    </row>
    <row r="572">
      <c r="A572" t="inlineStr">
        <is>
          <t>2026-04-15</t>
        </is>
      </c>
      <c r="B572" t="inlineStr">
        <is>
          <t>Critical Care 26</t>
        </is>
      </c>
      <c r="C572" t="inlineStr">
        <is>
          <t>205826041501</t>
        </is>
      </c>
      <c r="D572" t="inlineStr">
        <is>
          <t>LAC</t>
        </is>
      </c>
      <c r="F572" t="n">
        <v>15</v>
      </c>
      <c r="G572" t="n">
        <v>4.399999999999999</v>
      </c>
      <c r="H572" t="n">
        <v>70.39999999999999</v>
      </c>
      <c r="I572" t="n">
        <v>-61.59999999999999</v>
      </c>
      <c r="J572" t="n">
        <v>3.512858870836343</v>
      </c>
      <c r="K572" t="n">
        <v>3.404145786854106</v>
      </c>
      <c r="L572" t="n">
        <v>3.458883221581064</v>
      </c>
      <c r="M572" t="n">
        <v>1.142770659436422</v>
      </c>
      <c r="N572" t="n">
        <v>1.085128374938828</v>
      </c>
      <c r="O572" t="n">
        <v>3.742021082141279</v>
      </c>
      <c r="P572" t="n">
        <v>3.451845060818463</v>
      </c>
      <c r="Q572" t="n">
        <v>3.589749527025759</v>
      </c>
      <c r="BH572" t="n">
        <v>2.923</v>
      </c>
      <c r="BS572" t="n">
        <v>-33.56</v>
      </c>
      <c r="CD572" t="n">
        <v>35.89</v>
      </c>
      <c r="CF572" t="n">
        <v>15</v>
      </c>
      <c r="CG572" t="n">
        <v>1.15</v>
      </c>
      <c r="CH572" t="n">
        <v>18.4</v>
      </c>
      <c r="CI572" t="n">
        <v>-16.1</v>
      </c>
      <c r="CJ572" t="n">
        <v>1.095394273244579</v>
      </c>
      <c r="CK572" t="n">
        <v>1.07684241309615</v>
      </c>
      <c r="CL572" t="n">
        <v>1.082869823587865</v>
      </c>
      <c r="CM572" t="n">
        <v>1.093804097403419</v>
      </c>
      <c r="EH572" t="n">
        <v>1.087</v>
      </c>
      <c r="ES572" t="n">
        <v>-5.46</v>
      </c>
      <c r="FD572" t="n">
        <v>0.71</v>
      </c>
      <c r="FF572" t="n">
        <v>15</v>
      </c>
      <c r="FG572" t="n">
        <v>1.45</v>
      </c>
      <c r="FH572" t="n">
        <v>23.2</v>
      </c>
      <c r="FI572" t="n">
        <v>-20.3</v>
      </c>
      <c r="FJ572" t="n">
        <v>1.302736244993123</v>
      </c>
      <c r="FK572" t="n">
        <v>1.30004208211978</v>
      </c>
      <c r="FL572" t="n">
        <v>1.310106234552689</v>
      </c>
      <c r="FM572" t="n">
        <v>1.30132601497871</v>
      </c>
      <c r="FN572" t="n">
        <v>1.383437601807681</v>
      </c>
      <c r="FO572" t="n">
        <v>1.298858652022902</v>
      </c>
      <c r="HH572" t="n">
        <v>1.316</v>
      </c>
      <c r="HS572" t="n">
        <v>-9.24</v>
      </c>
      <c r="ID572" t="n">
        <v>2.31</v>
      </c>
      <c r="IF572" t="n">
        <v>15</v>
      </c>
      <c r="IG572" t="n">
        <v>5.899999999999999</v>
      </c>
      <c r="IH572" t="n">
        <v>94.39999999999999</v>
      </c>
      <c r="II572" t="n">
        <v>-82.59999999999999</v>
      </c>
      <c r="IJ572" t="n">
        <v>4.753239709423683</v>
      </c>
      <c r="IK572" t="n">
        <v>4.627686003435115</v>
      </c>
      <c r="IL572" t="n">
        <v>4.437879384203327</v>
      </c>
      <c r="IM572" t="n">
        <v>4.589841451208098</v>
      </c>
      <c r="IN572" t="n">
        <v>4.574445451840373</v>
      </c>
      <c r="IO572" t="n">
        <v>4.519326128002719</v>
      </c>
      <c r="KH572" t="n">
        <v>4.584</v>
      </c>
      <c r="KS572" t="n">
        <v>-22.31</v>
      </c>
      <c r="LD572" t="n">
        <v>2.11</v>
      </c>
    </row>
    <row r="573">
      <c r="A573" t="inlineStr">
        <is>
          <t>2026-04-15</t>
        </is>
      </c>
      <c r="B573" t="inlineStr">
        <is>
          <t>Critical Care 26</t>
        </is>
      </c>
      <c r="C573" t="inlineStr">
        <is>
          <t>205826041501</t>
        </is>
      </c>
      <c r="D573" t="inlineStr">
        <is>
          <t>Na</t>
        </is>
      </c>
      <c r="G573" t="n">
        <v>141</v>
      </c>
      <c r="J573" t="n">
        <v>152.7066737250502</v>
      </c>
      <c r="K573" t="n">
        <v>157.3960982005716</v>
      </c>
      <c r="L573" t="n">
        <v>155.267279985124</v>
      </c>
      <c r="M573" t="n">
        <v>139.2570435357566</v>
      </c>
      <c r="N573" t="n">
        <v>145.6875420036297</v>
      </c>
      <c r="O573" t="n">
        <v>157.428070501498</v>
      </c>
      <c r="P573" t="n">
        <v>155.2951968529756</v>
      </c>
      <c r="Q573" t="n">
        <v>159.9085482690459</v>
      </c>
      <c r="BH573" t="n">
        <v>152.868</v>
      </c>
      <c r="BS573" t="n">
        <v>8.42</v>
      </c>
      <c r="CD573" t="n">
        <v>4.26</v>
      </c>
      <c r="CG573" t="n">
        <v>129</v>
      </c>
      <c r="CJ573" t="n">
        <v>144.8444043094737</v>
      </c>
      <c r="CK573" t="n">
        <v>142.0372942582396</v>
      </c>
      <c r="CL573" t="n">
        <v>141.5353965747076</v>
      </c>
      <c r="CM573" t="n">
        <v>142.5606402122837</v>
      </c>
      <c r="EH573" t="n">
        <v>142.744</v>
      </c>
      <c r="ES573" t="n">
        <v>10.65</v>
      </c>
      <c r="FD573" t="n">
        <v>0.89</v>
      </c>
      <c r="FG573" t="n">
        <v>118</v>
      </c>
      <c r="FJ573" t="n">
        <v>129.5680512105759</v>
      </c>
      <c r="FK573" t="n">
        <v>128.34986312271</v>
      </c>
      <c r="FL573" t="n">
        <v>128.2869189002254</v>
      </c>
      <c r="FM573" t="n">
        <v>128.202742794994</v>
      </c>
      <c r="FN573" t="n">
        <v>131.773821205235</v>
      </c>
      <c r="FO573" t="n">
        <v>129.0407550470753</v>
      </c>
      <c r="HH573" t="n">
        <v>129.204</v>
      </c>
      <c r="HS573" t="n">
        <v>9.49</v>
      </c>
      <c r="ID573" t="n">
        <v>0.97</v>
      </c>
      <c r="IG573" t="n">
        <v>166</v>
      </c>
      <c r="IJ573" t="n">
        <v>178.6669819397299</v>
      </c>
      <c r="IK573" t="n">
        <v>177.8918418278134</v>
      </c>
      <c r="IL573" t="n">
        <v>174.4359705650194</v>
      </c>
      <c r="IM573" t="n">
        <v>175.5637884694107</v>
      </c>
      <c r="IN573" t="n">
        <v>174.7398848671411</v>
      </c>
      <c r="IO573" t="n">
        <v>176.0134528710017</v>
      </c>
      <c r="KH573" t="n">
        <v>176.219</v>
      </c>
      <c r="KS573" t="n">
        <v>6.16</v>
      </c>
      <c r="LD573" t="n">
        <v>0.89</v>
      </c>
    </row>
    <row r="574">
      <c r="A574" t="inlineStr">
        <is>
          <t>2026-04-15</t>
        </is>
      </c>
      <c r="B574" t="inlineStr">
        <is>
          <t>Critical Care 26</t>
        </is>
      </c>
      <c r="C574" t="inlineStr">
        <is>
          <t>205826041501</t>
        </is>
      </c>
      <c r="D574" t="inlineStr">
        <is>
          <t>TCO2</t>
        </is>
      </c>
      <c r="F574" t="n">
        <v>20</v>
      </c>
      <c r="G574" t="n">
        <v>32.5</v>
      </c>
      <c r="H574" t="n">
        <v>682.5</v>
      </c>
      <c r="I574" t="n">
        <v>-617.5</v>
      </c>
      <c r="J574" t="n">
        <v>31.20886464564077</v>
      </c>
      <c r="K574" t="n">
        <v>30.96558029385401</v>
      </c>
      <c r="L574" t="n">
        <v>31.17696945368568</v>
      </c>
      <c r="M574" t="n">
        <v>18.61047030443569</v>
      </c>
      <c r="N574" t="n">
        <v>15.81349470641284</v>
      </c>
      <c r="O574" t="n">
        <v>31.11973980525452</v>
      </c>
      <c r="P574" t="n">
        <v>29.59658874344226</v>
      </c>
      <c r="Q574" t="n">
        <v>33.37242155504136</v>
      </c>
      <c r="BH574" t="n">
        <v>27.733</v>
      </c>
      <c r="BS574" t="n">
        <v>-14.67</v>
      </c>
      <c r="CD574" t="n">
        <v>22.32</v>
      </c>
      <c r="CF574" t="n">
        <v>20</v>
      </c>
      <c r="CG574" t="n">
        <v>21.2</v>
      </c>
      <c r="CH574" t="n">
        <v>445.2</v>
      </c>
      <c r="CI574" t="n">
        <v>-402.8</v>
      </c>
      <c r="CJ574" t="n">
        <v>18.84585991920074</v>
      </c>
      <c r="CK574" t="n">
        <v>16.70630564259347</v>
      </c>
      <c r="CL574" t="n">
        <v>18.34145264085315</v>
      </c>
      <c r="CM574" t="n">
        <v>18.61862932479497</v>
      </c>
      <c r="EH574" t="n">
        <v>18.128</v>
      </c>
      <c r="ES574" t="n">
        <v>-14.49</v>
      </c>
      <c r="FD574" t="n">
        <v>4.63</v>
      </c>
      <c r="FF574" t="n">
        <v>20</v>
      </c>
      <c r="FG574" t="n">
        <v>17.3</v>
      </c>
      <c r="FH574" t="n">
        <v>363.3</v>
      </c>
      <c r="FI574" t="n">
        <v>-328.7</v>
      </c>
      <c r="FJ574" t="n">
        <v>20.26058971522445</v>
      </c>
      <c r="FK574" t="n">
        <v>18.19718148620463</v>
      </c>
      <c r="FL574" t="n">
        <v>17.27280826991372</v>
      </c>
      <c r="FM574" t="n">
        <v>16.71392403298952</v>
      </c>
      <c r="FN574" t="n">
        <v>17.97389645640976</v>
      </c>
      <c r="FO574" t="n">
        <v>19.44754746795316</v>
      </c>
      <c r="HH574" t="n">
        <v>18.311</v>
      </c>
      <c r="HS574" t="n">
        <v>5.84</v>
      </c>
      <c r="ID574" t="n">
        <v>6.63</v>
      </c>
      <c r="IF574" t="n">
        <v>20</v>
      </c>
      <c r="IG574" t="n">
        <v>26.7</v>
      </c>
      <c r="IH574" t="n">
        <v>560.6999999999999</v>
      </c>
      <c r="II574" t="n">
        <v>-507.3</v>
      </c>
      <c r="IJ574" t="n">
        <v>24.51009431357107</v>
      </c>
      <c r="IK574" t="n">
        <v>27.54593669363016</v>
      </c>
      <c r="IL574" t="n">
        <v>29.98777246535895</v>
      </c>
      <c r="IM574" t="n">
        <v>25.44399795370242</v>
      </c>
      <c r="IN574" t="n">
        <v>25.93637400793357</v>
      </c>
      <c r="IO574" t="n">
        <v>25.22524606060637</v>
      </c>
      <c r="KH574" t="n">
        <v>26.442</v>
      </c>
      <c r="KS574" t="n">
        <v>-0.97</v>
      </c>
      <c r="LD574" t="n">
        <v>6.95</v>
      </c>
    </row>
    <row r="575">
      <c r="A575" t="inlineStr">
        <is>
          <t>2026-04-15</t>
        </is>
      </c>
      <c r="B575" t="inlineStr">
        <is>
          <t>Optimum Wellness 37</t>
        </is>
      </c>
      <c r="C575" t="inlineStr">
        <is>
          <t>109126041501</t>
        </is>
      </c>
      <c r="D575" t="inlineStr">
        <is>
          <t>ALB</t>
        </is>
      </c>
      <c r="F575" t="n">
        <v>8</v>
      </c>
      <c r="G575" t="n">
        <v>4.2</v>
      </c>
      <c r="H575" t="n">
        <v>37.8</v>
      </c>
      <c r="I575" t="n">
        <v>-29.4</v>
      </c>
      <c r="J575" t="n">
        <v>4.881612684778419</v>
      </c>
      <c r="K575" t="n">
        <v>4.860993315316759</v>
      </c>
      <c r="L575" t="n">
        <v>4.883155084788066</v>
      </c>
      <c r="M575" t="n">
        <v>4.901975586927483</v>
      </c>
      <c r="N575" t="n">
        <v>4.842427525609334</v>
      </c>
      <c r="O575" t="n">
        <v>4.920054720230545</v>
      </c>
      <c r="BH575" t="n">
        <v>4.882</v>
      </c>
      <c r="BS575" t="n">
        <v>16.23</v>
      </c>
      <c r="CD575" t="n">
        <v>0.52</v>
      </c>
      <c r="CF575" t="n">
        <v>8</v>
      </c>
      <c r="CG575" t="n">
        <v>2.7</v>
      </c>
      <c r="CH575" t="n">
        <v>24.3</v>
      </c>
      <c r="CI575" t="n">
        <v>-18.9</v>
      </c>
      <c r="CJ575" t="n">
        <v>3.429412234388324</v>
      </c>
      <c r="CK575" t="n">
        <v>3.495182586171143</v>
      </c>
      <c r="CL575" t="n">
        <v>3.410629303052573</v>
      </c>
      <c r="EH575" t="n">
        <v>3.445</v>
      </c>
      <c r="ES575" t="n">
        <v>27.6</v>
      </c>
      <c r="FD575" t="n">
        <v>1.05</v>
      </c>
      <c r="FF575" t="n">
        <v>8</v>
      </c>
      <c r="FG575" t="n">
        <v>2.6</v>
      </c>
      <c r="FH575" t="n">
        <v>23.4</v>
      </c>
      <c r="FI575" t="n">
        <v>-18.2</v>
      </c>
      <c r="FJ575" t="n">
        <v>3.322867262413671</v>
      </c>
      <c r="FK575" t="n">
        <v>3.302184810826253</v>
      </c>
      <c r="FL575" t="n">
        <v>3.322993798494384</v>
      </c>
      <c r="FM575" t="n">
        <v>3.307235696449378</v>
      </c>
      <c r="FN575" t="n">
        <v>3.294050322719329</v>
      </c>
      <c r="FO575" t="n">
        <v>3.283170022348629</v>
      </c>
      <c r="HH575" t="n">
        <v>3.305</v>
      </c>
      <c r="HS575" t="n">
        <v>27.13</v>
      </c>
      <c r="ID575" t="n">
        <v>0.44</v>
      </c>
      <c r="IF575" t="n">
        <v>8</v>
      </c>
      <c r="IG575" t="n">
        <v>4.2</v>
      </c>
      <c r="IH575" t="n">
        <v>37.8</v>
      </c>
      <c r="II575" t="n">
        <v>-29.4</v>
      </c>
      <c r="IJ575" t="n">
        <v>4.948873384902706</v>
      </c>
      <c r="IK575" t="n">
        <v>4.880596910572502</v>
      </c>
      <c r="IL575" t="n">
        <v>4.911757274119529</v>
      </c>
      <c r="IM575" t="n">
        <v>4.891668286964467</v>
      </c>
      <c r="KH575" t="n">
        <v>4.908</v>
      </c>
      <c r="KS575" t="n">
        <v>16.86</v>
      </c>
      <c r="LD575" t="n">
        <v>0.53</v>
      </c>
    </row>
    <row r="576">
      <c r="A576" t="inlineStr">
        <is>
          <t>2026-04-15</t>
        </is>
      </c>
      <c r="B576" t="inlineStr">
        <is>
          <t>Optimum Wellness 37</t>
        </is>
      </c>
      <c r="C576" t="inlineStr">
        <is>
          <t>109126041501</t>
        </is>
      </c>
      <c r="D576" t="inlineStr">
        <is>
          <t>ALP</t>
        </is>
      </c>
      <c r="F576" t="n">
        <v>20</v>
      </c>
      <c r="G576" t="n">
        <v>136</v>
      </c>
      <c r="H576" t="n">
        <v>2856</v>
      </c>
      <c r="I576" t="n">
        <v>-2584</v>
      </c>
      <c r="J576" t="n">
        <v>137.3071874824993</v>
      </c>
      <c r="K576" t="n">
        <v>135.8259796798685</v>
      </c>
      <c r="L576" t="n">
        <v>136.3032924140777</v>
      </c>
      <c r="M576" t="n">
        <v>135.1662347303993</v>
      </c>
      <c r="N576" t="n">
        <v>137.3423058810284</v>
      </c>
      <c r="O576" t="n">
        <v>137.4299189670476</v>
      </c>
      <c r="BH576" t="n">
        <v>136.562</v>
      </c>
      <c r="BS576" t="n">
        <v>0.41</v>
      </c>
      <c r="CD576" t="n">
        <v>0.63</v>
      </c>
      <c r="CF576" t="n">
        <v>20</v>
      </c>
      <c r="CG576" t="n">
        <v>456</v>
      </c>
      <c r="CH576" t="n">
        <v>9576</v>
      </c>
      <c r="CI576" t="n">
        <v>-8664</v>
      </c>
      <c r="CJ576" t="n">
        <v>429.9234403384081</v>
      </c>
      <c r="CK576" t="n">
        <v>435.4401602754141</v>
      </c>
      <c r="CL576" t="n">
        <v>426.4208781969155</v>
      </c>
      <c r="EH576" t="n">
        <v>430.595</v>
      </c>
      <c r="ES576" t="n">
        <v>-5.57</v>
      </c>
      <c r="FD576" t="n">
        <v>0.86</v>
      </c>
      <c r="FF576" t="n">
        <v>20</v>
      </c>
      <c r="FG576" t="n">
        <v>75</v>
      </c>
      <c r="FH576" t="n">
        <v>1575</v>
      </c>
      <c r="FI576" t="n">
        <v>-1425</v>
      </c>
      <c r="FJ576" t="n">
        <v>76.27853487167874</v>
      </c>
      <c r="FK576" t="n">
        <v>76.41095557461365</v>
      </c>
      <c r="FL576" t="n">
        <v>76.66341123403521</v>
      </c>
      <c r="FM576" t="n">
        <v>76.53255288180772</v>
      </c>
      <c r="FN576" t="n">
        <v>76.25217602232382</v>
      </c>
      <c r="FO576" t="n">
        <v>76.64418630512965</v>
      </c>
      <c r="HH576" t="n">
        <v>76.464</v>
      </c>
      <c r="HS576" t="n">
        <v>1.95</v>
      </c>
      <c r="ID576" t="n">
        <v>0.21</v>
      </c>
      <c r="IF576" t="n">
        <v>20</v>
      </c>
      <c r="IG576" t="n">
        <v>251</v>
      </c>
      <c r="IH576" t="n">
        <v>5271</v>
      </c>
      <c r="II576" t="n">
        <v>-4769</v>
      </c>
      <c r="IJ576" t="n">
        <v>212.0008743071161</v>
      </c>
      <c r="IK576" t="n">
        <v>214.1158165105563</v>
      </c>
      <c r="IL576" t="n">
        <v>215.0470921121943</v>
      </c>
      <c r="IM576" t="n">
        <v>211.6823896052902</v>
      </c>
      <c r="KH576" t="n">
        <v>213.212</v>
      </c>
      <c r="KS576" t="n">
        <v>-15.06</v>
      </c>
      <c r="LD576" t="n">
        <v>0.66</v>
      </c>
    </row>
    <row r="577">
      <c r="A577" t="inlineStr">
        <is>
          <t>2026-04-15</t>
        </is>
      </c>
      <c r="B577" t="inlineStr">
        <is>
          <t>Optimum Wellness 37</t>
        </is>
      </c>
      <c r="C577" t="inlineStr">
        <is>
          <t>109126041501</t>
        </is>
      </c>
      <c r="D577" t="inlineStr">
        <is>
          <t>ALT</t>
        </is>
      </c>
      <c r="F577" t="n">
        <v>15</v>
      </c>
      <c r="G577" t="n">
        <v>28</v>
      </c>
      <c r="H577" t="n">
        <v>448</v>
      </c>
      <c r="I577" t="n">
        <v>-392</v>
      </c>
      <c r="J577" t="n">
        <v>27.94289796618509</v>
      </c>
      <c r="K577" t="n">
        <v>31.60544407922617</v>
      </c>
      <c r="L577" t="n">
        <v>30.20490541510306</v>
      </c>
      <c r="M577" t="n">
        <v>23.08309189230832</v>
      </c>
      <c r="N577" t="n">
        <v>23.13781791475526</v>
      </c>
      <c r="O577" t="n">
        <v>29.49288535045505</v>
      </c>
      <c r="BH577" t="n">
        <v>27.578</v>
      </c>
      <c r="BS577" t="n">
        <v>-1.51</v>
      </c>
      <c r="CD577" t="n">
        <v>12.1</v>
      </c>
      <c r="CF577" t="n">
        <v>15</v>
      </c>
      <c r="CG577" t="n">
        <v>115</v>
      </c>
      <c r="CH577" t="n">
        <v>1840</v>
      </c>
      <c r="CI577" t="n">
        <v>-1610</v>
      </c>
      <c r="CJ577" t="n">
        <v>121.3237045614392</v>
      </c>
      <c r="CK577" t="n">
        <v>121.8158344701595</v>
      </c>
      <c r="CL577" t="n">
        <v>116.7023649345907</v>
      </c>
      <c r="EH577" t="n">
        <v>119.947</v>
      </c>
      <c r="ES577" t="n">
        <v>4.3</v>
      </c>
      <c r="FD577" t="n">
        <v>1.92</v>
      </c>
      <c r="FF577" t="n">
        <v>15</v>
      </c>
      <c r="FG577" t="n">
        <v>26</v>
      </c>
      <c r="FH577" t="n">
        <v>416</v>
      </c>
      <c r="FI577" t="n">
        <v>-364</v>
      </c>
      <c r="FJ577" t="n">
        <v>22.36858802898337</v>
      </c>
      <c r="FK577" t="n">
        <v>16.01878624695344</v>
      </c>
      <c r="FL577" t="n">
        <v>18.42852234735555</v>
      </c>
      <c r="FM577" t="n">
        <v>19.44799646489543</v>
      </c>
      <c r="FN577" t="n">
        <v>20.96960389221115</v>
      </c>
      <c r="FO577" t="n">
        <v>20.40171692685349</v>
      </c>
      <c r="HH577" t="n">
        <v>19.606</v>
      </c>
      <c r="HS577" t="n">
        <v>-24.59</v>
      </c>
      <c r="ID577" t="n">
        <v>10.29</v>
      </c>
      <c r="IF577" t="n">
        <v>15</v>
      </c>
      <c r="IG577" t="n">
        <v>217</v>
      </c>
      <c r="IH577" t="n">
        <v>3472</v>
      </c>
      <c r="II577" t="n">
        <v>-3038</v>
      </c>
      <c r="IJ577" t="n">
        <v>210.2622015086115</v>
      </c>
      <c r="IK577" t="n">
        <v>202.8582013628556</v>
      </c>
      <c r="IL577" t="n">
        <v>200.1058691874103</v>
      </c>
      <c r="IM577" t="n">
        <v>194.9067790029978</v>
      </c>
      <c r="KH577" t="n">
        <v>202.033</v>
      </c>
      <c r="KS577" t="n">
        <v>-6.9</v>
      </c>
      <c r="LD577" t="n">
        <v>2.74</v>
      </c>
    </row>
    <row r="578">
      <c r="A578" t="inlineStr">
        <is>
          <t>2026-04-15</t>
        </is>
      </c>
      <c r="B578" t="inlineStr">
        <is>
          <t>Optimum Wellness 37</t>
        </is>
      </c>
      <c r="C578" t="inlineStr">
        <is>
          <t>109126041501</t>
        </is>
      </c>
      <c r="D578" t="inlineStr">
        <is>
          <t>BUN</t>
        </is>
      </c>
      <c r="F578" t="n">
        <v>9</v>
      </c>
      <c r="G578" t="n">
        <v>14.8</v>
      </c>
      <c r="H578" t="n">
        <v>148</v>
      </c>
      <c r="I578" t="n">
        <v>-118.4</v>
      </c>
      <c r="J578" t="n">
        <v>13.64886697359878</v>
      </c>
      <c r="K578" t="n">
        <v>13.64277076873416</v>
      </c>
      <c r="L578" t="n">
        <v>13.66904397378713</v>
      </c>
      <c r="M578" t="n">
        <v>13.6976071119651</v>
      </c>
      <c r="N578" t="n">
        <v>13.37963037442078</v>
      </c>
      <c r="O578" t="n">
        <v>13.77808101293169</v>
      </c>
      <c r="BH578" t="n">
        <v>13.636</v>
      </c>
      <c r="BS578" t="n">
        <v>-7.86</v>
      </c>
      <c r="CD578" t="n">
        <v>0.9</v>
      </c>
      <c r="CF578" t="n">
        <v>9</v>
      </c>
      <c r="CG578" t="n">
        <v>44.7</v>
      </c>
      <c r="CH578" t="n">
        <v>447</v>
      </c>
      <c r="CI578" t="n">
        <v>-357.6</v>
      </c>
      <c r="CJ578" t="n">
        <v>43.47427638704892</v>
      </c>
      <c r="CK578" t="n">
        <v>43.62231638013215</v>
      </c>
      <c r="CL578" t="n">
        <v>42.61198168766816</v>
      </c>
      <c r="EH578" t="n">
        <v>43.236</v>
      </c>
      <c r="ES578" t="n">
        <v>-3.27</v>
      </c>
      <c r="FD578" t="n">
        <v>1.03</v>
      </c>
      <c r="FF578" t="n">
        <v>9</v>
      </c>
      <c r="FG578" t="n">
        <v>14.7</v>
      </c>
      <c r="FH578" t="n">
        <v>147</v>
      </c>
      <c r="FI578" t="n">
        <v>-117.6</v>
      </c>
      <c r="FJ578" t="n">
        <v>14.41515160360004</v>
      </c>
      <c r="FK578" t="n">
        <v>13.78293927902198</v>
      </c>
      <c r="FL578" t="n">
        <v>14.34357657118172</v>
      </c>
      <c r="FM578" t="n">
        <v>14.3177938268038</v>
      </c>
      <c r="FN578" t="n">
        <v>14.00944509030808</v>
      </c>
      <c r="FO578" t="n">
        <v>13.55808487975776</v>
      </c>
      <c r="HH578" t="n">
        <v>14.071</v>
      </c>
      <c r="HS578" t="n">
        <v>-4.28</v>
      </c>
      <c r="ID578" t="n">
        <v>2.25</v>
      </c>
      <c r="IF578" t="n">
        <v>9</v>
      </c>
      <c r="IG578" t="n">
        <v>65.7</v>
      </c>
      <c r="IH578" t="n">
        <v>657</v>
      </c>
      <c r="II578" t="n">
        <v>-525.6</v>
      </c>
      <c r="IJ578" t="n">
        <v>62.67560990040401</v>
      </c>
      <c r="IK578" t="n">
        <v>64.01336825422403</v>
      </c>
      <c r="IL578" t="n">
        <v>62.2209581018445</v>
      </c>
      <c r="IM578" t="n">
        <v>60.85565696583513</v>
      </c>
      <c r="KH578" t="n">
        <v>62.441</v>
      </c>
      <c r="KS578" t="n">
        <v>-4.96</v>
      </c>
      <c r="LD578" t="n">
        <v>1.81</v>
      </c>
    </row>
    <row r="579">
      <c r="A579" t="inlineStr">
        <is>
          <t>2026-04-15</t>
        </is>
      </c>
      <c r="B579" t="inlineStr">
        <is>
          <t>Optimum Wellness 37</t>
        </is>
      </c>
      <c r="C579" t="inlineStr">
        <is>
          <t>109126041501</t>
        </is>
      </c>
      <c r="D579" t="inlineStr">
        <is>
          <t>CREA</t>
        </is>
      </c>
      <c r="F579" t="n">
        <v>10</v>
      </c>
      <c r="G579" t="n">
        <v>1.5</v>
      </c>
      <c r="H579" t="n">
        <v>16.5</v>
      </c>
      <c r="I579" t="n">
        <v>-13.5</v>
      </c>
      <c r="J579" t="n">
        <v>1.207260840688984</v>
      </c>
      <c r="K579" t="n">
        <v>1.158337926862659</v>
      </c>
      <c r="L579" t="n">
        <v>1.231568751965446</v>
      </c>
      <c r="M579" t="n">
        <v>1.220020670678193</v>
      </c>
      <c r="N579" t="n">
        <v>1.217637867111786</v>
      </c>
      <c r="O579" t="n">
        <v>1.198402416727531</v>
      </c>
      <c r="BH579" t="n">
        <v>1.206</v>
      </c>
      <c r="BS579" t="n">
        <v>-19.63</v>
      </c>
      <c r="CD579" t="n">
        <v>1.95</v>
      </c>
      <c r="CF579" t="n">
        <v>10</v>
      </c>
      <c r="CG579" t="n">
        <v>5.55</v>
      </c>
      <c r="CH579" t="n">
        <v>61.05</v>
      </c>
      <c r="CI579" t="n">
        <v>-49.95</v>
      </c>
      <c r="CJ579" t="n">
        <v>4.478239143225117</v>
      </c>
      <c r="CK579" t="n">
        <v>4.405474045977606</v>
      </c>
      <c r="CL579" t="n">
        <v>4.454386084937799</v>
      </c>
      <c r="EH579" t="n">
        <v>4.446</v>
      </c>
      <c r="ES579" t="n">
        <v>-19.89</v>
      </c>
      <c r="FD579" t="n">
        <v>0.68</v>
      </c>
      <c r="FF579" t="n">
        <v>10</v>
      </c>
      <c r="FG579" t="n">
        <v>0.97</v>
      </c>
      <c r="FH579" t="n">
        <v>10.67</v>
      </c>
      <c r="FI579" t="n">
        <v>-8.73</v>
      </c>
      <c r="FJ579" t="n">
        <v>0.6573824587592336</v>
      </c>
      <c r="FK579" t="n">
        <v>0.6136850738648355</v>
      </c>
      <c r="FL579" t="n">
        <v>0.6546863482780815</v>
      </c>
      <c r="FM579" t="n">
        <v>0.6730670242760864</v>
      </c>
      <c r="FN579" t="n">
        <v>0.5936792891414776</v>
      </c>
      <c r="FO579" t="n">
        <v>0.6397070228450752</v>
      </c>
      <c r="HH579" t="n">
        <v>0.639</v>
      </c>
      <c r="HS579" t="n">
        <v>-34.15</v>
      </c>
      <c r="ID579" t="n">
        <v>4.26</v>
      </c>
      <c r="IF579" t="n">
        <v>10</v>
      </c>
      <c r="IG579" t="n">
        <v>5.95</v>
      </c>
      <c r="IH579" t="n">
        <v>65.45</v>
      </c>
      <c r="II579" t="n">
        <v>-53.55</v>
      </c>
      <c r="IJ579" t="n">
        <v>5.105005259030404</v>
      </c>
      <c r="IK579" t="n">
        <v>4.812511844547029</v>
      </c>
      <c r="IL579" t="n">
        <v>5.080945556003255</v>
      </c>
      <c r="IM579" t="n">
        <v>5.020256486290812</v>
      </c>
      <c r="KH579" t="n">
        <v>5.005</v>
      </c>
      <c r="KS579" t="n">
        <v>-15.89</v>
      </c>
      <c r="LD579" t="n">
        <v>2.3</v>
      </c>
    </row>
    <row r="580">
      <c r="A580" t="inlineStr">
        <is>
          <t>2026-04-15</t>
        </is>
      </c>
      <c r="B580" t="inlineStr">
        <is>
          <t>Optimum Wellness 37</t>
        </is>
      </c>
      <c r="C580" t="inlineStr">
        <is>
          <t>109126041501</t>
        </is>
      </c>
      <c r="D580" t="inlineStr">
        <is>
          <t>GLU</t>
        </is>
      </c>
      <c r="F580" t="n">
        <v>8</v>
      </c>
      <c r="G580" t="n">
        <v>90.16</v>
      </c>
      <c r="H580" t="n">
        <v>811.4399999999999</v>
      </c>
      <c r="I580" t="n">
        <v>-631.12</v>
      </c>
      <c r="J580" t="n">
        <v>87.5852957996793</v>
      </c>
      <c r="K580" t="n">
        <v>87.17416690169804</v>
      </c>
      <c r="L580" t="n">
        <v>87.90958243467571</v>
      </c>
      <c r="M580" t="n">
        <v>87.58245499792565</v>
      </c>
      <c r="N580" t="n">
        <v>88.12761888394442</v>
      </c>
      <c r="O580" t="n">
        <v>88.64329469283695</v>
      </c>
      <c r="BH580" t="n">
        <v>87.837</v>
      </c>
      <c r="BS580" t="n">
        <v>-2.58</v>
      </c>
      <c r="CD580" t="n">
        <v>0.53</v>
      </c>
      <c r="CF580" t="n">
        <v>8</v>
      </c>
      <c r="CG580" t="n">
        <v>293.02</v>
      </c>
      <c r="CH580" t="n">
        <v>2637.18</v>
      </c>
      <c r="CI580" t="n">
        <v>-2051.14</v>
      </c>
      <c r="CJ580" t="n">
        <v>288.3565784779471</v>
      </c>
      <c r="CK580" t="n">
        <v>293.2269471209273</v>
      </c>
      <c r="CL580" t="n">
        <v>288.9432854292233</v>
      </c>
      <c r="EH580" t="n">
        <v>290.176</v>
      </c>
      <c r="ES580" t="n">
        <v>-0.97</v>
      </c>
      <c r="FD580" t="n">
        <v>0.75</v>
      </c>
      <c r="FF580" t="n">
        <v>8</v>
      </c>
      <c r="FG580" t="n">
        <v>65.66</v>
      </c>
      <c r="FH580" t="n">
        <v>590.9399999999999</v>
      </c>
      <c r="FI580" t="n">
        <v>-459.62</v>
      </c>
      <c r="FJ580" t="n">
        <v>64.3927028708307</v>
      </c>
      <c r="FK580" t="n">
        <v>63.86674079611945</v>
      </c>
      <c r="FL580" t="n">
        <v>65.6904499532032</v>
      </c>
      <c r="FM580" t="n">
        <v>63.97032926161457</v>
      </c>
      <c r="FN580" t="n">
        <v>63.90880416517587</v>
      </c>
      <c r="FO580" t="n">
        <v>63.86701776592992</v>
      </c>
      <c r="HH580" t="n">
        <v>64.283</v>
      </c>
      <c r="HS580" t="n">
        <v>-2.1</v>
      </c>
      <c r="ID580" t="n">
        <v>1.02</v>
      </c>
      <c r="IF580" t="n">
        <v>8</v>
      </c>
      <c r="IG580" t="n">
        <v>359.66</v>
      </c>
      <c r="IH580" t="n">
        <v>3236.94</v>
      </c>
      <c r="II580" t="n">
        <v>-2517.62</v>
      </c>
      <c r="IJ580" t="n">
        <v>347.4307775983777</v>
      </c>
      <c r="IK580" t="n">
        <v>348.067168324135</v>
      </c>
      <c r="IL580" t="n">
        <v>350.0190493725485</v>
      </c>
      <c r="IM580" t="n">
        <v>342.8639092894102</v>
      </c>
      <c r="KH580" t="n">
        <v>347.095</v>
      </c>
      <c r="KS580" t="n">
        <v>-3.49</v>
      </c>
      <c r="LD580" t="n">
        <v>0.76</v>
      </c>
    </row>
    <row r="581">
      <c r="A581" t="inlineStr">
        <is>
          <t>2026-04-15</t>
        </is>
      </c>
      <c r="B581" t="inlineStr">
        <is>
          <t>Optimum Wellness 37</t>
        </is>
      </c>
      <c r="C581" t="inlineStr">
        <is>
          <t>109126041501</t>
        </is>
      </c>
      <c r="D581" t="inlineStr">
        <is>
          <t>TP</t>
        </is>
      </c>
      <c r="F581" t="n">
        <v>8</v>
      </c>
      <c r="G581" t="n">
        <v>6.4</v>
      </c>
      <c r="H581" t="n">
        <v>57.6</v>
      </c>
      <c r="I581" t="n">
        <v>-44.8</v>
      </c>
      <c r="J581" t="n">
        <v>6.026582938274174</v>
      </c>
      <c r="K581" t="n">
        <v>6.063304962954549</v>
      </c>
      <c r="L581" t="n">
        <v>6.077450841108567</v>
      </c>
      <c r="M581" t="n">
        <v>6.053583633544514</v>
      </c>
      <c r="N581" t="n">
        <v>6.13664654231229</v>
      </c>
      <c r="O581" t="n">
        <v>6.182996920910625</v>
      </c>
      <c r="BH581" t="n">
        <v>6.09</v>
      </c>
      <c r="BS581" t="n">
        <v>-4.84</v>
      </c>
      <c r="CD581" t="n">
        <v>0.88</v>
      </c>
      <c r="CF581" t="n">
        <v>8</v>
      </c>
      <c r="CG581" t="n">
        <v>4.1</v>
      </c>
      <c r="CH581" t="n">
        <v>36.9</v>
      </c>
      <c r="CI581" t="n">
        <v>-28.7</v>
      </c>
      <c r="CJ581" t="n">
        <v>3.973164584040355</v>
      </c>
      <c r="CK581" t="n">
        <v>4.108578670202069</v>
      </c>
      <c r="CL581" t="n">
        <v>3.912698706064109</v>
      </c>
      <c r="EH581" t="n">
        <v>3.998</v>
      </c>
      <c r="ES581" t="n">
        <v>-2.48</v>
      </c>
      <c r="FD581" t="n">
        <v>2.05</v>
      </c>
      <c r="FF581" t="n">
        <v>8</v>
      </c>
      <c r="FG581" t="n">
        <v>4.2</v>
      </c>
      <c r="FH581" t="n">
        <v>37.8</v>
      </c>
      <c r="FI581" t="n">
        <v>-29.4</v>
      </c>
      <c r="FJ581" t="n">
        <v>3.701809361161672</v>
      </c>
      <c r="FK581" t="n">
        <v>3.739413205687888</v>
      </c>
      <c r="FL581" t="n">
        <v>3.767273543217399</v>
      </c>
      <c r="FM581" t="n">
        <v>3.675995660744303</v>
      </c>
      <c r="FN581" t="n">
        <v>3.769241341422318</v>
      </c>
      <c r="FO581" t="n">
        <v>3.672693204832064</v>
      </c>
      <c r="HH581" t="n">
        <v>3.721</v>
      </c>
      <c r="HS581" t="n">
        <v>-11.4</v>
      </c>
      <c r="ID581" t="n">
        <v>1.07</v>
      </c>
      <c r="IF581" t="n">
        <v>8</v>
      </c>
      <c r="IG581" t="n">
        <v>7.5</v>
      </c>
      <c r="IH581" t="n">
        <v>67.5</v>
      </c>
      <c r="II581" t="n">
        <v>-52.5</v>
      </c>
      <c r="IJ581" t="n">
        <v>6.981708833013188</v>
      </c>
      <c r="IK581" t="n">
        <v>6.980147903452565</v>
      </c>
      <c r="IL581" t="n">
        <v>7.051492613544729</v>
      </c>
      <c r="IM581" t="n">
        <v>6.893627537036414</v>
      </c>
      <c r="KH581" t="n">
        <v>6.977</v>
      </c>
      <c r="KS581" t="n">
        <v>-6.98</v>
      </c>
      <c r="LD581" t="n">
        <v>0.8</v>
      </c>
    </row>
    <row r="582">
      <c r="A582" t="inlineStr">
        <is>
          <t>2026-04-15</t>
        </is>
      </c>
      <c r="B582" t="inlineStr">
        <is>
          <t>Avian &amp; Reptile 26</t>
        </is>
      </c>
      <c r="C582" t="inlineStr">
        <is>
          <t>106326041501</t>
        </is>
      </c>
      <c r="D582" t="inlineStr">
        <is>
          <t>ALB</t>
        </is>
      </c>
      <c r="F582" t="n">
        <v>8</v>
      </c>
      <c r="G582" t="n">
        <v>4.2</v>
      </c>
      <c r="H582" t="n">
        <v>37.8</v>
      </c>
      <c r="I582" t="n">
        <v>-29.4</v>
      </c>
      <c r="J582" t="n">
        <v>4.264291922632355</v>
      </c>
      <c r="K582" t="n">
        <v>4.295233745562525</v>
      </c>
      <c r="L582" t="n">
        <v>4.253591907916006</v>
      </c>
      <c r="BH582" t="n">
        <v>4.271</v>
      </c>
      <c r="BS582" t="n">
        <v>1.69</v>
      </c>
      <c r="CD582" t="n">
        <v>0.41</v>
      </c>
      <c r="CF582" t="n">
        <v>8</v>
      </c>
      <c r="CG582" t="n">
        <v>2.7</v>
      </c>
      <c r="CH582" t="n">
        <v>24.3</v>
      </c>
      <c r="CI582" t="n">
        <v>-18.9</v>
      </c>
      <c r="CJ582" t="n">
        <v>2.855334026591134</v>
      </c>
      <c r="CK582" t="n">
        <v>2.921979806757733</v>
      </c>
      <c r="CL582" t="n">
        <v>2.896825897341694</v>
      </c>
      <c r="EH582" t="n">
        <v>2.891</v>
      </c>
      <c r="ES582" t="n">
        <v>7.09</v>
      </c>
      <c r="FD582" t="n">
        <v>0.95</v>
      </c>
      <c r="FF582" t="n">
        <v>8</v>
      </c>
      <c r="FG582" t="n">
        <v>2.6</v>
      </c>
      <c r="FH582" t="n">
        <v>23.4</v>
      </c>
      <c r="FI582" t="n">
        <v>-18.2</v>
      </c>
      <c r="FJ582" t="n">
        <v>2.761817671842258</v>
      </c>
      <c r="FK582" t="n">
        <v>2.741699698130632</v>
      </c>
      <c r="FL582" t="n">
        <v>2.740473270295779</v>
      </c>
      <c r="HH582" t="n">
        <v>2.748</v>
      </c>
      <c r="HS582" t="n">
        <v>5.69</v>
      </c>
      <c r="ID582" t="n">
        <v>0.36</v>
      </c>
      <c r="IF582" t="n">
        <v>8</v>
      </c>
      <c r="IG582" t="n">
        <v>4.2</v>
      </c>
      <c r="IH582" t="n">
        <v>37.8</v>
      </c>
      <c r="II582" t="n">
        <v>-29.4</v>
      </c>
      <c r="IJ582" t="n">
        <v>4.278203981022326</v>
      </c>
      <c r="IK582" t="n">
        <v>4.315949237140526</v>
      </c>
      <c r="IL582" t="n">
        <v>4.274649472993207</v>
      </c>
      <c r="KH582" t="n">
        <v>4.29</v>
      </c>
      <c r="KS582" t="n">
        <v>2.13</v>
      </c>
      <c r="LD582" t="n">
        <v>0.44</v>
      </c>
    </row>
    <row r="583">
      <c r="A583" t="inlineStr">
        <is>
          <t>2026-04-15</t>
        </is>
      </c>
      <c r="B583" t="inlineStr">
        <is>
          <t>Avian &amp; Reptile 26</t>
        </is>
      </c>
      <c r="C583" t="inlineStr">
        <is>
          <t>106326041501</t>
        </is>
      </c>
      <c r="D583" t="inlineStr">
        <is>
          <t>AST</t>
        </is>
      </c>
      <c r="F583" t="n">
        <v>15</v>
      </c>
      <c r="G583" t="n">
        <v>44</v>
      </c>
      <c r="H583" t="n">
        <v>704</v>
      </c>
      <c r="I583" t="n">
        <v>-616</v>
      </c>
      <c r="J583" t="n">
        <v>40.75344355886402</v>
      </c>
      <c r="K583" t="n">
        <v>43.67513991945044</v>
      </c>
      <c r="L583" t="n">
        <v>42.7711521697143</v>
      </c>
      <c r="BH583" t="n">
        <v>42.4</v>
      </c>
      <c r="BS583" t="n">
        <v>-3.64</v>
      </c>
      <c r="CD583" t="n">
        <v>2.88</v>
      </c>
      <c r="CF583" t="n">
        <v>15</v>
      </c>
      <c r="CG583" t="n">
        <v>221</v>
      </c>
      <c r="CH583" t="n">
        <v>3536</v>
      </c>
      <c r="CI583" t="n">
        <v>-3094</v>
      </c>
      <c r="CJ583" t="n">
        <v>220.8719185636285</v>
      </c>
      <c r="CK583" t="n">
        <v>220.6676160173962</v>
      </c>
      <c r="CL583" t="n">
        <v>219.8620516155986</v>
      </c>
      <c r="EH583" t="n">
        <v>220.467</v>
      </c>
      <c r="ES583" t="n">
        <v>-0.24</v>
      </c>
      <c r="FD583" t="n">
        <v>0.2</v>
      </c>
      <c r="FF583" t="n">
        <v>15</v>
      </c>
      <c r="FG583" t="n">
        <v>45</v>
      </c>
      <c r="FH583" t="n">
        <v>720</v>
      </c>
      <c r="FI583" t="n">
        <v>-630</v>
      </c>
      <c r="FJ583" t="n">
        <v>43.77988854811005</v>
      </c>
      <c r="FK583" t="n">
        <v>43.51228913160134</v>
      </c>
      <c r="FL583" t="n">
        <v>44.04367628662931</v>
      </c>
      <c r="HH583" t="n">
        <v>43.779</v>
      </c>
      <c r="HS583" t="n">
        <v>-2.71</v>
      </c>
      <c r="ID583" t="n">
        <v>0.5</v>
      </c>
      <c r="IF583" t="n">
        <v>15</v>
      </c>
      <c r="IG583" t="n">
        <v>282</v>
      </c>
      <c r="IH583" t="n">
        <v>4512</v>
      </c>
      <c r="II583" t="n">
        <v>-3948</v>
      </c>
      <c r="IJ583" t="n">
        <v>276.3164144011254</v>
      </c>
      <c r="IK583" t="n">
        <v>283.7522106237818</v>
      </c>
      <c r="IL583" t="n">
        <v>278.733877221524</v>
      </c>
      <c r="KH583" t="n">
        <v>279.601</v>
      </c>
      <c r="KS583" t="n">
        <v>-0.85</v>
      </c>
      <c r="LD583" t="n">
        <v>1.11</v>
      </c>
    </row>
    <row r="584">
      <c r="A584" t="inlineStr">
        <is>
          <t>2026-04-15</t>
        </is>
      </c>
      <c r="B584" t="inlineStr">
        <is>
          <t>Avian &amp; Reptile 26</t>
        </is>
      </c>
      <c r="C584" t="inlineStr">
        <is>
          <t>106326041501</t>
        </is>
      </c>
      <c r="D584" t="inlineStr">
        <is>
          <t>CK</t>
        </is>
      </c>
      <c r="F584" t="n">
        <v>20</v>
      </c>
      <c r="J584" t="n">
        <v>131.8232509859545</v>
      </c>
      <c r="K584" t="n">
        <v>137.5412413713755</v>
      </c>
      <c r="L584" t="n">
        <v>128.7555755077843</v>
      </c>
      <c r="BH584" t="n">
        <v>132.707</v>
      </c>
      <c r="CD584" t="n">
        <v>2.74</v>
      </c>
      <c r="CF584" t="n">
        <v>20</v>
      </c>
      <c r="CJ584" t="n">
        <v>464.8320866797592</v>
      </c>
      <c r="CK584" t="n">
        <v>481.2377353259535</v>
      </c>
      <c r="CL584" t="n">
        <v>475.8836651884268</v>
      </c>
      <c r="EH584" t="n">
        <v>473.984</v>
      </c>
      <c r="FD584" t="n">
        <v>1.44</v>
      </c>
      <c r="FF584" t="n">
        <v>20</v>
      </c>
      <c r="FJ584" t="n">
        <v>71.18612241712114</v>
      </c>
      <c r="FK584" t="n">
        <v>73.19018309414491</v>
      </c>
      <c r="FL584" t="n">
        <v>60.21653582272906</v>
      </c>
      <c r="HH584" t="n">
        <v>68.19799999999999</v>
      </c>
      <c r="ID584" t="n">
        <v>8.359999999999999</v>
      </c>
      <c r="IF584" t="n">
        <v>20</v>
      </c>
      <c r="IJ584" t="n">
        <v>627.897623452471</v>
      </c>
      <c r="IK584" t="n">
        <v>621.940432383441</v>
      </c>
      <c r="IL584" t="n">
        <v>606.7612876981616</v>
      </c>
      <c r="KH584" t="n">
        <v>618.866</v>
      </c>
      <c r="LD584" t="n">
        <v>1.44</v>
      </c>
    </row>
    <row r="585">
      <c r="A585" t="inlineStr">
        <is>
          <t>2026-04-15</t>
        </is>
      </c>
      <c r="B585" t="inlineStr">
        <is>
          <t>Avian &amp; Reptile 26</t>
        </is>
      </c>
      <c r="C585" t="inlineStr">
        <is>
          <t>106326041501</t>
        </is>
      </c>
      <c r="D585" t="inlineStr">
        <is>
          <t>Ca</t>
        </is>
      </c>
      <c r="G585" t="n">
        <v>9.1</v>
      </c>
      <c r="J585" t="n">
        <v>9.736151276282206</v>
      </c>
      <c r="K585" t="n">
        <v>9.302654956480714</v>
      </c>
      <c r="L585" t="n">
        <v>9.188521929313943</v>
      </c>
      <c r="BH585" t="n">
        <v>9.409000000000001</v>
      </c>
      <c r="BS585" t="n">
        <v>3.4</v>
      </c>
      <c r="CD585" t="n">
        <v>2.51</v>
      </c>
      <c r="CG585" t="n">
        <v>12.4</v>
      </c>
      <c r="CJ585" t="n">
        <v>12.574409922209</v>
      </c>
      <c r="CK585" t="n">
        <v>12.33014203833262</v>
      </c>
      <c r="CL585" t="n">
        <v>12.28290349199895</v>
      </c>
      <c r="EH585" t="n">
        <v>12.396</v>
      </c>
      <c r="ES585" t="n">
        <v>-0.03</v>
      </c>
      <c r="FD585" t="n">
        <v>1.03</v>
      </c>
      <c r="FG585" t="n">
        <v>5.9</v>
      </c>
      <c r="FJ585" t="n">
        <v>5.683342783133945</v>
      </c>
      <c r="FK585" t="n">
        <v>5.619179088269449</v>
      </c>
      <c r="FL585" t="n">
        <v>5.666232075198122</v>
      </c>
      <c r="HH585" t="n">
        <v>5.656</v>
      </c>
      <c r="HS585" t="n">
        <v>-4.13</v>
      </c>
      <c r="ID585" t="n">
        <v>0.48</v>
      </c>
      <c r="IG585" t="n">
        <v>12.7</v>
      </c>
      <c r="IJ585" t="n">
        <v>12.85233093905046</v>
      </c>
      <c r="IK585" t="n">
        <v>12.67912411505121</v>
      </c>
      <c r="IL585" t="n">
        <v>12.52793066412665</v>
      </c>
      <c r="KH585" t="n">
        <v>12.686</v>
      </c>
      <c r="KS585" t="n">
        <v>-0.11</v>
      </c>
      <c r="LD585" t="n">
        <v>1.04</v>
      </c>
    </row>
    <row r="586">
      <c r="A586" t="inlineStr">
        <is>
          <t>2026-04-15</t>
        </is>
      </c>
      <c r="B586" t="inlineStr">
        <is>
          <t>Avian &amp; Reptile 26</t>
        </is>
      </c>
      <c r="C586" t="inlineStr">
        <is>
          <t>106326041501</t>
        </is>
      </c>
      <c r="D586" t="inlineStr">
        <is>
          <t>GLU</t>
        </is>
      </c>
      <c r="F586" t="n">
        <v>8</v>
      </c>
      <c r="G586" t="n">
        <v>90.16</v>
      </c>
      <c r="H586" t="n">
        <v>811.4399999999999</v>
      </c>
      <c r="I586" t="n">
        <v>-631.12</v>
      </c>
      <c r="J586" t="n">
        <v>90.91001003116409</v>
      </c>
      <c r="K586" t="n">
        <v>91.86309227157403</v>
      </c>
      <c r="L586" t="n">
        <v>90.36287443298454</v>
      </c>
      <c r="BH586" t="n">
        <v>91.045</v>
      </c>
      <c r="BS586" t="n">
        <v>0.98</v>
      </c>
      <c r="CD586" t="n">
        <v>0.68</v>
      </c>
      <c r="CF586" t="n">
        <v>8</v>
      </c>
      <c r="CG586" t="n">
        <v>293.02</v>
      </c>
      <c r="CH586" t="n">
        <v>2637.18</v>
      </c>
      <c r="CI586" t="n">
        <v>-2051.14</v>
      </c>
      <c r="CJ586" t="n">
        <v>295.7245285408785</v>
      </c>
      <c r="CK586" t="n">
        <v>299.9087909483081</v>
      </c>
      <c r="CL586" t="n">
        <v>303.7071080428074</v>
      </c>
      <c r="EH586" t="n">
        <v>299.78</v>
      </c>
      <c r="ES586" t="n">
        <v>2.31</v>
      </c>
      <c r="FD586" t="n">
        <v>1.09</v>
      </c>
      <c r="FF586" t="n">
        <v>8</v>
      </c>
      <c r="FG586" t="n">
        <v>65.66</v>
      </c>
      <c r="FH586" t="n">
        <v>590.9399999999999</v>
      </c>
      <c r="FI586" t="n">
        <v>-459.62</v>
      </c>
      <c r="FJ586" t="n">
        <v>66.7488745501594</v>
      </c>
      <c r="FK586" t="n">
        <v>66.01175018587159</v>
      </c>
      <c r="FL586" t="n">
        <v>66.73292369246221</v>
      </c>
      <c r="HH586" t="n">
        <v>66.498</v>
      </c>
      <c r="HS586" t="n">
        <v>1.28</v>
      </c>
      <c r="ID586" t="n">
        <v>0.52</v>
      </c>
      <c r="IF586" t="n">
        <v>8</v>
      </c>
      <c r="IG586" t="n">
        <v>359.66</v>
      </c>
      <c r="IH586" t="n">
        <v>3236.94</v>
      </c>
      <c r="II586" t="n">
        <v>-2517.62</v>
      </c>
      <c r="IJ586" t="n">
        <v>363.6053040692445</v>
      </c>
      <c r="IK586" t="n">
        <v>366.9397054198195</v>
      </c>
      <c r="IL586" t="n">
        <v>363.9016416750326</v>
      </c>
      <c r="KH586" t="n">
        <v>364.816</v>
      </c>
      <c r="KS586" t="n">
        <v>1.43</v>
      </c>
      <c r="LD586" t="n">
        <v>0.41</v>
      </c>
    </row>
    <row r="587">
      <c r="A587" t="inlineStr">
        <is>
          <t>2026-04-15</t>
        </is>
      </c>
      <c r="B587" t="inlineStr">
        <is>
          <t>Avian &amp; Reptile 26</t>
        </is>
      </c>
      <c r="C587" t="inlineStr">
        <is>
          <t>106326041501</t>
        </is>
      </c>
      <c r="D587" t="inlineStr">
        <is>
          <t>PHOS</t>
        </is>
      </c>
      <c r="F587" t="n">
        <v>10</v>
      </c>
      <c r="G587" t="n">
        <v>3.3</v>
      </c>
      <c r="H587" t="n">
        <v>36.3</v>
      </c>
      <c r="I587" t="n">
        <v>-29.7</v>
      </c>
      <c r="J587" t="n">
        <v>3.113013797451791</v>
      </c>
      <c r="K587" t="n">
        <v>3.169239220941072</v>
      </c>
      <c r="L587" t="n">
        <v>3.093620384801311</v>
      </c>
      <c r="BH587" t="n">
        <v>3.125</v>
      </c>
      <c r="BS587" t="n">
        <v>-5.29</v>
      </c>
      <c r="CD587" t="n">
        <v>1.03</v>
      </c>
      <c r="CF587" t="n">
        <v>10</v>
      </c>
      <c r="CG587" t="n">
        <v>7.2</v>
      </c>
      <c r="CH587" t="n">
        <v>79.2</v>
      </c>
      <c r="CI587" t="n">
        <v>-64.8</v>
      </c>
      <c r="CJ587" t="n">
        <v>6.739483502642775</v>
      </c>
      <c r="CK587" t="n">
        <v>6.896209360886967</v>
      </c>
      <c r="CL587" t="n">
        <v>7.096618321317397</v>
      </c>
      <c r="EH587" t="n">
        <v>6.911</v>
      </c>
      <c r="ES587" t="n">
        <v>-4.02</v>
      </c>
      <c r="FD587" t="n">
        <v>2.11</v>
      </c>
      <c r="FF587" t="n">
        <v>10</v>
      </c>
      <c r="FG587" t="n">
        <v>1.9</v>
      </c>
      <c r="FH587" t="n">
        <v>20.9</v>
      </c>
      <c r="FI587" t="n">
        <v>-17.1</v>
      </c>
      <c r="FJ587" t="n">
        <v>1.926018260508901</v>
      </c>
      <c r="FK587" t="n">
        <v>1.876874398909081</v>
      </c>
      <c r="FL587" t="n">
        <v>1.916355436910093</v>
      </c>
      <c r="HH587" t="n">
        <v>1.906</v>
      </c>
      <c r="HS587" t="n">
        <v>0.34</v>
      </c>
      <c r="ID587" t="n">
        <v>1.12</v>
      </c>
      <c r="IF587" t="n">
        <v>10</v>
      </c>
      <c r="IG587" t="n">
        <v>7.2</v>
      </c>
      <c r="IH587" t="n">
        <v>79.2</v>
      </c>
      <c r="II587" t="n">
        <v>-64.8</v>
      </c>
      <c r="IJ587" t="n">
        <v>7.118389007913589</v>
      </c>
      <c r="IK587" t="n">
        <v>7.232762051871331</v>
      </c>
      <c r="IL587" t="n">
        <v>7.092755753202573</v>
      </c>
      <c r="KH587" t="n">
        <v>7.148</v>
      </c>
      <c r="KS587" t="n">
        <v>-0.72</v>
      </c>
      <c r="LD587" t="n">
        <v>0.85</v>
      </c>
    </row>
    <row r="588">
      <c r="A588" t="inlineStr">
        <is>
          <t>2026-04-15</t>
        </is>
      </c>
      <c r="B588" t="inlineStr">
        <is>
          <t>Avian &amp; Reptile 26</t>
        </is>
      </c>
      <c r="C588" t="inlineStr">
        <is>
          <t>106326041501</t>
        </is>
      </c>
      <c r="D588" t="inlineStr">
        <is>
          <t>TP</t>
        </is>
      </c>
      <c r="F588" t="n">
        <v>8</v>
      </c>
      <c r="G588" t="n">
        <v>6.4</v>
      </c>
      <c r="H588" t="n">
        <v>57.6</v>
      </c>
      <c r="I588" t="n">
        <v>-44.8</v>
      </c>
      <c r="J588" t="n">
        <v>6.520046097728692</v>
      </c>
      <c r="K588" t="n">
        <v>6.626918033633395</v>
      </c>
      <c r="L588" t="n">
        <v>6.452481430791213</v>
      </c>
      <c r="BH588" t="n">
        <v>6.533</v>
      </c>
      <c r="BS588" t="n">
        <v>2.08</v>
      </c>
      <c r="CD588" t="n">
        <v>1.1</v>
      </c>
      <c r="CF588" t="n">
        <v>8</v>
      </c>
      <c r="CG588" t="n">
        <v>4.1</v>
      </c>
      <c r="CH588" t="n">
        <v>36.9</v>
      </c>
      <c r="CI588" t="n">
        <v>-28.7</v>
      </c>
      <c r="CJ588" t="n">
        <v>4.15327944704355</v>
      </c>
      <c r="CK588" t="n">
        <v>4.219742142576274</v>
      </c>
      <c r="CL588" t="n">
        <v>4.172007610509134</v>
      </c>
      <c r="EH588" t="n">
        <v>4.182</v>
      </c>
      <c r="ES588" t="n">
        <v>1.99</v>
      </c>
      <c r="FD588" t="n">
        <v>0.67</v>
      </c>
      <c r="FF588" t="n">
        <v>8</v>
      </c>
      <c r="FG588" t="n">
        <v>4.2</v>
      </c>
      <c r="FH588" t="n">
        <v>37.8</v>
      </c>
      <c r="FI588" t="n">
        <v>-29.4</v>
      </c>
      <c r="FJ588" t="n">
        <v>3.951067837307043</v>
      </c>
      <c r="FK588" t="n">
        <v>4.030378803953116</v>
      </c>
      <c r="FL588" t="n">
        <v>3.950452957474838</v>
      </c>
      <c r="HH588" t="n">
        <v>3.977</v>
      </c>
      <c r="HS588" t="n">
        <v>-5.3</v>
      </c>
      <c r="ID588" t="n">
        <v>0.9399999999999999</v>
      </c>
      <c r="IF588" t="n">
        <v>8</v>
      </c>
      <c r="IG588" t="n">
        <v>7.5</v>
      </c>
      <c r="IH588" t="n">
        <v>67.5</v>
      </c>
      <c r="II588" t="n">
        <v>-52.5</v>
      </c>
      <c r="IJ588" t="n">
        <v>7.504918652580237</v>
      </c>
      <c r="IK588" t="n">
        <v>7.591277534848381</v>
      </c>
      <c r="IL588" t="n">
        <v>7.479814410369892</v>
      </c>
      <c r="KH588" t="n">
        <v>7.525</v>
      </c>
      <c r="KS588" t="n">
        <v>0.34</v>
      </c>
      <c r="LD588" t="n">
        <v>0.63</v>
      </c>
    </row>
    <row r="589">
      <c r="A589" t="inlineStr">
        <is>
          <t>2026-04-15</t>
        </is>
      </c>
      <c r="B589" t="inlineStr">
        <is>
          <t>Avian &amp; Reptile 26</t>
        </is>
      </c>
      <c r="C589" t="inlineStr">
        <is>
          <t>106326041501</t>
        </is>
      </c>
      <c r="D589" t="inlineStr">
        <is>
          <t>URIC</t>
        </is>
      </c>
      <c r="F589" t="n">
        <v>10</v>
      </c>
      <c r="G589" t="n">
        <v>4.561200670000002</v>
      </c>
      <c r="H589" t="n">
        <v>50.17320737000001</v>
      </c>
      <c r="I589" t="n">
        <v>-41.05080603000002</v>
      </c>
      <c r="J589" t="n">
        <v>4.516970678119133</v>
      </c>
      <c r="K589" t="n">
        <v>4.557448506558125</v>
      </c>
      <c r="L589" t="n">
        <v>4.383342075858088</v>
      </c>
      <c r="BH589" t="n">
        <v>4.486</v>
      </c>
      <c r="BS589" t="n">
        <v>-1.65</v>
      </c>
      <c r="CD589" t="n">
        <v>1.66</v>
      </c>
      <c r="CF589" t="n">
        <v>10</v>
      </c>
      <c r="CG589" t="n">
        <v>9.699999999999999</v>
      </c>
      <c r="CH589" t="n">
        <v>106.7</v>
      </c>
      <c r="CI589" t="n">
        <v>-87.3</v>
      </c>
      <c r="CJ589" t="n">
        <v>9.352196581821117</v>
      </c>
      <c r="CK589" t="n">
        <v>9.34032651775604</v>
      </c>
      <c r="CL589" t="n">
        <v>9.719228002684925</v>
      </c>
      <c r="EH589" t="n">
        <v>9.471</v>
      </c>
      <c r="ES589" t="n">
        <v>-2.37</v>
      </c>
      <c r="FD589" t="n">
        <v>1.86</v>
      </c>
      <c r="FF589" t="n">
        <v>10</v>
      </c>
      <c r="FG589" t="n">
        <v>2.7</v>
      </c>
      <c r="FH589" t="n">
        <v>29.7</v>
      </c>
      <c r="FI589" t="n">
        <v>-24.3</v>
      </c>
      <c r="FJ589" t="n">
        <v>2.870319095458158</v>
      </c>
      <c r="FK589" t="n">
        <v>2.826629949609946</v>
      </c>
      <c r="FL589" t="n">
        <v>2.965655303745019</v>
      </c>
      <c r="HH589" t="n">
        <v>2.888</v>
      </c>
      <c r="HS589" t="n">
        <v>6.95</v>
      </c>
      <c r="ID589" t="n">
        <v>2.01</v>
      </c>
      <c r="IF589" t="n">
        <v>10</v>
      </c>
      <c r="IG589" t="n">
        <v>9.300000000000001</v>
      </c>
      <c r="IH589" t="n">
        <v>102.3</v>
      </c>
      <c r="II589" t="n">
        <v>-83.7</v>
      </c>
      <c r="IJ589" t="n">
        <v>9.374143039188803</v>
      </c>
      <c r="IK589" t="n">
        <v>9.420361931388738</v>
      </c>
      <c r="IL589" t="n">
        <v>9.300041489590308</v>
      </c>
      <c r="KH589" t="n">
        <v>9.365</v>
      </c>
      <c r="KS589" t="n">
        <v>0.7</v>
      </c>
      <c r="LD589" t="n">
        <v>0.53</v>
      </c>
    </row>
    <row r="590">
      <c r="A590" t="inlineStr">
        <is>
          <t>2026-04-15</t>
        </is>
      </c>
      <c r="B590" t="inlineStr">
        <is>
          <t>Renal 15</t>
        </is>
      </c>
      <c r="C590" t="inlineStr">
        <is>
          <t>100726041501</t>
        </is>
      </c>
      <c r="D590" t="inlineStr">
        <is>
          <t>ALB</t>
        </is>
      </c>
      <c r="F590" t="n">
        <v>8</v>
      </c>
      <c r="G590" t="n">
        <v>4.2</v>
      </c>
      <c r="H590" t="n">
        <v>37.8</v>
      </c>
      <c r="I590" t="n">
        <v>-29.4</v>
      </c>
      <c r="J590" t="n">
        <v>4.304495984628923</v>
      </c>
      <c r="K590" t="n">
        <v>4.343503325479408</v>
      </c>
      <c r="BH590" t="n">
        <v>4.324</v>
      </c>
      <c r="BS590" t="n">
        <v>2.95</v>
      </c>
      <c r="CD590" t="n">
        <v>0.45</v>
      </c>
      <c r="CF590" t="n">
        <v>8</v>
      </c>
      <c r="CG590" t="n">
        <v>2.7</v>
      </c>
      <c r="CH590" t="n">
        <v>24.3</v>
      </c>
      <c r="CI590" t="n">
        <v>-18.9</v>
      </c>
      <c r="CJ590" t="n">
        <v>3.010790686459326</v>
      </c>
      <c r="CK590" t="n">
        <v>2.990763214364512</v>
      </c>
      <c r="EH590" t="n">
        <v>3.001</v>
      </c>
      <c r="ES590" t="n">
        <v>11.14</v>
      </c>
      <c r="FD590" t="n">
        <v>0.33</v>
      </c>
      <c r="FF590" t="n">
        <v>8</v>
      </c>
      <c r="FG590" t="n">
        <v>2.6</v>
      </c>
      <c r="FH590" t="n">
        <v>23.4</v>
      </c>
      <c r="FI590" t="n">
        <v>-18.2</v>
      </c>
      <c r="FJ590" t="n">
        <v>2.765201476934301</v>
      </c>
      <c r="FK590" t="n">
        <v>2.788341480488405</v>
      </c>
      <c r="HH590" t="n">
        <v>2.777</v>
      </c>
      <c r="HS590" t="n">
        <v>6.8</v>
      </c>
      <c r="ID590" t="n">
        <v>0.42</v>
      </c>
      <c r="IF590" t="n">
        <v>8</v>
      </c>
      <c r="IG590" t="n">
        <v>4.2</v>
      </c>
      <c r="IH590" t="n">
        <v>37.8</v>
      </c>
      <c r="II590" t="n">
        <v>-29.4</v>
      </c>
      <c r="IJ590" t="n">
        <v>4.315417868607336</v>
      </c>
      <c r="IK590" t="n">
        <v>4.254858252582656</v>
      </c>
      <c r="KH590" t="n">
        <v>4.285</v>
      </c>
      <c r="KS590" t="n">
        <v>2.03</v>
      </c>
      <c r="LD590" t="n">
        <v>0.71</v>
      </c>
    </row>
    <row r="591">
      <c r="A591" t="inlineStr">
        <is>
          <t>2026-04-15</t>
        </is>
      </c>
      <c r="B591" t="inlineStr">
        <is>
          <t>Renal 15</t>
        </is>
      </c>
      <c r="C591" t="inlineStr">
        <is>
          <t>100726041501</t>
        </is>
      </c>
      <c r="D591" t="inlineStr">
        <is>
          <t>BUN</t>
        </is>
      </c>
      <c r="F591" t="n">
        <v>9</v>
      </c>
      <c r="G591" t="n">
        <v>14.8</v>
      </c>
      <c r="H591" t="n">
        <v>148</v>
      </c>
      <c r="I591" t="n">
        <v>-118.4</v>
      </c>
      <c r="J591" t="n">
        <v>14.0200471577027</v>
      </c>
      <c r="K591" t="n">
        <v>14.35855547356229</v>
      </c>
      <c r="BH591" t="n">
        <v>14.189</v>
      </c>
      <c r="BS591" t="n">
        <v>-4.13</v>
      </c>
      <c r="CD591" t="n">
        <v>1.19</v>
      </c>
      <c r="CF591" t="n">
        <v>9</v>
      </c>
      <c r="CG591" t="n">
        <v>44.7</v>
      </c>
      <c r="CH591" t="n">
        <v>447</v>
      </c>
      <c r="CI591" t="n">
        <v>-357.6</v>
      </c>
      <c r="CJ591" t="n">
        <v>44.54055958304538</v>
      </c>
      <c r="CK591" t="n">
        <v>45.16631425344338</v>
      </c>
      <c r="EH591" t="n">
        <v>44.853</v>
      </c>
      <c r="ES591" t="n">
        <v>0.34</v>
      </c>
      <c r="FD591" t="n">
        <v>0.7</v>
      </c>
      <c r="FF591" t="n">
        <v>9</v>
      </c>
      <c r="FG591" t="n">
        <v>14.7</v>
      </c>
      <c r="FH591" t="n">
        <v>147</v>
      </c>
      <c r="FI591" t="n">
        <v>-117.6</v>
      </c>
      <c r="FJ591" t="n">
        <v>14.44359538956993</v>
      </c>
      <c r="FK591" t="n">
        <v>14.18112063793506</v>
      </c>
      <c r="HH591" t="n">
        <v>14.312</v>
      </c>
      <c r="HS591" t="n">
        <v>-2.64</v>
      </c>
      <c r="ID591" t="n">
        <v>0.92</v>
      </c>
      <c r="IF591" t="n">
        <v>9</v>
      </c>
      <c r="IG591" t="n">
        <v>65.7</v>
      </c>
      <c r="IH591" t="n">
        <v>657</v>
      </c>
      <c r="II591" t="n">
        <v>-525.6</v>
      </c>
      <c r="IJ591" t="n">
        <v>62.67001809881232</v>
      </c>
      <c r="IK591" t="n">
        <v>63.2120042118461</v>
      </c>
      <c r="KH591" t="n">
        <v>62.941</v>
      </c>
      <c r="KS591" t="n">
        <v>-4.2</v>
      </c>
      <c r="LD591" t="n">
        <v>0.43</v>
      </c>
    </row>
    <row r="592">
      <c r="A592" t="inlineStr">
        <is>
          <t>2026-04-15</t>
        </is>
      </c>
      <c r="B592" t="inlineStr">
        <is>
          <t>Renal 15</t>
        </is>
      </c>
      <c r="C592" t="inlineStr">
        <is>
          <t>100726041501</t>
        </is>
      </c>
      <c r="D592" t="inlineStr">
        <is>
          <t>CREA</t>
        </is>
      </c>
      <c r="F592" t="n">
        <v>10</v>
      </c>
      <c r="G592" t="n">
        <v>1.5</v>
      </c>
      <c r="H592" t="n">
        <v>16.5</v>
      </c>
      <c r="I592" t="n">
        <v>-13.5</v>
      </c>
      <c r="J592" t="n">
        <v>1.399125543398567</v>
      </c>
      <c r="K592" t="n">
        <v>1.383907105239237</v>
      </c>
      <c r="BH592" t="n">
        <v>1.392</v>
      </c>
      <c r="BS592" t="n">
        <v>-7.23</v>
      </c>
      <c r="CD592" t="n">
        <v>0.55</v>
      </c>
      <c r="CF592" t="n">
        <v>10</v>
      </c>
      <c r="CG592" t="n">
        <v>5.55</v>
      </c>
      <c r="CH592" t="n">
        <v>61.05</v>
      </c>
      <c r="CI592" t="n">
        <v>-49.95</v>
      </c>
      <c r="CJ592" t="n">
        <v>4.937606629045837</v>
      </c>
      <c r="CK592" t="n">
        <v>5.090394832201379</v>
      </c>
      <c r="EH592" t="n">
        <v>5.014</v>
      </c>
      <c r="ES592" t="n">
        <v>-9.66</v>
      </c>
      <c r="FD592" t="n">
        <v>1.52</v>
      </c>
      <c r="FF592" t="n">
        <v>10</v>
      </c>
      <c r="FG592" t="n">
        <v>0.97</v>
      </c>
      <c r="FH592" t="n">
        <v>10.67</v>
      </c>
      <c r="FI592" t="n">
        <v>-8.73</v>
      </c>
      <c r="FJ592" t="n">
        <v>0.7143637814942313</v>
      </c>
      <c r="FK592" t="n">
        <v>0.7408922998622203</v>
      </c>
      <c r="HH592" t="n">
        <v>0.728</v>
      </c>
      <c r="HS592" t="n">
        <v>-24.99</v>
      </c>
      <c r="ID592" t="n">
        <v>1.82</v>
      </c>
      <c r="IF592" t="n">
        <v>10</v>
      </c>
      <c r="IG592" t="n">
        <v>5.95</v>
      </c>
      <c r="IH592" t="n">
        <v>65.45</v>
      </c>
      <c r="II592" t="n">
        <v>-53.55</v>
      </c>
      <c r="IJ592" t="n">
        <v>5.73945742918621</v>
      </c>
      <c r="IK592" t="n">
        <v>5.737605841058636</v>
      </c>
      <c r="KH592" t="n">
        <v>5.739</v>
      </c>
      <c r="KS592" t="n">
        <v>-3.55</v>
      </c>
      <c r="LD592" t="n">
        <v>0.02</v>
      </c>
    </row>
    <row r="593">
      <c r="A593" t="inlineStr">
        <is>
          <t>2026-04-15</t>
        </is>
      </c>
      <c r="B593" t="inlineStr">
        <is>
          <t>Renal 15</t>
        </is>
      </c>
      <c r="C593" t="inlineStr">
        <is>
          <t>100726041501</t>
        </is>
      </c>
      <c r="D593" t="inlineStr">
        <is>
          <t>Ca</t>
        </is>
      </c>
      <c r="G593" t="n">
        <v>9.1</v>
      </c>
      <c r="J593" t="n">
        <v>9.424460765908139</v>
      </c>
      <c r="K593" t="n">
        <v>9.482311431025391</v>
      </c>
      <c r="BH593" t="n">
        <v>9.452999999999999</v>
      </c>
      <c r="BS593" t="n">
        <v>3.88</v>
      </c>
      <c r="CD593" t="n">
        <v>0.31</v>
      </c>
      <c r="CG593" t="n">
        <v>12.4</v>
      </c>
      <c r="CJ593" t="n">
        <v>12.07742132161928</v>
      </c>
      <c r="CK593" t="n">
        <v>12.27212770028773</v>
      </c>
      <c r="EH593" t="n">
        <v>12.175</v>
      </c>
      <c r="ES593" t="n">
        <v>-1.82</v>
      </c>
      <c r="FD593" t="n">
        <v>0.8</v>
      </c>
      <c r="FG593" t="n">
        <v>5.9</v>
      </c>
      <c r="FJ593" t="n">
        <v>5.698264633004262</v>
      </c>
      <c r="FK593" t="n">
        <v>5.729607973894655</v>
      </c>
      <c r="HH593" t="n">
        <v>5.714</v>
      </c>
      <c r="HS593" t="n">
        <v>-3.15</v>
      </c>
      <c r="ID593" t="n">
        <v>0.27</v>
      </c>
      <c r="IG593" t="n">
        <v>12.7</v>
      </c>
      <c r="IJ593" t="n">
        <v>12.21971484407565</v>
      </c>
      <c r="IK593" t="n">
        <v>12.2895600140823</v>
      </c>
      <c r="KH593" t="n">
        <v>12.255</v>
      </c>
      <c r="KS593" t="n">
        <v>-3.51</v>
      </c>
      <c r="LD593" t="n">
        <v>0.28</v>
      </c>
    </row>
    <row r="594">
      <c r="A594" t="inlineStr">
        <is>
          <t>2026-04-15</t>
        </is>
      </c>
      <c r="B594" t="inlineStr">
        <is>
          <t>Renal 15</t>
        </is>
      </c>
      <c r="C594" t="inlineStr">
        <is>
          <t>100726041501</t>
        </is>
      </c>
      <c r="D594" t="inlineStr">
        <is>
          <t>GLU</t>
        </is>
      </c>
      <c r="F594" t="n">
        <v>8</v>
      </c>
      <c r="G594" t="n">
        <v>90.16</v>
      </c>
      <c r="H594" t="n">
        <v>811.4399999999999</v>
      </c>
      <c r="I594" t="n">
        <v>-631.12</v>
      </c>
      <c r="J594" t="n">
        <v>91.05892486598866</v>
      </c>
      <c r="K594" t="n">
        <v>91.19229692768197</v>
      </c>
      <c r="BH594" t="n">
        <v>91.126</v>
      </c>
      <c r="BS594" t="n">
        <v>1.07</v>
      </c>
      <c r="CD594" t="n">
        <v>0.07000000000000001</v>
      </c>
      <c r="CF594" t="n">
        <v>8</v>
      </c>
      <c r="CG594" t="n">
        <v>293.02</v>
      </c>
      <c r="CH594" t="n">
        <v>2637.18</v>
      </c>
      <c r="CI594" t="n">
        <v>-2051.14</v>
      </c>
      <c r="CJ594" t="n">
        <v>307.239477123125</v>
      </c>
      <c r="CK594" t="n">
        <v>307.2894838965584</v>
      </c>
      <c r="EH594" t="n">
        <v>307.264</v>
      </c>
      <c r="ES594" t="n">
        <v>4.86</v>
      </c>
      <c r="FD594" t="n">
        <v>0.01</v>
      </c>
      <c r="FF594" t="n">
        <v>8</v>
      </c>
      <c r="FG594" t="n">
        <v>65.66</v>
      </c>
      <c r="FH594" t="n">
        <v>590.9399999999999</v>
      </c>
      <c r="FI594" t="n">
        <v>-459.62</v>
      </c>
      <c r="FJ594" t="n">
        <v>65.93761333964126</v>
      </c>
      <c r="FK594" t="n">
        <v>65.84827315076457</v>
      </c>
      <c r="HH594" t="n">
        <v>65.893</v>
      </c>
      <c r="HS594" t="n">
        <v>0.35</v>
      </c>
      <c r="ID594" t="n">
        <v>0.07000000000000001</v>
      </c>
      <c r="IF594" t="n">
        <v>8</v>
      </c>
      <c r="IG594" t="n">
        <v>359.66</v>
      </c>
      <c r="IH594" t="n">
        <v>3236.94</v>
      </c>
      <c r="II594" t="n">
        <v>-2517.62</v>
      </c>
      <c r="IJ594" t="n">
        <v>362.8199442538494</v>
      </c>
      <c r="IK594" t="n">
        <v>364.0439850717078</v>
      </c>
      <c r="KH594" t="n">
        <v>363.432</v>
      </c>
      <c r="KS594" t="n">
        <v>1.05</v>
      </c>
      <c r="LD594" t="n">
        <v>0.17</v>
      </c>
    </row>
    <row r="595">
      <c r="A595" t="inlineStr">
        <is>
          <t>2026-04-15</t>
        </is>
      </c>
      <c r="B595" t="inlineStr">
        <is>
          <t>Renal 15</t>
        </is>
      </c>
      <c r="C595" t="inlineStr">
        <is>
          <t>100726041501</t>
        </is>
      </c>
      <c r="D595" t="inlineStr">
        <is>
          <t>PHOS</t>
        </is>
      </c>
      <c r="F595" t="n">
        <v>10</v>
      </c>
      <c r="G595" t="n">
        <v>3.3</v>
      </c>
      <c r="H595" t="n">
        <v>36.3</v>
      </c>
      <c r="I595" t="n">
        <v>-29.7</v>
      </c>
      <c r="J595" t="n">
        <v>3.21736379315438</v>
      </c>
      <c r="K595" t="n">
        <v>3.145324092409926</v>
      </c>
      <c r="BH595" t="n">
        <v>3.181</v>
      </c>
      <c r="BS595" t="n">
        <v>-3.6</v>
      </c>
      <c r="CD595" t="n">
        <v>1.13</v>
      </c>
      <c r="CF595" t="n">
        <v>10</v>
      </c>
      <c r="CG595" t="n">
        <v>7.2</v>
      </c>
      <c r="CH595" t="n">
        <v>79.2</v>
      </c>
      <c r="CI595" t="n">
        <v>-64.8</v>
      </c>
      <c r="CJ595" t="n">
        <v>7.058482662054824</v>
      </c>
      <c r="CK595" t="n">
        <v>7.118212018258229</v>
      </c>
      <c r="EH595" t="n">
        <v>7.088</v>
      </c>
      <c r="ES595" t="n">
        <v>-1.55</v>
      </c>
      <c r="FD595" t="n">
        <v>0.42</v>
      </c>
      <c r="FF595" t="n">
        <v>10</v>
      </c>
      <c r="FG595" t="n">
        <v>1.9</v>
      </c>
      <c r="FH595" t="n">
        <v>20.9</v>
      </c>
      <c r="FI595" t="n">
        <v>-17.1</v>
      </c>
      <c r="FJ595" t="n">
        <v>1.935337766822353</v>
      </c>
      <c r="FK595" t="n">
        <v>1.91253169070496</v>
      </c>
      <c r="HH595" t="n">
        <v>1.924</v>
      </c>
      <c r="HS595" t="n">
        <v>1.26</v>
      </c>
      <c r="ID595" t="n">
        <v>0.59</v>
      </c>
      <c r="IF595" t="n">
        <v>10</v>
      </c>
      <c r="IG595" t="n">
        <v>7.2</v>
      </c>
      <c r="IH595" t="n">
        <v>79.2</v>
      </c>
      <c r="II595" t="n">
        <v>-64.8</v>
      </c>
      <c r="IJ595" t="n">
        <v>7.10260938271662</v>
      </c>
      <c r="IK595" t="n">
        <v>7.098585755247271</v>
      </c>
      <c r="KH595" t="n">
        <v>7.101</v>
      </c>
      <c r="KS595" t="n">
        <v>-1.38</v>
      </c>
      <c r="LD595" t="n">
        <v>0.03</v>
      </c>
    </row>
    <row r="596">
      <c r="A596" t="inlineStr">
        <is>
          <t>2026-04-15</t>
        </is>
      </c>
      <c r="B596" t="inlineStr">
        <is>
          <t>Renal 15</t>
        </is>
      </c>
      <c r="C596" t="inlineStr">
        <is>
          <t>100726041501</t>
        </is>
      </c>
      <c r="D596" t="inlineStr">
        <is>
          <t>TP</t>
        </is>
      </c>
      <c r="F596" t="n">
        <v>8</v>
      </c>
      <c r="G596" t="n">
        <v>6.4</v>
      </c>
      <c r="H596" t="n">
        <v>57.6</v>
      </c>
      <c r="I596" t="n">
        <v>-44.8</v>
      </c>
      <c r="J596" t="n">
        <v>6.4585890921476</v>
      </c>
      <c r="K596" t="n">
        <v>6.369082522731407</v>
      </c>
      <c r="BH596" t="n">
        <v>6.414</v>
      </c>
      <c r="BS596" t="n">
        <v>0.22</v>
      </c>
      <c r="CD596" t="n">
        <v>0.7</v>
      </c>
      <c r="CF596" t="n">
        <v>8</v>
      </c>
      <c r="CG596" t="n">
        <v>4.1</v>
      </c>
      <c r="CH596" t="n">
        <v>36.9</v>
      </c>
      <c r="CI596" t="n">
        <v>-28.7</v>
      </c>
      <c r="CJ596" t="n">
        <v>4.306953091600577</v>
      </c>
      <c r="CK596" t="n">
        <v>4.271235939214816</v>
      </c>
      <c r="EH596" t="n">
        <v>4.289</v>
      </c>
      <c r="ES596" t="n">
        <v>4.61</v>
      </c>
      <c r="FD596" t="n">
        <v>0.42</v>
      </c>
      <c r="FF596" t="n">
        <v>8</v>
      </c>
      <c r="FG596" t="n">
        <v>4.2</v>
      </c>
      <c r="FH596" t="n">
        <v>37.8</v>
      </c>
      <c r="FI596" t="n">
        <v>-29.4</v>
      </c>
      <c r="FJ596" t="n">
        <v>4.001471856658022</v>
      </c>
      <c r="FK596" t="n">
        <v>3.955496979771533</v>
      </c>
      <c r="HH596" t="n">
        <v>3.978</v>
      </c>
      <c r="HS596" t="n">
        <v>-5.27</v>
      </c>
      <c r="ID596" t="n">
        <v>0.58</v>
      </c>
      <c r="IF596" t="n">
        <v>8</v>
      </c>
      <c r="IG596" t="n">
        <v>7.5</v>
      </c>
      <c r="IH596" t="n">
        <v>67.5</v>
      </c>
      <c r="II596" t="n">
        <v>-52.5</v>
      </c>
      <c r="IJ596" t="n">
        <v>7.315879496710734</v>
      </c>
      <c r="IK596" t="n">
        <v>7.321707906170142</v>
      </c>
      <c r="KH596" t="n">
        <v>7.319</v>
      </c>
      <c r="KS596" t="n">
        <v>-2.42</v>
      </c>
      <c r="LD596" t="n">
        <v>0.04</v>
      </c>
    </row>
    <row r="597">
      <c r="A597" t="inlineStr">
        <is>
          <t>2026-04-14</t>
        </is>
      </c>
      <c r="B597" t="inlineStr">
        <is>
          <t>Avian &amp; Reptile 26</t>
        </is>
      </c>
      <c r="C597" t="inlineStr">
        <is>
          <t>206426041401</t>
        </is>
      </c>
      <c r="D597" t="inlineStr">
        <is>
          <t>ALP</t>
        </is>
      </c>
      <c r="F597" t="n">
        <v>20</v>
      </c>
      <c r="G597" t="n">
        <v>136</v>
      </c>
      <c r="H597" t="n">
        <v>2856</v>
      </c>
      <c r="I597" t="n">
        <v>-2584</v>
      </c>
      <c r="J597" t="n">
        <v>157.5337698818333</v>
      </c>
      <c r="K597" t="n">
        <v>156.4272525863446</v>
      </c>
      <c r="L597" t="n">
        <v>158.5499694489187</v>
      </c>
      <c r="M597" t="n">
        <v>154.9148289118852</v>
      </c>
      <c r="BH597" t="n">
        <v>156.856</v>
      </c>
      <c r="BS597" t="n">
        <v>15.34</v>
      </c>
      <c r="CD597" t="n">
        <v>0.86</v>
      </c>
      <c r="CF597" t="n">
        <v>20</v>
      </c>
      <c r="CG597" t="n">
        <v>456</v>
      </c>
      <c r="CH597" t="n">
        <v>9576</v>
      </c>
      <c r="CI597" t="n">
        <v>-8664</v>
      </c>
      <c r="CJ597" t="n">
        <v>518.6590033013772</v>
      </c>
      <c r="CK597" t="n">
        <v>522.8254879351599</v>
      </c>
      <c r="CL597" t="n">
        <v>516.8955214218506</v>
      </c>
      <c r="EH597" t="n">
        <v>519.46</v>
      </c>
      <c r="ES597" t="n">
        <v>13.92</v>
      </c>
      <c r="FD597" t="n">
        <v>0.48</v>
      </c>
      <c r="FF597" t="n">
        <v>20</v>
      </c>
      <c r="FG597" t="n">
        <v>75</v>
      </c>
      <c r="FH597" t="n">
        <v>1575</v>
      </c>
      <c r="FI597" t="n">
        <v>-1425</v>
      </c>
      <c r="FJ597" t="n">
        <v>80.59324659601678</v>
      </c>
      <c r="FK597" t="n">
        <v>80.15434926037224</v>
      </c>
      <c r="FL597" t="n">
        <v>80.03155149201075</v>
      </c>
      <c r="FM597" t="n">
        <v>80.22873427790617</v>
      </c>
      <c r="HH597" t="n">
        <v>80.252</v>
      </c>
      <c r="HS597" t="n">
        <v>7</v>
      </c>
      <c r="ID597" t="n">
        <v>0.26</v>
      </c>
      <c r="IF597" t="n">
        <v>20</v>
      </c>
      <c r="IG597" t="n">
        <v>251</v>
      </c>
      <c r="IH597" t="n">
        <v>5271</v>
      </c>
      <c r="II597" t="n">
        <v>-4769</v>
      </c>
      <c r="IJ597" t="n">
        <v>254.054503147457</v>
      </c>
      <c r="IK597" t="n">
        <v>257.5521794832908</v>
      </c>
      <c r="IL597" t="n">
        <v>260.5856951825465</v>
      </c>
      <c r="KH597" t="n">
        <v>257.397</v>
      </c>
      <c r="KS597" t="n">
        <v>2.55</v>
      </c>
      <c r="LD597" t="n">
        <v>1.04</v>
      </c>
    </row>
    <row r="598">
      <c r="A598" t="inlineStr">
        <is>
          <t>2026-04-14</t>
        </is>
      </c>
      <c r="B598" t="inlineStr">
        <is>
          <t>Avian &amp; Reptile 26</t>
        </is>
      </c>
      <c r="C598" t="inlineStr">
        <is>
          <t>206426041401</t>
        </is>
      </c>
      <c r="D598" t="inlineStr">
        <is>
          <t>BA</t>
        </is>
      </c>
      <c r="J598" t="n">
        <v>5.565278395613388</v>
      </c>
      <c r="K598" t="n">
        <v>5.25452896573254</v>
      </c>
      <c r="L598" t="n">
        <v>4.949573715583387</v>
      </c>
      <c r="M598" t="n">
        <v>5.613378253279302</v>
      </c>
      <c r="BH598" t="n">
        <v>5.346</v>
      </c>
      <c r="CD598" t="n">
        <v>4.99</v>
      </c>
      <c r="CJ598" t="n">
        <v>4.820365012374211</v>
      </c>
      <c r="CK598" t="n">
        <v>5.702233729939124</v>
      </c>
      <c r="CL598" t="n">
        <v>5.175492643439291</v>
      </c>
      <c r="EH598" t="n">
        <v>5.233</v>
      </c>
      <c r="FD598" t="n">
        <v>6.92</v>
      </c>
      <c r="FJ598" t="n">
        <v>14.44212908259097</v>
      </c>
      <c r="FK598" t="n">
        <v>13.85847162241788</v>
      </c>
      <c r="FL598" t="n">
        <v>13.75803447922602</v>
      </c>
      <c r="FM598" t="n">
        <v>14.40197982054368</v>
      </c>
      <c r="HH598" t="n">
        <v>14.115</v>
      </c>
      <c r="ID598" t="n">
        <v>2.19</v>
      </c>
      <c r="IJ598" t="n">
        <v>12.96445615218736</v>
      </c>
      <c r="IK598" t="n">
        <v>12.91481098687857</v>
      </c>
      <c r="IL598" t="n">
        <v>11.96919589066402</v>
      </c>
      <c r="KH598" t="n">
        <v>12.616</v>
      </c>
      <c r="LD598" t="n">
        <v>3.63</v>
      </c>
    </row>
    <row r="599">
      <c r="A599" t="inlineStr">
        <is>
          <t>2026-04-14</t>
        </is>
      </c>
      <c r="B599" t="inlineStr">
        <is>
          <t>Avian &amp; Reptile 26</t>
        </is>
      </c>
      <c r="C599" t="inlineStr">
        <is>
          <t>206426041401</t>
        </is>
      </c>
      <c r="D599" t="inlineStr">
        <is>
          <t>BUN</t>
        </is>
      </c>
      <c r="F599" t="n">
        <v>9</v>
      </c>
      <c r="G599" t="n">
        <v>14.8</v>
      </c>
      <c r="H599" t="n">
        <v>148</v>
      </c>
      <c r="I599" t="n">
        <v>-118.4</v>
      </c>
      <c r="J599" t="n">
        <v>13.86691338611534</v>
      </c>
      <c r="K599" t="n">
        <v>13.90587337021501</v>
      </c>
      <c r="L599" t="n">
        <v>14.43861513506912</v>
      </c>
      <c r="M599" t="n">
        <v>14.02996327188277</v>
      </c>
      <c r="BH599" t="n">
        <v>14.06</v>
      </c>
      <c r="BS599" t="n">
        <v>-5</v>
      </c>
      <c r="CD599" t="n">
        <v>1.61</v>
      </c>
      <c r="CF599" t="n">
        <v>9</v>
      </c>
      <c r="CG599" t="n">
        <v>44.7</v>
      </c>
      <c r="CH599" t="n">
        <v>447</v>
      </c>
      <c r="CI599" t="n">
        <v>-357.6</v>
      </c>
      <c r="CJ599" t="n">
        <v>43.26001475960392</v>
      </c>
      <c r="CK599" t="n">
        <v>43.05530653721191</v>
      </c>
      <c r="CL599" t="n">
        <v>43.77055762484417</v>
      </c>
      <c r="EH599" t="n">
        <v>43.362</v>
      </c>
      <c r="ES599" t="n">
        <v>-2.99</v>
      </c>
      <c r="FD599" t="n">
        <v>0.6899999999999999</v>
      </c>
      <c r="FF599" t="n">
        <v>9</v>
      </c>
      <c r="FG599" t="n">
        <v>14.7</v>
      </c>
      <c r="FH599" t="n">
        <v>147</v>
      </c>
      <c r="FI599" t="n">
        <v>-117.6</v>
      </c>
      <c r="FJ599" t="n">
        <v>14.2492519993911</v>
      </c>
      <c r="FK599" t="n">
        <v>14.52087676346888</v>
      </c>
      <c r="FL599" t="n">
        <v>14.44466290157425</v>
      </c>
      <c r="FM599" t="n">
        <v>14.70656557084031</v>
      </c>
      <c r="HH599" t="n">
        <v>14.48</v>
      </c>
      <c r="HS599" t="n">
        <v>-1.49</v>
      </c>
      <c r="ID599" t="n">
        <v>1.13</v>
      </c>
      <c r="IF599" t="n">
        <v>9</v>
      </c>
      <c r="IG599" t="n">
        <v>65.7</v>
      </c>
      <c r="IH599" t="n">
        <v>657</v>
      </c>
      <c r="II599" t="n">
        <v>-525.6</v>
      </c>
      <c r="IJ599" t="n">
        <v>61.31802180159212</v>
      </c>
      <c r="IK599" t="n">
        <v>62.36863149621901</v>
      </c>
      <c r="IL599" t="n">
        <v>62.86106580695476</v>
      </c>
      <c r="KH599" t="n">
        <v>62.183</v>
      </c>
      <c r="KS599" t="n">
        <v>-5.35</v>
      </c>
      <c r="LD599" t="n">
        <v>1.03</v>
      </c>
    </row>
    <row r="600">
      <c r="A600" t="inlineStr">
        <is>
          <t>2026-04-14</t>
        </is>
      </c>
      <c r="B600" t="inlineStr">
        <is>
          <t>Avian &amp; Reptile 26</t>
        </is>
      </c>
      <c r="C600" t="inlineStr">
        <is>
          <t>206426041401</t>
        </is>
      </c>
      <c r="D600" t="inlineStr">
        <is>
          <t>CHOL</t>
        </is>
      </c>
      <c r="F600" t="n">
        <v>10</v>
      </c>
      <c r="G600" t="n">
        <v>228</v>
      </c>
      <c r="H600" t="n">
        <v>2508</v>
      </c>
      <c r="I600" t="n">
        <v>-2052</v>
      </c>
      <c r="J600" t="n">
        <v>230.6266206733365</v>
      </c>
      <c r="K600" t="n">
        <v>231.5534755626055</v>
      </c>
      <c r="L600" t="n">
        <v>235.2998186952484</v>
      </c>
      <c r="M600" t="n">
        <v>227.5787868197111</v>
      </c>
      <c r="BH600" t="n">
        <v>231.265</v>
      </c>
      <c r="BS600" t="n">
        <v>1.43</v>
      </c>
      <c r="CD600" t="n">
        <v>1.19</v>
      </c>
      <c r="CF600" t="n">
        <v>10</v>
      </c>
      <c r="CG600" t="n">
        <v>99</v>
      </c>
      <c r="CH600" t="n">
        <v>1089</v>
      </c>
      <c r="CI600" t="n">
        <v>-891</v>
      </c>
      <c r="CJ600" t="n">
        <v>99.02144403675702</v>
      </c>
      <c r="CK600" t="n">
        <v>98.49253938659426</v>
      </c>
      <c r="CL600" t="n">
        <v>100.3922043980344</v>
      </c>
      <c r="EH600" t="n">
        <v>99.30200000000001</v>
      </c>
      <c r="ES600" t="n">
        <v>0.31</v>
      </c>
      <c r="FD600" t="n">
        <v>0.8100000000000001</v>
      </c>
      <c r="FF600" t="n">
        <v>10</v>
      </c>
      <c r="FG600" t="n">
        <v>115</v>
      </c>
      <c r="FH600" t="n">
        <v>1265</v>
      </c>
      <c r="FI600" t="n">
        <v>-1035</v>
      </c>
      <c r="FJ600" t="n">
        <v>112.2798892185483</v>
      </c>
      <c r="FK600" t="n">
        <v>114.2659857336837</v>
      </c>
      <c r="FL600" t="n">
        <v>112.6454194542132</v>
      </c>
      <c r="FM600" t="n">
        <v>113.1135344880809</v>
      </c>
      <c r="HH600" t="n">
        <v>113.076</v>
      </c>
      <c r="HS600" t="n">
        <v>-1.67</v>
      </c>
      <c r="ID600" t="n">
        <v>0.66</v>
      </c>
      <c r="IF600" t="n">
        <v>10</v>
      </c>
      <c r="IG600" t="n">
        <v>269</v>
      </c>
      <c r="IH600" t="n">
        <v>2959</v>
      </c>
      <c r="II600" t="n">
        <v>-2421</v>
      </c>
      <c r="IJ600" t="n">
        <v>262.4062981638691</v>
      </c>
      <c r="IK600" t="n">
        <v>261.5053343934062</v>
      </c>
      <c r="IL600" t="n">
        <v>267.2615345987974</v>
      </c>
      <c r="KH600" t="n">
        <v>263.724</v>
      </c>
      <c r="KS600" t="n">
        <v>-1.96</v>
      </c>
      <c r="LD600" t="n">
        <v>0.96</v>
      </c>
    </row>
    <row r="601">
      <c r="A601" t="inlineStr">
        <is>
          <t>2026-04-14</t>
        </is>
      </c>
      <c r="B601" t="inlineStr">
        <is>
          <t>Avian &amp; Reptile 26</t>
        </is>
      </c>
      <c r="C601" t="inlineStr">
        <is>
          <t>206426041401</t>
        </is>
      </c>
      <c r="D601" t="inlineStr">
        <is>
          <t>GGT</t>
        </is>
      </c>
      <c r="F601" t="n">
        <v>15</v>
      </c>
      <c r="G601" t="n">
        <v>57</v>
      </c>
      <c r="H601" t="n">
        <v>912</v>
      </c>
      <c r="I601" t="n">
        <v>-798</v>
      </c>
      <c r="J601" t="n">
        <v>62.39434836519165</v>
      </c>
      <c r="K601" t="n">
        <v>59.48801931417981</v>
      </c>
      <c r="L601" t="n">
        <v>60.65266736733298</v>
      </c>
      <c r="M601" t="n">
        <v>60.38477043270967</v>
      </c>
      <c r="BH601" t="n">
        <v>60.73</v>
      </c>
      <c r="BS601" t="n">
        <v>6.54</v>
      </c>
      <c r="CD601" t="n">
        <v>1.73</v>
      </c>
      <c r="CF601" t="n">
        <v>15</v>
      </c>
      <c r="CG601" t="n">
        <v>164</v>
      </c>
      <c r="CH601" t="n">
        <v>2624</v>
      </c>
      <c r="CI601" t="n">
        <v>-2296</v>
      </c>
      <c r="CJ601" t="n">
        <v>173.7605473612462</v>
      </c>
      <c r="CK601" t="n">
        <v>170.6915191351175</v>
      </c>
      <c r="CL601" t="n">
        <v>172.1050533777666</v>
      </c>
      <c r="EH601" t="n">
        <v>172.186</v>
      </c>
      <c r="ES601" t="n">
        <v>4.99</v>
      </c>
      <c r="FD601" t="n">
        <v>0.73</v>
      </c>
      <c r="FF601" t="n">
        <v>15</v>
      </c>
      <c r="FG601" t="n">
        <v>23</v>
      </c>
      <c r="FH601" t="n">
        <v>368</v>
      </c>
      <c r="FI601" t="n">
        <v>-322</v>
      </c>
      <c r="FJ601" t="n">
        <v>26.39972653841824</v>
      </c>
      <c r="FK601" t="n">
        <v>24.1772968018316</v>
      </c>
      <c r="FL601" t="n">
        <v>24.23193732372428</v>
      </c>
      <c r="FM601" t="n">
        <v>25.51854471932443</v>
      </c>
      <c r="HH601" t="n">
        <v>25.082</v>
      </c>
      <c r="HS601" t="n">
        <v>9.050000000000001</v>
      </c>
      <c r="ID601" t="n">
        <v>3.71</v>
      </c>
      <c r="IF601" t="n">
        <v>15</v>
      </c>
      <c r="IG601" t="n">
        <v>126</v>
      </c>
      <c r="IH601" t="n">
        <v>2016</v>
      </c>
      <c r="II601" t="n">
        <v>-1764</v>
      </c>
      <c r="IJ601" t="n">
        <v>133.3589821514274</v>
      </c>
      <c r="IK601" t="n">
        <v>130.5142786119957</v>
      </c>
      <c r="IL601" t="n">
        <v>132.0584074679847</v>
      </c>
      <c r="KH601" t="n">
        <v>131.977</v>
      </c>
      <c r="KS601" t="n">
        <v>4.74</v>
      </c>
      <c r="LD601" t="n">
        <v>0.88</v>
      </c>
    </row>
    <row r="602">
      <c r="A602" t="inlineStr">
        <is>
          <t>2026-04-14</t>
        </is>
      </c>
      <c r="B602" t="inlineStr">
        <is>
          <t>Avian &amp; Reptile 26</t>
        </is>
      </c>
      <c r="C602" t="inlineStr">
        <is>
          <t>206426041401</t>
        </is>
      </c>
      <c r="D602" t="inlineStr">
        <is>
          <t>K</t>
        </is>
      </c>
      <c r="G602" t="n">
        <v>3.9</v>
      </c>
      <c r="J602" t="n">
        <v>3.39401242378743</v>
      </c>
      <c r="K602" t="n">
        <v>3.330157869251056</v>
      </c>
      <c r="L602" t="n">
        <v>3.596979168191103</v>
      </c>
      <c r="M602" t="n">
        <v>3.379286292884919</v>
      </c>
      <c r="BH602" t="n">
        <v>3.425</v>
      </c>
      <c r="BS602" t="n">
        <v>-12.18</v>
      </c>
      <c r="CD602" t="n">
        <v>2.98</v>
      </c>
      <c r="CG602" t="n">
        <v>6</v>
      </c>
      <c r="CJ602" t="n">
        <v>5.713469260743905</v>
      </c>
      <c r="CK602" t="n">
        <v>5.722743803547834</v>
      </c>
      <c r="CL602" t="n">
        <v>5.687646244410352</v>
      </c>
      <c r="EH602" t="n">
        <v>5.708</v>
      </c>
      <c r="ES602" t="n">
        <v>-4.87</v>
      </c>
      <c r="FD602" t="n">
        <v>0.26</v>
      </c>
      <c r="FG602" t="n">
        <v>2.2</v>
      </c>
      <c r="FJ602" t="n">
        <v>2.098888243182337</v>
      </c>
      <c r="FK602" t="n">
        <v>2.090615167788761</v>
      </c>
      <c r="FL602" t="n">
        <v>2.042601780560587</v>
      </c>
      <c r="FM602" t="n">
        <v>2.186733930056555</v>
      </c>
      <c r="HH602" t="n">
        <v>2.105</v>
      </c>
      <c r="HS602" t="n">
        <v>-4.33</v>
      </c>
      <c r="ID602" t="n">
        <v>2.47</v>
      </c>
      <c r="IG602" t="n">
        <v>8.4</v>
      </c>
      <c r="IJ602" t="n">
        <v>7.897211007556397</v>
      </c>
      <c r="IK602" t="n">
        <v>7.90328053629619</v>
      </c>
      <c r="IL602" t="n">
        <v>7.923675443522109</v>
      </c>
      <c r="KH602" t="n">
        <v>7.908</v>
      </c>
      <c r="KS602" t="n">
        <v>-5.86</v>
      </c>
      <c r="LD602" t="n">
        <v>0.14</v>
      </c>
    </row>
    <row r="603">
      <c r="A603" t="inlineStr">
        <is>
          <t>2026-04-14</t>
        </is>
      </c>
      <c r="B603" t="inlineStr">
        <is>
          <t>Avian &amp; Reptile 26</t>
        </is>
      </c>
      <c r="C603" t="inlineStr">
        <is>
          <t>206426041401</t>
        </is>
      </c>
      <c r="D603" t="inlineStr">
        <is>
          <t>LDH</t>
        </is>
      </c>
      <c r="F603" t="n">
        <v>15</v>
      </c>
      <c r="J603" t="n">
        <v>264.5013782273318</v>
      </c>
      <c r="K603" t="n">
        <v>268.0477081259804</v>
      </c>
      <c r="L603" t="n">
        <v>274.2469833819443</v>
      </c>
      <c r="M603" t="n">
        <v>257.8941507670076</v>
      </c>
      <c r="BH603" t="n">
        <v>266.173</v>
      </c>
      <c r="CD603" t="n">
        <v>2.22</v>
      </c>
      <c r="CF603" t="n">
        <v>15</v>
      </c>
      <c r="CJ603" t="n">
        <v>665.243296034379</v>
      </c>
      <c r="CK603" t="n">
        <v>679.0203035035933</v>
      </c>
      <c r="CL603" t="n">
        <v>657.6703993731256</v>
      </c>
      <c r="EH603" t="n">
        <v>667.311</v>
      </c>
      <c r="FD603" t="n">
        <v>1.32</v>
      </c>
      <c r="FF603" t="n">
        <v>15</v>
      </c>
      <c r="FJ603" t="n">
        <v>190.2084226355094</v>
      </c>
      <c r="FK603" t="n">
        <v>186.7129640680114</v>
      </c>
      <c r="FL603" t="n">
        <v>185.6288800392912</v>
      </c>
      <c r="FM603" t="n">
        <v>173.4031046802704</v>
      </c>
      <c r="HH603" t="n">
        <v>183.988</v>
      </c>
      <c r="ID603" t="n">
        <v>3.45</v>
      </c>
      <c r="IF603" t="n">
        <v>15</v>
      </c>
      <c r="IJ603" t="n">
        <v>793.5450272608664</v>
      </c>
      <c r="IK603" t="n">
        <v>788.6073641094698</v>
      </c>
      <c r="IL603" t="n">
        <v>790.2253659274568</v>
      </c>
      <c r="KH603" t="n">
        <v>790.793</v>
      </c>
      <c r="LD603" t="n">
        <v>0.26</v>
      </c>
    </row>
    <row r="604">
      <c r="A604" t="inlineStr">
        <is>
          <t>2026-04-14</t>
        </is>
      </c>
      <c r="B604" t="inlineStr">
        <is>
          <t>Avian &amp; Reptile 26</t>
        </is>
      </c>
      <c r="C604" t="inlineStr">
        <is>
          <t>206426041401</t>
        </is>
      </c>
      <c r="D604" t="inlineStr">
        <is>
          <t>Na</t>
        </is>
      </c>
      <c r="G604" t="n">
        <v>141</v>
      </c>
      <c r="J604" t="n">
        <v>154.6148120741784</v>
      </c>
      <c r="K604" t="n">
        <v>153.3881173515354</v>
      </c>
      <c r="L604" t="n">
        <v>156.7464432791483</v>
      </c>
      <c r="M604" t="n">
        <v>151.712890473033</v>
      </c>
      <c r="BH604" t="n">
        <v>154.116</v>
      </c>
      <c r="BS604" t="n">
        <v>9.300000000000001</v>
      </c>
      <c r="CD604" t="n">
        <v>1.19</v>
      </c>
      <c r="CG604" t="n">
        <v>129</v>
      </c>
      <c r="CJ604" t="n">
        <v>142.2947541932359</v>
      </c>
      <c r="CK604" t="n">
        <v>141.3506117626366</v>
      </c>
      <c r="CL604" t="n">
        <v>141.8332244420977</v>
      </c>
      <c r="EH604" t="n">
        <v>141.826</v>
      </c>
      <c r="ES604" t="n">
        <v>9.94</v>
      </c>
      <c r="FD604" t="n">
        <v>0.27</v>
      </c>
      <c r="FG604" t="n">
        <v>118</v>
      </c>
      <c r="FJ604" t="n">
        <v>128.8935776554377</v>
      </c>
      <c r="FK604" t="n">
        <v>131.2924189323903</v>
      </c>
      <c r="FL604" t="n">
        <v>128.9447551146812</v>
      </c>
      <c r="FM604" t="n">
        <v>129.2336563197996</v>
      </c>
      <c r="HH604" t="n">
        <v>129.591</v>
      </c>
      <c r="HS604" t="n">
        <v>9.82</v>
      </c>
      <c r="ID604" t="n">
        <v>0.76</v>
      </c>
      <c r="IG604" t="n">
        <v>166</v>
      </c>
      <c r="IJ604" t="n">
        <v>177.036916446088</v>
      </c>
      <c r="IK604" t="n">
        <v>169.6943257185857</v>
      </c>
      <c r="IL604" t="n">
        <v>172.5690664566569</v>
      </c>
      <c r="KH604" t="n">
        <v>173.1</v>
      </c>
      <c r="KS604" t="n">
        <v>4.28</v>
      </c>
      <c r="LD604" t="n">
        <v>1.75</v>
      </c>
    </row>
    <row r="605">
      <c r="A605" t="inlineStr">
        <is>
          <t>2026-04-14</t>
        </is>
      </c>
      <c r="B605" t="inlineStr">
        <is>
          <t>Equine 26</t>
        </is>
      </c>
      <c r="C605" t="inlineStr">
        <is>
          <t>206026041401</t>
        </is>
      </c>
      <c r="D605" t="inlineStr">
        <is>
          <t>ALP</t>
        </is>
      </c>
      <c r="F605" t="n">
        <v>20</v>
      </c>
      <c r="G605" t="n">
        <v>136</v>
      </c>
      <c r="H605" t="n">
        <v>2856</v>
      </c>
      <c r="I605" t="n">
        <v>-2584</v>
      </c>
      <c r="J605" t="n">
        <v>161.309677831649</v>
      </c>
      <c r="K605" t="n">
        <v>161.9736532476932</v>
      </c>
      <c r="L605" t="n">
        <v>162.1567444039133</v>
      </c>
      <c r="BH605" t="n">
        <v>161.813</v>
      </c>
      <c r="BS605" t="n">
        <v>18.98</v>
      </c>
      <c r="CD605" t="n">
        <v>0.22</v>
      </c>
      <c r="CF605" t="n">
        <v>20</v>
      </c>
      <c r="CG605" t="n">
        <v>456</v>
      </c>
      <c r="CH605" t="n">
        <v>9576</v>
      </c>
      <c r="CI605" t="n">
        <v>-8664</v>
      </c>
      <c r="CJ605" t="n">
        <v>541.9205778258128</v>
      </c>
      <c r="CK605" t="n">
        <v>528.2234910702078</v>
      </c>
      <c r="CL605" t="n">
        <v>527.039206726969</v>
      </c>
      <c r="EH605" t="n">
        <v>532.394</v>
      </c>
      <c r="ES605" t="n">
        <v>16.75</v>
      </c>
      <c r="FD605" t="n">
        <v>1.27</v>
      </c>
      <c r="FF605" t="n">
        <v>20</v>
      </c>
      <c r="FG605" t="n">
        <v>75</v>
      </c>
      <c r="FH605" t="n">
        <v>1575</v>
      </c>
      <c r="FI605" t="n">
        <v>-1425</v>
      </c>
      <c r="FJ605" t="n">
        <v>82.24253802134218</v>
      </c>
      <c r="FK605" t="n">
        <v>82.38338590244966</v>
      </c>
      <c r="FL605" t="n">
        <v>81.80446827206666</v>
      </c>
      <c r="HH605" t="n">
        <v>82.143</v>
      </c>
      <c r="HS605" t="n">
        <v>9.52</v>
      </c>
      <c r="ID605" t="n">
        <v>0.3</v>
      </c>
      <c r="IF605" t="n">
        <v>20</v>
      </c>
      <c r="IG605" t="n">
        <v>251</v>
      </c>
      <c r="IH605" t="n">
        <v>5271</v>
      </c>
      <c r="II605" t="n">
        <v>-4769</v>
      </c>
      <c r="IJ605" t="n">
        <v>264.3012083668148</v>
      </c>
      <c r="IK605" t="n">
        <v>259.8286426157363</v>
      </c>
      <c r="IL605" t="n">
        <v>256.7569948250381</v>
      </c>
      <c r="KH605" t="n">
        <v>260.296</v>
      </c>
      <c r="KS605" t="n">
        <v>3.7</v>
      </c>
      <c r="LD605" t="n">
        <v>1.19</v>
      </c>
    </row>
    <row r="606">
      <c r="A606" t="inlineStr">
        <is>
          <t>2026-04-14</t>
        </is>
      </c>
      <c r="B606" t="inlineStr">
        <is>
          <t>Equine 26</t>
        </is>
      </c>
      <c r="C606" t="inlineStr">
        <is>
          <t>206026041401</t>
        </is>
      </c>
      <c r="D606" t="inlineStr">
        <is>
          <t>CREA</t>
        </is>
      </c>
      <c r="F606" t="n">
        <v>10</v>
      </c>
      <c r="G606" t="n">
        <v>1.5</v>
      </c>
      <c r="H606" t="n">
        <v>16.5</v>
      </c>
      <c r="I606" t="n">
        <v>-13.5</v>
      </c>
      <c r="J606" t="n">
        <v>1.348155728004186</v>
      </c>
      <c r="K606" t="n">
        <v>1.332594299024344</v>
      </c>
      <c r="L606" t="n">
        <v>1.400166134023112</v>
      </c>
      <c r="BH606" t="n">
        <v>1.36</v>
      </c>
      <c r="BS606" t="n">
        <v>-9.31</v>
      </c>
      <c r="CD606" t="n">
        <v>2.12</v>
      </c>
      <c r="CF606" t="n">
        <v>10</v>
      </c>
      <c r="CG606" t="n">
        <v>5.55</v>
      </c>
      <c r="CH606" t="n">
        <v>61.05</v>
      </c>
      <c r="CI606" t="n">
        <v>-49.95</v>
      </c>
      <c r="CJ606" t="n">
        <v>4.815493272003926</v>
      </c>
      <c r="CK606" t="n">
        <v>4.766200093459952</v>
      </c>
      <c r="CL606" t="n">
        <v>4.872699837201626</v>
      </c>
      <c r="EH606" t="n">
        <v>4.818</v>
      </c>
      <c r="ES606" t="n">
        <v>-13.19</v>
      </c>
      <c r="FD606" t="n">
        <v>0.9</v>
      </c>
      <c r="FF606" t="n">
        <v>10</v>
      </c>
      <c r="FG606" t="n">
        <v>0.97</v>
      </c>
      <c r="FH606" t="n">
        <v>10.67</v>
      </c>
      <c r="FI606" t="n">
        <v>-8.73</v>
      </c>
      <c r="FJ606" t="n">
        <v>0.7159358266146746</v>
      </c>
      <c r="FK606" t="n">
        <v>0.7609535573913508</v>
      </c>
      <c r="FL606" t="n">
        <v>0.7835464806580001</v>
      </c>
      <c r="HH606" t="n">
        <v>0.753</v>
      </c>
      <c r="HS606" t="n">
        <v>-22.32</v>
      </c>
      <c r="ID606" t="n">
        <v>3.73</v>
      </c>
      <c r="IF606" t="n">
        <v>10</v>
      </c>
      <c r="IG606" t="n">
        <v>5.95</v>
      </c>
      <c r="IH606" t="n">
        <v>65.45</v>
      </c>
      <c r="II606" t="n">
        <v>-53.55</v>
      </c>
      <c r="IJ606" t="n">
        <v>5.162163830539696</v>
      </c>
      <c r="IK606" t="n">
        <v>5.424682820216667</v>
      </c>
      <c r="IL606" t="n">
        <v>5.562011484169072</v>
      </c>
      <c r="KH606" t="n">
        <v>5.383</v>
      </c>
      <c r="KS606" t="n">
        <v>-9.529999999999999</v>
      </c>
      <c r="LD606" t="n">
        <v>3.08</v>
      </c>
    </row>
    <row r="607">
      <c r="A607" t="inlineStr">
        <is>
          <t>2026-04-14</t>
        </is>
      </c>
      <c r="B607" t="inlineStr">
        <is>
          <t>Equine 26</t>
        </is>
      </c>
      <c r="C607" t="inlineStr">
        <is>
          <t>206026041401</t>
        </is>
      </c>
      <c r="D607" t="inlineStr">
        <is>
          <t>Ca</t>
        </is>
      </c>
      <c r="G607" t="n">
        <v>9.1</v>
      </c>
      <c r="J607" t="n">
        <v>9.598077201879184</v>
      </c>
      <c r="K607" t="n">
        <v>9.707922269470586</v>
      </c>
      <c r="L607" t="n">
        <v>10.011323766547</v>
      </c>
      <c r="BH607" t="n">
        <v>9.772</v>
      </c>
      <c r="BS607" t="n">
        <v>7.39</v>
      </c>
      <c r="CD607" t="n">
        <v>1.79</v>
      </c>
      <c r="CG607" t="n">
        <v>12.4</v>
      </c>
      <c r="CJ607" t="n">
        <v>12.98343003031363</v>
      </c>
      <c r="CK607" t="n">
        <v>12.80469256960517</v>
      </c>
      <c r="CL607" t="n">
        <v>12.70818490589714</v>
      </c>
      <c r="EH607" t="n">
        <v>12.832</v>
      </c>
      <c r="ES607" t="n">
        <v>3.48</v>
      </c>
      <c r="FD607" t="n">
        <v>0.89</v>
      </c>
      <c r="FG607" t="n">
        <v>5.9</v>
      </c>
      <c r="FJ607" t="n">
        <v>6.037123928623297</v>
      </c>
      <c r="FK607" t="n">
        <v>6.354025950143741</v>
      </c>
      <c r="FL607" t="n">
        <v>6.105363325294212</v>
      </c>
      <c r="HH607" t="n">
        <v>6.166</v>
      </c>
      <c r="HS607" t="n">
        <v>4.5</v>
      </c>
      <c r="ID607" t="n">
        <v>2.21</v>
      </c>
      <c r="IG607" t="n">
        <v>12.7</v>
      </c>
      <c r="IJ607" t="n">
        <v>12.70283690067039</v>
      </c>
      <c r="IK607" t="n">
        <v>12.44789283141742</v>
      </c>
      <c r="IL607" t="n">
        <v>12.38533873965803</v>
      </c>
      <c r="KH607" t="n">
        <v>12.512</v>
      </c>
      <c r="KS607" t="n">
        <v>-1.48</v>
      </c>
      <c r="LD607" t="n">
        <v>1.1</v>
      </c>
    </row>
    <row r="608">
      <c r="A608" t="inlineStr">
        <is>
          <t>2026-04-14</t>
        </is>
      </c>
      <c r="B608" t="inlineStr">
        <is>
          <t>Equine 26</t>
        </is>
      </c>
      <c r="C608" t="inlineStr">
        <is>
          <t>206026041401</t>
        </is>
      </c>
      <c r="D608" t="inlineStr">
        <is>
          <t>K</t>
        </is>
      </c>
      <c r="G608" t="n">
        <v>3.9</v>
      </c>
      <c r="J608" t="n">
        <v>3.629966868189753</v>
      </c>
      <c r="K608" t="n">
        <v>3.766767782076481</v>
      </c>
      <c r="L608" t="n">
        <v>3.985761647092483</v>
      </c>
      <c r="BH608" t="n">
        <v>3.794</v>
      </c>
      <c r="BS608" t="n">
        <v>-2.71</v>
      </c>
      <c r="CD608" t="n">
        <v>3.86</v>
      </c>
      <c r="CG608" t="n">
        <v>6</v>
      </c>
      <c r="CJ608" t="n">
        <v>5.940380249354309</v>
      </c>
      <c r="CK608" t="n">
        <v>5.911321293153229</v>
      </c>
      <c r="CL608" t="n">
        <v>5.92675938294332</v>
      </c>
      <c r="EH608" t="n">
        <v>5.926</v>
      </c>
      <c r="ES608" t="n">
        <v>-1.23</v>
      </c>
      <c r="FD608" t="n">
        <v>0.2</v>
      </c>
      <c r="FG608" t="n">
        <v>2.2</v>
      </c>
      <c r="FJ608" t="n">
        <v>2.265437678104403</v>
      </c>
      <c r="FK608" t="n">
        <v>2.406278676788379</v>
      </c>
      <c r="FL608" t="n">
        <v>2.397034123076369</v>
      </c>
      <c r="HH608" t="n">
        <v>2.356</v>
      </c>
      <c r="HS608" t="n">
        <v>7.1</v>
      </c>
      <c r="ID608" t="n">
        <v>2.73</v>
      </c>
      <c r="IG608" t="n">
        <v>8.4</v>
      </c>
      <c r="IJ608" t="n">
        <v>8.274404065778743</v>
      </c>
      <c r="IK608" t="n">
        <v>7.879249117680017</v>
      </c>
      <c r="IL608" t="n">
        <v>7.991601779296808</v>
      </c>
      <c r="KH608" t="n">
        <v>8.048</v>
      </c>
      <c r="KS608" t="n">
        <v>-4.19</v>
      </c>
      <c r="LD608" t="n">
        <v>2.07</v>
      </c>
    </row>
    <row r="609">
      <c r="A609" t="inlineStr">
        <is>
          <t>2026-04-14</t>
        </is>
      </c>
      <c r="B609" t="inlineStr">
        <is>
          <t>Equine 26</t>
        </is>
      </c>
      <c r="C609" t="inlineStr">
        <is>
          <t>206026041401</t>
        </is>
      </c>
      <c r="D609" t="inlineStr">
        <is>
          <t>Na</t>
        </is>
      </c>
      <c r="G609" t="n">
        <v>141</v>
      </c>
      <c r="J609" t="n">
        <v>154.7124461527278</v>
      </c>
      <c r="K609" t="n">
        <v>159.6716376312932</v>
      </c>
      <c r="L609" t="n">
        <v>160.915369999038</v>
      </c>
      <c r="BH609" t="n">
        <v>158.433</v>
      </c>
      <c r="BS609" t="n">
        <v>12.36</v>
      </c>
      <c r="CD609" t="n">
        <v>1.69</v>
      </c>
      <c r="CG609" t="n">
        <v>129</v>
      </c>
      <c r="CJ609" t="n">
        <v>144.6440013380912</v>
      </c>
      <c r="CK609" t="n">
        <v>144.7344463694446</v>
      </c>
      <c r="CL609" t="n">
        <v>143.4020107685583</v>
      </c>
      <c r="EH609" t="n">
        <v>144.26</v>
      </c>
      <c r="ES609" t="n">
        <v>11.83</v>
      </c>
      <c r="FD609" t="n">
        <v>0.42</v>
      </c>
      <c r="FG609" t="n">
        <v>118</v>
      </c>
      <c r="FJ609" t="n">
        <v>131.5320663442016</v>
      </c>
      <c r="FK609" t="n">
        <v>132.4033463234145</v>
      </c>
      <c r="FL609" t="n">
        <v>132.7146334841723</v>
      </c>
      <c r="HH609" t="n">
        <v>132.217</v>
      </c>
      <c r="HS609" t="n">
        <v>12.05</v>
      </c>
      <c r="ID609" t="n">
        <v>0.38</v>
      </c>
      <c r="IG609" t="n">
        <v>166</v>
      </c>
      <c r="IJ609" t="n">
        <v>180.0572337580587</v>
      </c>
      <c r="IK609" t="n">
        <v>178.5192524066307</v>
      </c>
      <c r="IL609" t="n">
        <v>176.8487196149794</v>
      </c>
      <c r="KH609" t="n">
        <v>178.475</v>
      </c>
      <c r="KS609" t="n">
        <v>7.52</v>
      </c>
      <c r="LD609" t="n">
        <v>0.73</v>
      </c>
    </row>
    <row r="610">
      <c r="A610" t="inlineStr">
        <is>
          <t>2026-04-14</t>
        </is>
      </c>
      <c r="B610" t="inlineStr">
        <is>
          <t>Equine 26</t>
        </is>
      </c>
      <c r="C610" t="inlineStr">
        <is>
          <t>206026041401</t>
        </is>
      </c>
      <c r="D610" t="inlineStr">
        <is>
          <t>PHOS</t>
        </is>
      </c>
      <c r="F610" t="n">
        <v>10</v>
      </c>
      <c r="G610" t="n">
        <v>3.3</v>
      </c>
      <c r="H610" t="n">
        <v>36.3</v>
      </c>
      <c r="I610" t="n">
        <v>-29.7</v>
      </c>
      <c r="J610" t="n">
        <v>3.119350767638608</v>
      </c>
      <c r="K610" t="n">
        <v>3.156585314795846</v>
      </c>
      <c r="L610" t="n">
        <v>3.156415528363844</v>
      </c>
      <c r="BH610" t="n">
        <v>3.144</v>
      </c>
      <c r="BS610" t="n">
        <v>-4.72</v>
      </c>
      <c r="CD610" t="n">
        <v>0.5600000000000001</v>
      </c>
      <c r="CF610" t="n">
        <v>10</v>
      </c>
      <c r="CG610" t="n">
        <v>7.2</v>
      </c>
      <c r="CH610" t="n">
        <v>79.2</v>
      </c>
      <c r="CI610" t="n">
        <v>-64.8</v>
      </c>
      <c r="CJ610" t="n">
        <v>7.010212917086255</v>
      </c>
      <c r="CK610" t="n">
        <v>6.912287171626916</v>
      </c>
      <c r="CL610" t="n">
        <v>6.978755361513263</v>
      </c>
      <c r="EH610" t="n">
        <v>6.967</v>
      </c>
      <c r="ES610" t="n">
        <v>-3.23</v>
      </c>
      <c r="FD610" t="n">
        <v>0.59</v>
      </c>
      <c r="FF610" t="n">
        <v>10</v>
      </c>
      <c r="FG610" t="n">
        <v>1.9</v>
      </c>
      <c r="FH610" t="n">
        <v>20.9</v>
      </c>
      <c r="FI610" t="n">
        <v>-17.1</v>
      </c>
      <c r="FJ610" t="n">
        <v>1.884674597961713</v>
      </c>
      <c r="FK610" t="n">
        <v>2.020503330000323</v>
      </c>
      <c r="FL610" t="n">
        <v>1.924977497047378</v>
      </c>
      <c r="HH610" t="n">
        <v>1.943</v>
      </c>
      <c r="HS610" t="n">
        <v>2.28</v>
      </c>
      <c r="ID610" t="n">
        <v>2.93</v>
      </c>
      <c r="IF610" t="n">
        <v>10</v>
      </c>
      <c r="IG610" t="n">
        <v>7.2</v>
      </c>
      <c r="IH610" t="n">
        <v>79.2</v>
      </c>
      <c r="II610" t="n">
        <v>-64.8</v>
      </c>
      <c r="IJ610" t="n">
        <v>7.0016610625298</v>
      </c>
      <c r="IK610" t="n">
        <v>6.919262992975789</v>
      </c>
      <c r="IL610" t="n">
        <v>6.961899232112598</v>
      </c>
      <c r="KH610" t="n">
        <v>6.961</v>
      </c>
      <c r="KS610" t="n">
        <v>-3.32</v>
      </c>
      <c r="LD610" t="n">
        <v>0.48</v>
      </c>
    </row>
    <row r="611">
      <c r="A611" t="inlineStr">
        <is>
          <t>2026-04-14</t>
        </is>
      </c>
      <c r="B611" t="inlineStr">
        <is>
          <t>Equine 26</t>
        </is>
      </c>
      <c r="C611" t="inlineStr">
        <is>
          <t>206026041401</t>
        </is>
      </c>
      <c r="D611" t="inlineStr">
        <is>
          <t>TBIL</t>
        </is>
      </c>
      <c r="F611" t="n">
        <v>20</v>
      </c>
      <c r="G611" t="n">
        <v>1.1</v>
      </c>
      <c r="H611" t="n">
        <v>23.1</v>
      </c>
      <c r="I611" t="n">
        <v>-20.9</v>
      </c>
      <c r="J611" t="n">
        <v>1.326419945931634</v>
      </c>
      <c r="K611" t="n">
        <v>1.428810260461534</v>
      </c>
      <c r="L611" t="n">
        <v>1.378568173200823</v>
      </c>
      <c r="BH611" t="n">
        <v>1.378</v>
      </c>
      <c r="BS611" t="n">
        <v>25.27</v>
      </c>
      <c r="CD611" t="n">
        <v>3.03</v>
      </c>
      <c r="CF611" t="n">
        <v>20</v>
      </c>
      <c r="CG611" t="n">
        <v>5.1</v>
      </c>
      <c r="CH611" t="n">
        <v>107.1</v>
      </c>
      <c r="CI611" t="n">
        <v>-96.89999999999999</v>
      </c>
      <c r="CJ611" t="n">
        <v>5.138689745505923</v>
      </c>
      <c r="CK611" t="n">
        <v>5.049254945830517</v>
      </c>
      <c r="CL611" t="n">
        <v>5.069971815210012</v>
      </c>
      <c r="EH611" t="n">
        <v>5.086</v>
      </c>
      <c r="ES611" t="n">
        <v>-0.28</v>
      </c>
      <c r="FD611" t="n">
        <v>0.75</v>
      </c>
      <c r="FF611" t="n">
        <v>20</v>
      </c>
      <c r="FG611" t="n">
        <v>0.8</v>
      </c>
      <c r="FH611" t="n">
        <v>16.8</v>
      </c>
      <c r="FI611" t="n">
        <v>-15.2</v>
      </c>
      <c r="FJ611" t="n">
        <v>0.7761222855020584</v>
      </c>
      <c r="FK611" t="n">
        <v>0.8039415577672466</v>
      </c>
      <c r="FL611" t="n">
        <v>0.7855664617633753</v>
      </c>
      <c r="HH611" t="n">
        <v>0.789</v>
      </c>
      <c r="HS611" t="n">
        <v>-1.43</v>
      </c>
      <c r="ID611" t="n">
        <v>1.46</v>
      </c>
      <c r="IF611" t="n">
        <v>20</v>
      </c>
      <c r="IG611" t="n">
        <v>8.4</v>
      </c>
      <c r="IH611" t="n">
        <v>176.4</v>
      </c>
      <c r="II611" t="n">
        <v>-159.6</v>
      </c>
      <c r="IJ611" t="n">
        <v>8.323326913497569</v>
      </c>
      <c r="IK611" t="n">
        <v>8.213175589554947</v>
      </c>
      <c r="IL611" t="n">
        <v>8.247998956829086</v>
      </c>
      <c r="KH611" t="n">
        <v>8.262</v>
      </c>
      <c r="KS611" t="n">
        <v>-1.65</v>
      </c>
      <c r="LD611" t="n">
        <v>0.5600000000000001</v>
      </c>
    </row>
    <row r="612">
      <c r="A612" t="inlineStr">
        <is>
          <t>2026-04-14</t>
        </is>
      </c>
      <c r="B612" t="inlineStr">
        <is>
          <t>Avian &amp; Reptile 26</t>
        </is>
      </c>
      <c r="C612" t="inlineStr">
        <is>
          <t>106326041401</t>
        </is>
      </c>
      <c r="D612" t="inlineStr">
        <is>
          <t>ALB</t>
        </is>
      </c>
      <c r="F612" t="n">
        <v>8</v>
      </c>
      <c r="G612" t="n">
        <v>4.2</v>
      </c>
      <c r="H612" t="n">
        <v>37.8</v>
      </c>
      <c r="I612" t="n">
        <v>-29.4</v>
      </c>
      <c r="J612" t="n">
        <v>4.296247084418418</v>
      </c>
      <c r="K612" t="n">
        <v>-1.985543739062676</v>
      </c>
      <c r="L612" t="n">
        <v>4.339326550595857</v>
      </c>
      <c r="M612" t="n">
        <v>-1.982931184455137</v>
      </c>
      <c r="N612" t="n">
        <v>4.32375260231677</v>
      </c>
      <c r="O612" t="n">
        <v>4.324559078287855</v>
      </c>
      <c r="P612" t="n">
        <v>4.290831745358803</v>
      </c>
      <c r="BH612" t="n">
        <v>2.515</v>
      </c>
      <c r="BS612" t="n">
        <v>-40.11</v>
      </c>
      <c r="CD612" t="n">
        <v>113.14</v>
      </c>
      <c r="CF612" t="n">
        <v>8</v>
      </c>
      <c r="CG612" t="n">
        <v>2.7</v>
      </c>
      <c r="CH612" t="n">
        <v>24.3</v>
      </c>
      <c r="CI612" t="n">
        <v>-18.9</v>
      </c>
      <c r="CJ612" t="n">
        <v>2.961080813689323</v>
      </c>
      <c r="CK612" t="n">
        <v>2.969407270400663</v>
      </c>
      <c r="CL612" t="n">
        <v>2.984161715158537</v>
      </c>
      <c r="CM612" t="n">
        <v>-2.002152057178983</v>
      </c>
      <c r="CN612" t="n">
        <v>-1.99897336408255</v>
      </c>
      <c r="CO612" t="n">
        <v>2.908601975295711</v>
      </c>
      <c r="EH612" t="n">
        <v>1.304</v>
      </c>
      <c r="ES612" t="n">
        <v>-51.72</v>
      </c>
      <c r="FD612" t="n">
        <v>179.23</v>
      </c>
      <c r="FF612" t="n">
        <v>8</v>
      </c>
      <c r="FG612" t="n">
        <v>2.6</v>
      </c>
      <c r="FH612" t="n">
        <v>23.4</v>
      </c>
      <c r="FI612" t="n">
        <v>-18.2</v>
      </c>
      <c r="FJ612" t="n">
        <v>2.753759792186596</v>
      </c>
      <c r="FK612" t="n">
        <v>-2.004930565146597</v>
      </c>
      <c r="FL612" t="n">
        <v>-2.001396439030068</v>
      </c>
      <c r="FM612" t="n">
        <v>2.78771384581117</v>
      </c>
      <c r="HH612" t="n">
        <v>0.384</v>
      </c>
      <c r="HS612" t="n">
        <v>-85.23999999999999</v>
      </c>
      <c r="ID612" t="n">
        <v>621.96</v>
      </c>
      <c r="IF612" t="n">
        <v>8</v>
      </c>
      <c r="IG612" t="n">
        <v>4.2</v>
      </c>
      <c r="IH612" t="n">
        <v>37.8</v>
      </c>
      <c r="II612" t="n">
        <v>-29.4</v>
      </c>
      <c r="IJ612" t="n">
        <v>-1.972036012084283</v>
      </c>
      <c r="IK612" t="n">
        <v>4.26459380697899</v>
      </c>
      <c r="KH612" t="n">
        <v>1.146</v>
      </c>
      <c r="KS612" t="n">
        <v>-72.70999999999999</v>
      </c>
      <c r="LD612" t="n">
        <v>272.04</v>
      </c>
    </row>
    <row r="613">
      <c r="A613" t="inlineStr">
        <is>
          <t>2026-04-14</t>
        </is>
      </c>
      <c r="B613" t="inlineStr">
        <is>
          <t>Avian &amp; Reptile 26</t>
        </is>
      </c>
      <c r="C613" t="inlineStr">
        <is>
          <t>106326041401</t>
        </is>
      </c>
      <c r="D613" t="inlineStr">
        <is>
          <t>AST</t>
        </is>
      </c>
      <c r="F613" t="n">
        <v>15</v>
      </c>
      <c r="G613" t="n">
        <v>44</v>
      </c>
      <c r="H613" t="n">
        <v>704</v>
      </c>
      <c r="I613" t="n">
        <v>-616</v>
      </c>
      <c r="J613" t="n">
        <v>42.4843218160252</v>
      </c>
      <c r="K613" t="n">
        <v>42.05058363678748</v>
      </c>
      <c r="L613" t="n">
        <v>40.8066850489941</v>
      </c>
      <c r="M613" t="n">
        <v>40.32185371648076</v>
      </c>
      <c r="N613" t="n">
        <v>41.42291067531976</v>
      </c>
      <c r="O613" t="n">
        <v>42.69506567935034</v>
      </c>
      <c r="P613" t="n">
        <v>42.34335139059233</v>
      </c>
      <c r="BH613" t="n">
        <v>41.732</v>
      </c>
      <c r="BS613" t="n">
        <v>-5.15</v>
      </c>
      <c r="CD613" t="n">
        <v>2.01</v>
      </c>
      <c r="CF613" t="n">
        <v>15</v>
      </c>
      <c r="CG613" t="n">
        <v>221</v>
      </c>
      <c r="CH613" t="n">
        <v>3536</v>
      </c>
      <c r="CI613" t="n">
        <v>-3094</v>
      </c>
      <c r="CJ613" t="n">
        <v>222.1335423571037</v>
      </c>
      <c r="CK613" t="n">
        <v>229.1095249180094</v>
      </c>
      <c r="CL613" t="n">
        <v>226.9028891371992</v>
      </c>
      <c r="CM613" t="n">
        <v>225.4765488332173</v>
      </c>
      <c r="CN613" t="n">
        <v>223.0895461285608</v>
      </c>
      <c r="CO613" t="n">
        <v>223.7240378954729</v>
      </c>
      <c r="EH613" t="n">
        <v>225.073</v>
      </c>
      <c r="ES613" t="n">
        <v>1.84</v>
      </c>
      <c r="FD613" t="n">
        <v>1.06</v>
      </c>
      <c r="FF613" t="n">
        <v>15</v>
      </c>
      <c r="FG613" t="n">
        <v>45</v>
      </c>
      <c r="FH613" t="n">
        <v>720</v>
      </c>
      <c r="FI613" t="n">
        <v>-630</v>
      </c>
      <c r="FJ613" t="n">
        <v>42.28347478936644</v>
      </c>
      <c r="FK613" t="n">
        <v>45.39505822136726</v>
      </c>
      <c r="FL613" t="n">
        <v>44.95145460136776</v>
      </c>
      <c r="FM613" t="n">
        <v>44.56798459083528</v>
      </c>
      <c r="HH613" t="n">
        <v>44.299</v>
      </c>
      <c r="HS613" t="n">
        <v>-1.56</v>
      </c>
      <c r="ID613" t="n">
        <v>2.71</v>
      </c>
      <c r="IF613" t="n">
        <v>15</v>
      </c>
      <c r="IG613" t="n">
        <v>282</v>
      </c>
      <c r="IH613" t="n">
        <v>4512</v>
      </c>
      <c r="II613" t="n">
        <v>-3948</v>
      </c>
      <c r="IJ613" t="n">
        <v>689.9432762484558</v>
      </c>
      <c r="IK613" t="n">
        <v>275.0582355066983</v>
      </c>
      <c r="IL613" t="n">
        <v>271.5361336096867</v>
      </c>
      <c r="KH613" t="n">
        <v>412.179</v>
      </c>
      <c r="KS613" t="n">
        <v>46.16</v>
      </c>
      <c r="LD613" t="n">
        <v>47.65</v>
      </c>
    </row>
    <row r="614">
      <c r="A614" t="inlineStr">
        <is>
          <t>2026-04-14</t>
        </is>
      </c>
      <c r="B614" t="inlineStr">
        <is>
          <t>Avian &amp; Reptile 26</t>
        </is>
      </c>
      <c r="C614" t="inlineStr">
        <is>
          <t>106326041401</t>
        </is>
      </c>
      <c r="D614" t="inlineStr">
        <is>
          <t>CK</t>
        </is>
      </c>
      <c r="F614" t="n">
        <v>20</v>
      </c>
      <c r="J614" t="n">
        <v>134.3490210485251</v>
      </c>
      <c r="K614" t="n">
        <v>150.5298197159039</v>
      </c>
      <c r="L614" t="n">
        <v>129.2641931864538</v>
      </c>
      <c r="M614" t="n">
        <v>142.1510454508804</v>
      </c>
      <c r="N614" t="n">
        <v>134.0800977906157</v>
      </c>
      <c r="O614" t="n">
        <v>141.5672547773998</v>
      </c>
      <c r="P614" t="n">
        <v>132.3944617303988</v>
      </c>
      <c r="BH614" t="n">
        <v>137.762</v>
      </c>
      <c r="CD614" t="n">
        <v>4.93</v>
      </c>
      <c r="CF614" t="n">
        <v>20</v>
      </c>
      <c r="CJ614" t="n">
        <v>478.7586275674355</v>
      </c>
      <c r="CK614" t="n">
        <v>507.2454521932432</v>
      </c>
      <c r="CL614" t="n">
        <v>497.3212930102527</v>
      </c>
      <c r="CM614" t="n">
        <v>474.1400945543782</v>
      </c>
      <c r="CN614" t="n">
        <v>491.6635027033465</v>
      </c>
      <c r="CO614" t="n">
        <v>473.395775679755</v>
      </c>
      <c r="EH614" t="n">
        <v>487.087</v>
      </c>
      <c r="FD614" t="n">
        <v>2.59</v>
      </c>
      <c r="FF614" t="n">
        <v>20</v>
      </c>
      <c r="FJ614" t="n">
        <v>60.86211590487157</v>
      </c>
      <c r="FK614" t="n">
        <v>83.45716022305473</v>
      </c>
      <c r="FL614" t="n">
        <v>69.90593233274971</v>
      </c>
      <c r="HH614" t="n">
        <v>71.408</v>
      </c>
      <c r="ID614" t="n">
        <v>13</v>
      </c>
      <c r="IF614" t="n">
        <v>20</v>
      </c>
      <c r="IJ614" t="n">
        <v>-8.479468366221258</v>
      </c>
      <c r="IK614" t="n">
        <v>564.1412030427718</v>
      </c>
      <c r="IL614" t="n">
        <v>572.7495283538922</v>
      </c>
      <c r="KH614" t="n">
        <v>376.137</v>
      </c>
      <c r="LD614" t="n">
        <v>72.31</v>
      </c>
    </row>
    <row r="615">
      <c r="A615" t="inlineStr">
        <is>
          <t>2026-04-14</t>
        </is>
      </c>
      <c r="B615" t="inlineStr">
        <is>
          <t>Avian &amp; Reptile 26</t>
        </is>
      </c>
      <c r="C615" t="inlineStr">
        <is>
          <t>106326041401</t>
        </is>
      </c>
      <c r="D615" t="inlineStr">
        <is>
          <t>Ca</t>
        </is>
      </c>
      <c r="G615" t="n">
        <v>9.1</v>
      </c>
      <c r="J615" t="n">
        <v>9.57850784010345</v>
      </c>
      <c r="K615" t="n">
        <v>9.514924974705748</v>
      </c>
      <c r="L615" t="n">
        <v>9.62243305917173</v>
      </c>
      <c r="M615" t="n">
        <v>9.487253768762498</v>
      </c>
      <c r="N615" t="n">
        <v>9.297122269602253</v>
      </c>
      <c r="O615" t="n">
        <v>9.314317360085965</v>
      </c>
      <c r="P615" t="n">
        <v>9.41515423373259</v>
      </c>
      <c r="BH615" t="n">
        <v>9.461</v>
      </c>
      <c r="BS615" t="n">
        <v>3.97</v>
      </c>
      <c r="CD615" t="n">
        <v>1.22</v>
      </c>
      <c r="CG615" t="n">
        <v>12.4</v>
      </c>
      <c r="CJ615" t="n">
        <v>13.03915586679342</v>
      </c>
      <c r="CK615" t="n">
        <v>12.63911979500296</v>
      </c>
      <c r="CL615" t="n">
        <v>12.45993136397206</v>
      </c>
      <c r="CM615" t="n">
        <v>12.56736219973362</v>
      </c>
      <c r="CN615" t="n">
        <v>12.57260445509886</v>
      </c>
      <c r="CO615" t="n">
        <v>12.66074445608499</v>
      </c>
      <c r="EH615" t="n">
        <v>12.656</v>
      </c>
      <c r="ES615" t="n">
        <v>2.07</v>
      </c>
      <c r="FD615" t="n">
        <v>1.44</v>
      </c>
      <c r="FG615" t="n">
        <v>5.9</v>
      </c>
      <c r="FJ615" t="n">
        <v>5.759641980111256</v>
      </c>
      <c r="FK615" t="n">
        <v>5.716170908512199</v>
      </c>
      <c r="FL615" t="n">
        <v>5.744318514596094</v>
      </c>
      <c r="FM615" t="n">
        <v>5.687256110516678</v>
      </c>
      <c r="HH615" t="n">
        <v>5.727</v>
      </c>
      <c r="HS615" t="n">
        <v>-2.93</v>
      </c>
      <c r="ID615" t="n">
        <v>0.48</v>
      </c>
      <c r="IG615" t="n">
        <v>12.7</v>
      </c>
      <c r="IJ615" t="n">
        <v>-4.794375168585167</v>
      </c>
      <c r="IK615" t="n">
        <v>12.43290146046632</v>
      </c>
      <c r="IL615" t="n">
        <v>12.51697531429707</v>
      </c>
      <c r="KH615" t="n">
        <v>6.719</v>
      </c>
      <c r="KS615" t="n">
        <v>-47.1</v>
      </c>
      <c r="LD615" t="n">
        <v>121.17</v>
      </c>
    </row>
    <row r="616">
      <c r="A616" t="inlineStr">
        <is>
          <t>2026-04-14</t>
        </is>
      </c>
      <c r="B616" t="inlineStr">
        <is>
          <t>Avian &amp; Reptile 26</t>
        </is>
      </c>
      <c r="C616" t="inlineStr">
        <is>
          <t>106326041401</t>
        </is>
      </c>
      <c r="D616" t="inlineStr">
        <is>
          <t>GLU</t>
        </is>
      </c>
      <c r="F616" t="n">
        <v>8</v>
      </c>
      <c r="G616" t="n">
        <v>90.16</v>
      </c>
      <c r="H616" t="n">
        <v>811.4399999999999</v>
      </c>
      <c r="I616" t="n">
        <v>-631.12</v>
      </c>
      <c r="J616" t="n">
        <v>91.3781063360538</v>
      </c>
      <c r="K616" t="n">
        <v>48.58883816708639</v>
      </c>
      <c r="L616" t="n">
        <v>92.32466570893939</v>
      </c>
      <c r="M616" t="n">
        <v>94.41403454279305</v>
      </c>
      <c r="N616" t="n">
        <v>91.40367354354402</v>
      </c>
      <c r="O616" t="n">
        <v>92.10983324123353</v>
      </c>
      <c r="P616" t="n">
        <v>91.61306713740763</v>
      </c>
      <c r="BH616" t="n">
        <v>85.976</v>
      </c>
      <c r="BS616" t="n">
        <v>-4.64</v>
      </c>
      <c r="CD616" t="n">
        <v>17.79</v>
      </c>
      <c r="CF616" t="n">
        <v>8</v>
      </c>
      <c r="CG616" t="n">
        <v>293.02</v>
      </c>
      <c r="CH616" t="n">
        <v>2637.18</v>
      </c>
      <c r="CI616" t="n">
        <v>-2051.14</v>
      </c>
      <c r="CJ616" t="n">
        <v>304.2319024391256</v>
      </c>
      <c r="CK616" t="n">
        <v>305.6800608429347</v>
      </c>
      <c r="CL616" t="n">
        <v>308.4229364231709</v>
      </c>
      <c r="CM616" t="n">
        <v>40.47425923456601</v>
      </c>
      <c r="CN616" t="n">
        <v>303.717559814013</v>
      </c>
      <c r="CO616" t="n">
        <v>306.1325853489307</v>
      </c>
      <c r="EH616" t="n">
        <v>261.443</v>
      </c>
      <c r="ES616" t="n">
        <v>-10.78</v>
      </c>
      <c r="FD616" t="n">
        <v>37.8</v>
      </c>
      <c r="FF616" t="n">
        <v>8</v>
      </c>
      <c r="FG616" t="n">
        <v>65.66</v>
      </c>
      <c r="FH616" t="n">
        <v>590.9399999999999</v>
      </c>
      <c r="FI616" t="n">
        <v>-459.62</v>
      </c>
      <c r="FJ616" t="n">
        <v>41.15416286226694</v>
      </c>
      <c r="FK616" t="n">
        <v>42.19014270095647</v>
      </c>
      <c r="FL616" t="n">
        <v>67.0253006562952</v>
      </c>
      <c r="FM616" t="n">
        <v>66.9843198629315</v>
      </c>
      <c r="HH616" t="n">
        <v>54.338</v>
      </c>
      <c r="HS616" t="n">
        <v>-17.24</v>
      </c>
      <c r="ID616" t="n">
        <v>23.32</v>
      </c>
      <c r="IF616" t="n">
        <v>8</v>
      </c>
      <c r="IG616" t="n">
        <v>359.66</v>
      </c>
      <c r="IH616" t="n">
        <v>3236.94</v>
      </c>
      <c r="II616" t="n">
        <v>-2517.62</v>
      </c>
      <c r="IJ616" t="n">
        <v>368.7220260529871</v>
      </c>
      <c r="IK616" t="n">
        <v>366.0267805992485</v>
      </c>
      <c r="KH616" t="n">
        <v>367.374</v>
      </c>
      <c r="KS616" t="n">
        <v>2.14</v>
      </c>
      <c r="LD616" t="n">
        <v>0.37</v>
      </c>
    </row>
    <row r="617">
      <c r="A617" t="inlineStr">
        <is>
          <t>2026-04-14</t>
        </is>
      </c>
      <c r="B617" t="inlineStr">
        <is>
          <t>Avian &amp; Reptile 26</t>
        </is>
      </c>
      <c r="C617" t="inlineStr">
        <is>
          <t>106326041401</t>
        </is>
      </c>
      <c r="D617" t="inlineStr">
        <is>
          <t>PHOS</t>
        </is>
      </c>
      <c r="F617" t="n">
        <v>10</v>
      </c>
      <c r="G617" t="n">
        <v>3.3</v>
      </c>
      <c r="H617" t="n">
        <v>36.3</v>
      </c>
      <c r="I617" t="n">
        <v>-29.7</v>
      </c>
      <c r="J617" t="n">
        <v>3.201199060728929</v>
      </c>
      <c r="K617" t="n">
        <v>3.149193412167971</v>
      </c>
      <c r="L617" t="n">
        <v>3.220972184813355</v>
      </c>
      <c r="M617" t="n">
        <v>3.182549258292461</v>
      </c>
      <c r="N617" t="n">
        <v>3.127368215009276</v>
      </c>
      <c r="O617" t="n">
        <v>3.182076178676063</v>
      </c>
      <c r="P617" t="n">
        <v>3.121970851759122</v>
      </c>
      <c r="BH617" t="n">
        <v>3.169</v>
      </c>
      <c r="BS617" t="n">
        <v>-3.96</v>
      </c>
      <c r="CD617" t="n">
        <v>1.09</v>
      </c>
      <c r="CF617" t="n">
        <v>10</v>
      </c>
      <c r="CG617" t="n">
        <v>7.2</v>
      </c>
      <c r="CH617" t="n">
        <v>79.2</v>
      </c>
      <c r="CI617" t="n">
        <v>-64.8</v>
      </c>
      <c r="CJ617" t="n">
        <v>7.061299080857344</v>
      </c>
      <c r="CK617" t="n">
        <v>7.221444545920988</v>
      </c>
      <c r="CL617" t="n">
        <v>7.283894069428083</v>
      </c>
      <c r="CM617" t="n">
        <v>7.010752922912324</v>
      </c>
      <c r="CN617" t="n">
        <v>7.105411894004789</v>
      </c>
      <c r="CO617" t="n">
        <v>7.018262248799742</v>
      </c>
      <c r="EH617" t="n">
        <v>7.117</v>
      </c>
      <c r="ES617" t="n">
        <v>-1.15</v>
      </c>
      <c r="FD617" t="n">
        <v>1.44</v>
      </c>
      <c r="FF617" t="n">
        <v>10</v>
      </c>
      <c r="FG617" t="n">
        <v>1.9</v>
      </c>
      <c r="FH617" t="n">
        <v>20.9</v>
      </c>
      <c r="FI617" t="n">
        <v>-17.1</v>
      </c>
      <c r="FJ617" t="n">
        <v>1.931005683878346</v>
      </c>
      <c r="FK617" t="n">
        <v>1.929822792655681</v>
      </c>
      <c r="FL617" t="n">
        <v>1.940006415932529</v>
      </c>
      <c r="FM617" t="n">
        <v>1.937307518955246</v>
      </c>
      <c r="HH617" t="n">
        <v>1.935</v>
      </c>
      <c r="HS617" t="n">
        <v>1.82</v>
      </c>
      <c r="ID617" t="n">
        <v>0.22</v>
      </c>
      <c r="IF617" t="n">
        <v>10</v>
      </c>
      <c r="IG617" t="n">
        <v>7.2</v>
      </c>
      <c r="IH617" t="n">
        <v>79.2</v>
      </c>
      <c r="II617" t="n">
        <v>-64.8</v>
      </c>
      <c r="IJ617" t="n">
        <v>-0.2009179373146046</v>
      </c>
      <c r="IK617" t="n">
        <v>7.055205619772974</v>
      </c>
      <c r="IL617" t="n">
        <v>7.137530686577373</v>
      </c>
      <c r="KH617" t="n">
        <v>4.664</v>
      </c>
      <c r="KS617" t="n">
        <v>-35.22</v>
      </c>
      <c r="LD617" t="n">
        <v>73.76000000000001</v>
      </c>
    </row>
    <row r="618">
      <c r="A618" t="inlineStr">
        <is>
          <t>2026-04-14</t>
        </is>
      </c>
      <c r="B618" t="inlineStr">
        <is>
          <t>Avian &amp; Reptile 26</t>
        </is>
      </c>
      <c r="C618" t="inlineStr">
        <is>
          <t>106326041401</t>
        </is>
      </c>
      <c r="D618" t="inlineStr">
        <is>
          <t>TP</t>
        </is>
      </c>
      <c r="F618" t="n">
        <v>8</v>
      </c>
      <c r="G618" t="n">
        <v>6.4</v>
      </c>
      <c r="H618" t="n">
        <v>57.6</v>
      </c>
      <c r="I618" t="n">
        <v>-44.8</v>
      </c>
      <c r="J618" t="n">
        <v>-3.445717844311349</v>
      </c>
      <c r="K618" t="n">
        <v>-3.436487141252381</v>
      </c>
      <c r="L618" t="n">
        <v>6.577790651331304</v>
      </c>
      <c r="M618" t="n">
        <v>6.520767389976587</v>
      </c>
      <c r="N618" t="n">
        <v>6.458046186797631</v>
      </c>
      <c r="O618" t="n">
        <v>6.592951817705112</v>
      </c>
      <c r="P618" t="n">
        <v>6.487650669436407</v>
      </c>
      <c r="BH618" t="n">
        <v>3.679</v>
      </c>
      <c r="BS618" t="n">
        <v>-42.51</v>
      </c>
      <c r="CD618" t="n">
        <v>122.4</v>
      </c>
      <c r="CF618" t="n">
        <v>8</v>
      </c>
      <c r="CG618" t="n">
        <v>4.1</v>
      </c>
      <c r="CH618" t="n">
        <v>36.9</v>
      </c>
      <c r="CI618" t="n">
        <v>-28.7</v>
      </c>
      <c r="CJ618" t="n">
        <v>4.282518040077571</v>
      </c>
      <c r="CK618" t="n">
        <v>4.340008826638542</v>
      </c>
      <c r="CL618" t="n">
        <v>4.322032809074525</v>
      </c>
      <c r="CM618" t="n">
        <v>4.245697906344379</v>
      </c>
      <c r="CN618" t="n">
        <v>4.282179598081589</v>
      </c>
      <c r="CO618" t="n">
        <v>4.240815726984801</v>
      </c>
      <c r="EH618" t="n">
        <v>4.286</v>
      </c>
      <c r="ES618" t="n">
        <v>4.53</v>
      </c>
      <c r="FD618" t="n">
        <v>0.85</v>
      </c>
      <c r="FF618" t="n">
        <v>8</v>
      </c>
      <c r="FG618" t="n">
        <v>4.2</v>
      </c>
      <c r="FH618" t="n">
        <v>37.8</v>
      </c>
      <c r="FI618" t="n">
        <v>-29.4</v>
      </c>
      <c r="FJ618" t="n">
        <v>3.929709301360892</v>
      </c>
      <c r="FK618" t="n">
        <v>-3.340515014384049</v>
      </c>
      <c r="FL618" t="n">
        <v>-3.347382059839095</v>
      </c>
      <c r="FM618" t="n">
        <v>4.06845342846076</v>
      </c>
      <c r="HH618" t="n">
        <v>0.328</v>
      </c>
      <c r="HS618" t="n">
        <v>-92.2</v>
      </c>
      <c r="ID618" t="n">
        <v>1120.95</v>
      </c>
      <c r="IF618" t="n">
        <v>8</v>
      </c>
      <c r="IG618" t="n">
        <v>7.5</v>
      </c>
      <c r="IH618" t="n">
        <v>67.5</v>
      </c>
      <c r="II618" t="n">
        <v>-52.5</v>
      </c>
      <c r="IJ618" t="n">
        <v>-3.230453618518233</v>
      </c>
      <c r="IK618" t="n">
        <v>7.449043356047191</v>
      </c>
      <c r="IL618" t="n">
        <v>7.395671131441183</v>
      </c>
      <c r="KH618" t="n">
        <v>3.871</v>
      </c>
      <c r="KS618" t="n">
        <v>-48.38</v>
      </c>
      <c r="LD618" t="n">
        <v>129.72</v>
      </c>
    </row>
    <row r="619">
      <c r="A619" t="inlineStr">
        <is>
          <t>2026-04-14</t>
        </is>
      </c>
      <c r="B619" t="inlineStr">
        <is>
          <t>Avian &amp; Reptile 26</t>
        </is>
      </c>
      <c r="C619" t="inlineStr">
        <is>
          <t>106326041401</t>
        </is>
      </c>
      <c r="D619" t="inlineStr">
        <is>
          <t>URIC</t>
        </is>
      </c>
      <c r="F619" t="n">
        <v>10</v>
      </c>
      <c r="G619" t="n">
        <v>4.561200670000002</v>
      </c>
      <c r="H619" t="n">
        <v>50.17320737000001</v>
      </c>
      <c r="I619" t="n">
        <v>-41.05080603000002</v>
      </c>
      <c r="J619" t="n">
        <v>4.604082660968126</v>
      </c>
      <c r="K619" t="n">
        <v>-0.3528745266236091</v>
      </c>
      <c r="L619" t="n">
        <v>4.478531740103232</v>
      </c>
      <c r="M619" t="n">
        <v>4.588784715046671</v>
      </c>
      <c r="N619" t="n">
        <v>4.425218331048127</v>
      </c>
      <c r="O619" t="n">
        <v>4.481457154657333</v>
      </c>
      <c r="P619" t="n">
        <v>4.542886956169442</v>
      </c>
      <c r="BH619" t="n">
        <v>3.824</v>
      </c>
      <c r="BS619" t="n">
        <v>-16.16</v>
      </c>
      <c r="CD619" t="n">
        <v>44.62</v>
      </c>
      <c r="CF619" t="n">
        <v>10</v>
      </c>
      <c r="CG619" t="n">
        <v>9.699999999999999</v>
      </c>
      <c r="CH619" t="n">
        <v>106.7</v>
      </c>
      <c r="CI619" t="n">
        <v>-87.3</v>
      </c>
      <c r="CJ619" t="n">
        <v>-0.07547310247218786</v>
      </c>
      <c r="CK619" t="n">
        <v>-0.6694056714165222</v>
      </c>
      <c r="CL619" t="n">
        <v>-0.1120137366547664</v>
      </c>
      <c r="CM619" t="n">
        <v>-0.6779438579256555</v>
      </c>
      <c r="CN619" t="n">
        <v>-0.6821919088040169</v>
      </c>
      <c r="CO619" t="n">
        <v>9.593100870040368</v>
      </c>
      <c r="EH619" t="n">
        <v>1.229</v>
      </c>
      <c r="ES619" t="n">
        <v>-87.33</v>
      </c>
      <c r="FD619" t="n">
        <v>305</v>
      </c>
      <c r="FF619" t="n">
        <v>10</v>
      </c>
      <c r="FG619" t="n">
        <v>2.7</v>
      </c>
      <c r="FH619" t="n">
        <v>29.7</v>
      </c>
      <c r="FI619" t="n">
        <v>-24.3</v>
      </c>
      <c r="FJ619" t="n">
        <v>2.823832422782425</v>
      </c>
      <c r="FK619" t="n">
        <v>-0.5293170707856478</v>
      </c>
      <c r="FL619" t="n">
        <v>2.845032752966221</v>
      </c>
      <c r="FM619" t="n">
        <v>2.73932314044889</v>
      </c>
      <c r="HH619" t="n">
        <v>1.97</v>
      </c>
      <c r="HS619" t="n">
        <v>-27.05</v>
      </c>
      <c r="ID619" t="n">
        <v>73.28</v>
      </c>
      <c r="IF619" t="n">
        <v>10</v>
      </c>
      <c r="IG619" t="n">
        <v>9.300000000000001</v>
      </c>
      <c r="IH619" t="n">
        <v>102.3</v>
      </c>
      <c r="II619" t="n">
        <v>-83.7</v>
      </c>
      <c r="IJ619" t="n">
        <v>24.07105188589397</v>
      </c>
      <c r="IK619" t="n">
        <v>9.300730659877802</v>
      </c>
      <c r="IL619" t="n">
        <v>9.417592074036616</v>
      </c>
      <c r="KH619" t="n">
        <v>14.263</v>
      </c>
      <c r="KS619" t="n">
        <v>53.37</v>
      </c>
      <c r="LD619" t="n">
        <v>48.62</v>
      </c>
    </row>
    <row r="620">
      <c r="A620" t="inlineStr">
        <is>
          <t>2026-04-14</t>
        </is>
      </c>
      <c r="B620" t="inlineStr">
        <is>
          <t>Specific Test 3</t>
        </is>
      </c>
      <c r="C620" t="inlineStr">
        <is>
          <t>103326041401</t>
        </is>
      </c>
      <c r="D620" t="inlineStr">
        <is>
          <t>CK</t>
        </is>
      </c>
      <c r="F620" t="n">
        <v>20</v>
      </c>
      <c r="J620" t="n">
        <v>147.7868830722508</v>
      </c>
      <c r="K620" t="n">
        <v>151.6949178049859</v>
      </c>
      <c r="L620" t="n">
        <v>160.0187626491252</v>
      </c>
      <c r="M620" t="n">
        <v>139.5342912466818</v>
      </c>
      <c r="N620" t="n">
        <v>145.7636073723515</v>
      </c>
      <c r="O620" t="n">
        <v>140.4378935663334</v>
      </c>
      <c r="P620" t="n">
        <v>142.6394847441084</v>
      </c>
      <c r="Q620" t="n">
        <v>148.5499901783762</v>
      </c>
      <c r="R620" t="n">
        <v>144.9693622367919</v>
      </c>
      <c r="BH620" t="n">
        <v>146.822</v>
      </c>
      <c r="CD620" t="n">
        <v>4.05</v>
      </c>
      <c r="CF620" t="n">
        <v>20</v>
      </c>
      <c r="CJ620" t="n">
        <v>469.5258810266985</v>
      </c>
      <c r="CK620" t="n">
        <v>478.2807613643388</v>
      </c>
      <c r="CL620" t="n">
        <v>461.0776372070998</v>
      </c>
      <c r="CM620" t="n">
        <v>528.4269063343482</v>
      </c>
      <c r="CN620" t="n">
        <v>508.6543011522562</v>
      </c>
      <c r="CO620" t="n">
        <v>510.8964092926618</v>
      </c>
      <c r="CP620" t="n">
        <v>478.9300936482965</v>
      </c>
      <c r="CQ620" t="n">
        <v>474.7043302077973</v>
      </c>
      <c r="CR620" t="n">
        <v>462.1652164410449</v>
      </c>
      <c r="CS620" t="n">
        <v>487.0254554790948</v>
      </c>
      <c r="CT620" t="n">
        <v>498.0993226867868</v>
      </c>
      <c r="CU620" t="n">
        <v>490.6305657355678</v>
      </c>
      <c r="EH620" t="n">
        <v>487.368</v>
      </c>
      <c r="FD620" t="n">
        <v>4.09</v>
      </c>
      <c r="FF620" t="n">
        <v>20</v>
      </c>
      <c r="FJ620" t="n">
        <v>77.82431976885161</v>
      </c>
      <c r="FK620" t="n">
        <v>599.1278568589576</v>
      </c>
      <c r="FL620" t="n">
        <v>77.0242459025861</v>
      </c>
      <c r="FM620" t="n">
        <v>72.84511187305722</v>
      </c>
      <c r="FN620" t="n">
        <v>83.45172875835298</v>
      </c>
      <c r="FO620" t="n">
        <v>77.67531401713856</v>
      </c>
      <c r="FP620" t="n">
        <v>91.27421152089231</v>
      </c>
      <c r="FQ620" t="n">
        <v>79.0667041386189</v>
      </c>
      <c r="HH620" t="n">
        <v>144.786</v>
      </c>
      <c r="ID620" t="n">
        <v>118.66</v>
      </c>
      <c r="IF620" t="n">
        <v>20</v>
      </c>
      <c r="IJ620" t="n">
        <v>605.278511198907</v>
      </c>
      <c r="IK620" t="n">
        <v>622.9839304105242</v>
      </c>
      <c r="IL620" t="n">
        <v>618.8196127690932</v>
      </c>
      <c r="IM620" t="n">
        <v>610.6488337068639</v>
      </c>
      <c r="KH620" t="n">
        <v>614.433</v>
      </c>
      <c r="LD620" t="n">
        <v>1.12</v>
      </c>
    </row>
    <row r="621">
      <c r="A621" t="inlineStr">
        <is>
          <t>2026-04-14</t>
        </is>
      </c>
      <c r="B621" t="inlineStr">
        <is>
          <t>Specific Test 3</t>
        </is>
      </c>
      <c r="C621" t="inlineStr">
        <is>
          <t>103326041401</t>
        </is>
      </c>
      <c r="D621" t="inlineStr">
        <is>
          <t>GGT</t>
        </is>
      </c>
      <c r="F621" t="n">
        <v>15</v>
      </c>
      <c r="G621" t="n">
        <v>57</v>
      </c>
      <c r="H621" t="n">
        <v>912</v>
      </c>
      <c r="I621" t="n">
        <v>-798</v>
      </c>
      <c r="J621" t="n">
        <v>64.14633588823679</v>
      </c>
      <c r="K621" t="n">
        <v>63.30322436669925</v>
      </c>
      <c r="L621" t="n">
        <v>70.08939865161793</v>
      </c>
      <c r="M621" t="n">
        <v>61.23728160472626</v>
      </c>
      <c r="N621" t="n">
        <v>63.70408480812128</v>
      </c>
      <c r="O621" t="n">
        <v>62.15165688268851</v>
      </c>
      <c r="P621" t="n">
        <v>61.05804971165537</v>
      </c>
      <c r="Q621" t="n">
        <v>61.67465176827577</v>
      </c>
      <c r="R621" t="n">
        <v>62.47422838430244</v>
      </c>
      <c r="BH621" t="n">
        <v>63.315</v>
      </c>
      <c r="BS621" t="n">
        <v>11.08</v>
      </c>
      <c r="CD621" t="n">
        <v>4.11</v>
      </c>
      <c r="CF621" t="n">
        <v>15</v>
      </c>
      <c r="CG621" t="n">
        <v>164</v>
      </c>
      <c r="CH621" t="n">
        <v>2624</v>
      </c>
      <c r="CI621" t="n">
        <v>-2296</v>
      </c>
      <c r="CJ621" t="n">
        <v>169.2530870321338</v>
      </c>
      <c r="CK621" t="n">
        <v>167.2515414566796</v>
      </c>
      <c r="CL621" t="n">
        <v>167.711219097378</v>
      </c>
      <c r="CM621" t="n">
        <v>189.0475396682423</v>
      </c>
      <c r="CN621" t="n">
        <v>181.260947750404</v>
      </c>
      <c r="CO621" t="n">
        <v>186.8717126900392</v>
      </c>
      <c r="CP621" t="n">
        <v>178.0762355540952</v>
      </c>
      <c r="CQ621" t="n">
        <v>171.2142762988051</v>
      </c>
      <c r="CR621" t="n">
        <v>171.7462323294812</v>
      </c>
      <c r="CS621" t="n">
        <v>174.2144417996334</v>
      </c>
      <c r="CT621" t="n">
        <v>174.8996848882411</v>
      </c>
      <c r="CU621" t="n">
        <v>174.6093312840481</v>
      </c>
      <c r="EH621" t="n">
        <v>175.513</v>
      </c>
      <c r="ES621" t="n">
        <v>7.02</v>
      </c>
      <c r="FD621" t="n">
        <v>3.88</v>
      </c>
      <c r="FF621" t="n">
        <v>15</v>
      </c>
      <c r="FG621" t="n">
        <v>23</v>
      </c>
      <c r="FH621" t="n">
        <v>368</v>
      </c>
      <c r="FI621" t="n">
        <v>-322</v>
      </c>
      <c r="FJ621" t="n">
        <v>25.21379456220931</v>
      </c>
      <c r="FK621" t="n">
        <v>134.7326600342819</v>
      </c>
      <c r="FL621" t="n">
        <v>27.53605112402721</v>
      </c>
      <c r="FM621" t="n">
        <v>26.1976158782254</v>
      </c>
      <c r="FN621" t="n">
        <v>26.51400354998119</v>
      </c>
      <c r="FO621" t="n">
        <v>26.72046061287056</v>
      </c>
      <c r="FP621" t="n">
        <v>27.31582954263753</v>
      </c>
      <c r="FQ621" t="n">
        <v>27.28154188983912</v>
      </c>
      <c r="HH621" t="n">
        <v>40.189</v>
      </c>
      <c r="HS621" t="n">
        <v>74.73</v>
      </c>
      <c r="ID621" t="n">
        <v>88.93000000000001</v>
      </c>
      <c r="IF621" t="n">
        <v>15</v>
      </c>
      <c r="IG621" t="n">
        <v>126</v>
      </c>
      <c r="IH621" t="n">
        <v>2016</v>
      </c>
      <c r="II621" t="n">
        <v>-1764</v>
      </c>
      <c r="IJ621" t="n">
        <v>131.739151589645</v>
      </c>
      <c r="IK621" t="n">
        <v>137.2173458592829</v>
      </c>
      <c r="IL621" t="n">
        <v>130.098647385852</v>
      </c>
      <c r="IM621" t="n">
        <v>133.8179989121112</v>
      </c>
      <c r="KH621" t="n">
        <v>133.218</v>
      </c>
      <c r="KS621" t="n">
        <v>5.73</v>
      </c>
      <c r="LD621" t="n">
        <v>2</v>
      </c>
    </row>
    <row r="622">
      <c r="A622" t="inlineStr">
        <is>
          <t>2026-04-14</t>
        </is>
      </c>
      <c r="B622" t="inlineStr">
        <is>
          <t>Specific Test 3</t>
        </is>
      </c>
      <c r="C622" t="inlineStr">
        <is>
          <t>103326041401</t>
        </is>
      </c>
      <c r="D622" t="inlineStr">
        <is>
          <t>LAC</t>
        </is>
      </c>
      <c r="F622" t="n">
        <v>15</v>
      </c>
      <c r="G622" t="n">
        <v>4.399999999999999</v>
      </c>
      <c r="H622" t="n">
        <v>70.39999999999999</v>
      </c>
      <c r="I622" t="n">
        <v>-61.59999999999999</v>
      </c>
      <c r="J622" t="n">
        <v>4.672420484935906</v>
      </c>
      <c r="K622" t="n">
        <v>4.627255518019959</v>
      </c>
      <c r="L622" t="n">
        <v>4.996600777770588</v>
      </c>
      <c r="M622" t="n">
        <v>4.228988288378979</v>
      </c>
      <c r="N622" t="n">
        <v>4.347768691854096</v>
      </c>
      <c r="O622" t="n">
        <v>4.592709287296362</v>
      </c>
      <c r="P622" t="n">
        <v>4.493568333125064</v>
      </c>
      <c r="Q622" t="n">
        <v>4.553127965039144</v>
      </c>
      <c r="R622" t="n">
        <v>5.071484352148982</v>
      </c>
      <c r="BH622" t="n">
        <v>4.62</v>
      </c>
      <c r="BS622" t="n">
        <v>5.01</v>
      </c>
      <c r="CD622" t="n">
        <v>5.57</v>
      </c>
      <c r="CF622" t="n">
        <v>15</v>
      </c>
      <c r="CG622" t="n">
        <v>1.15</v>
      </c>
      <c r="CH622" t="n">
        <v>18.4</v>
      </c>
      <c r="CI622" t="n">
        <v>-16.1</v>
      </c>
      <c r="CJ622" t="n">
        <v>1.088062778803072</v>
      </c>
      <c r="CK622" t="n">
        <v>1.149276253558324</v>
      </c>
      <c r="CL622" t="n">
        <v>1.055797199777354</v>
      </c>
      <c r="CM622" t="n">
        <v>1.161710387684078</v>
      </c>
      <c r="CN622" t="n">
        <v>1.114725089448559</v>
      </c>
      <c r="CO622" t="n">
        <v>1.231035511519062</v>
      </c>
      <c r="CP622" t="n">
        <v>1.16942955002287</v>
      </c>
      <c r="CQ622" t="n">
        <v>1.087163946398797</v>
      </c>
      <c r="CR622" t="n">
        <v>1.18469940862546</v>
      </c>
      <c r="CS622" t="n">
        <v>1.124941675278136</v>
      </c>
      <c r="CT622" t="n">
        <v>1.120561218659188</v>
      </c>
      <c r="CU622" t="n">
        <v>1.147641686808249</v>
      </c>
      <c r="EH622" t="n">
        <v>1.136</v>
      </c>
      <c r="ES622" t="n">
        <v>-1.2</v>
      </c>
      <c r="FD622" t="n">
        <v>4.05</v>
      </c>
      <c r="FF622" t="n">
        <v>15</v>
      </c>
      <c r="FG622" t="n">
        <v>1.45</v>
      </c>
      <c r="FH622" t="n">
        <v>23.2</v>
      </c>
      <c r="FI622" t="n">
        <v>-20.3</v>
      </c>
      <c r="FJ622" t="n">
        <v>1.513813060476685</v>
      </c>
      <c r="FK622" t="n">
        <v>5.967868239456954</v>
      </c>
      <c r="FL622" t="n">
        <v>1.623645747303102</v>
      </c>
      <c r="FM622" t="n">
        <v>1.660260968331885</v>
      </c>
      <c r="FN622" t="n">
        <v>1.748760422291801</v>
      </c>
      <c r="FO622" t="n">
        <v>1.535406508997597</v>
      </c>
      <c r="FP622" t="n">
        <v>1.575695381185168</v>
      </c>
      <c r="FQ622" t="n">
        <v>1.617515034996547</v>
      </c>
      <c r="HH622" t="n">
        <v>2.155</v>
      </c>
      <c r="HS622" t="n">
        <v>48.65</v>
      </c>
      <c r="ID622" t="n">
        <v>66.93000000000001</v>
      </c>
      <c r="IF622" t="n">
        <v>15</v>
      </c>
      <c r="IG622" t="n">
        <v>5.899999999999999</v>
      </c>
      <c r="IH622" t="n">
        <v>94.39999999999999</v>
      </c>
      <c r="II622" t="n">
        <v>-82.59999999999999</v>
      </c>
      <c r="IJ622" t="n">
        <v>5.829603227546583</v>
      </c>
      <c r="IK622" t="n">
        <v>6.140511058941167</v>
      </c>
      <c r="IL622" t="n">
        <v>5.798542298741275</v>
      </c>
      <c r="IM622" t="n">
        <v>5.860668842076088</v>
      </c>
      <c r="KH622" t="n">
        <v>5.907</v>
      </c>
      <c r="KS622" t="n">
        <v>0.12</v>
      </c>
      <c r="LD622" t="n">
        <v>2.31</v>
      </c>
    </row>
    <row r="623">
      <c r="A623" t="inlineStr">
        <is>
          <t>2026-04-14</t>
        </is>
      </c>
      <c r="B623" t="inlineStr">
        <is>
          <t>Specific Test 3</t>
        </is>
      </c>
      <c r="C623" t="inlineStr">
        <is>
          <t>103326041401</t>
        </is>
      </c>
      <c r="D623" t="inlineStr">
        <is>
          <t>LDH</t>
        </is>
      </c>
      <c r="F623" t="n">
        <v>15</v>
      </c>
      <c r="J623" t="n">
        <v>314.7205293859639</v>
      </c>
      <c r="K623" t="n">
        <v>310.755261114167</v>
      </c>
      <c r="L623" t="n">
        <v>334.9424533560866</v>
      </c>
      <c r="M623" t="n">
        <v>293.0865331221226</v>
      </c>
      <c r="N623" t="n">
        <v>301.656451415737</v>
      </c>
      <c r="O623" t="n">
        <v>296.4829051155259</v>
      </c>
      <c r="P623" t="n">
        <v>298.5289267566713</v>
      </c>
      <c r="Q623" t="n">
        <v>292.6467595235573</v>
      </c>
      <c r="R623" t="n">
        <v>292.4460813814951</v>
      </c>
      <c r="BH623" t="n">
        <v>303.918</v>
      </c>
      <c r="CD623" t="n">
        <v>4.38</v>
      </c>
      <c r="CF623" t="n">
        <v>15</v>
      </c>
      <c r="CJ623" t="n">
        <v>658.5848089678504</v>
      </c>
      <c r="CK623" t="n">
        <v>658.6877931244978</v>
      </c>
      <c r="CL623" t="n">
        <v>654.5488716119485</v>
      </c>
      <c r="CM623" t="n">
        <v>718.1824929990983</v>
      </c>
      <c r="CN623" t="n">
        <v>705.0023850543173</v>
      </c>
      <c r="CO623" t="n">
        <v>711.4961952541892</v>
      </c>
      <c r="CP623" t="n">
        <v>681.5193846687366</v>
      </c>
      <c r="CQ623" t="n">
        <v>660.1902762826057</v>
      </c>
      <c r="CR623" t="n">
        <v>659.1040102740099</v>
      </c>
      <c r="CS623" t="n">
        <v>674.4099877001629</v>
      </c>
      <c r="CT623" t="n">
        <v>684.3249189103833</v>
      </c>
      <c r="CU623" t="n">
        <v>673.1192091268269</v>
      </c>
      <c r="EH623" t="n">
        <v>678.264</v>
      </c>
      <c r="FD623" t="n">
        <v>3.16</v>
      </c>
      <c r="FF623" t="n">
        <v>15</v>
      </c>
      <c r="FJ623" t="n">
        <v>191.4207750094763</v>
      </c>
      <c r="FK623" t="n">
        <v>793.6257969542507</v>
      </c>
      <c r="FL623" t="n">
        <v>192.7441190681674</v>
      </c>
      <c r="FM623" t="n">
        <v>190.9585212757567</v>
      </c>
      <c r="FN623" t="n">
        <v>188.7476403140782</v>
      </c>
      <c r="FO623" t="n">
        <v>197.5229178718135</v>
      </c>
      <c r="FP623" t="n">
        <v>202.8165732880238</v>
      </c>
      <c r="FQ623" t="n">
        <v>200.7704049982999</v>
      </c>
      <c r="HH623" t="n">
        <v>269.826</v>
      </c>
      <c r="ID623" t="n">
        <v>73.39</v>
      </c>
      <c r="IF623" t="n">
        <v>15</v>
      </c>
      <c r="IJ623" t="n">
        <v>804.5336621001532</v>
      </c>
      <c r="IK623" t="n">
        <v>818.3344346147469</v>
      </c>
      <c r="IL623" t="n">
        <v>808.2805748179969</v>
      </c>
      <c r="IM623" t="n">
        <v>806.6704392517947</v>
      </c>
      <c r="KH623" t="n">
        <v>809.455</v>
      </c>
      <c r="LD623" t="n">
        <v>0.65</v>
      </c>
    </row>
    <row r="624">
      <c r="A624" t="inlineStr">
        <is>
          <t>2026-04-14</t>
        </is>
      </c>
      <c r="B624" t="inlineStr">
        <is>
          <t>Specific Test 3</t>
        </is>
      </c>
      <c r="C624" t="inlineStr">
        <is>
          <t>103326041401</t>
        </is>
      </c>
      <c r="D624" t="inlineStr">
        <is>
          <t>TBIL</t>
        </is>
      </c>
      <c r="F624" t="n">
        <v>20</v>
      </c>
      <c r="G624" t="n">
        <v>1.1</v>
      </c>
      <c r="H624" t="n">
        <v>23.1</v>
      </c>
      <c r="I624" t="n">
        <v>-20.9</v>
      </c>
      <c r="J624" t="n">
        <v>1.479193986152985</v>
      </c>
      <c r="K624" t="n">
        <v>1.432521941027213</v>
      </c>
      <c r="L624" t="n">
        <v>1.525862460986612</v>
      </c>
      <c r="M624" t="n">
        <v>1.467542499510044</v>
      </c>
      <c r="N624" t="n">
        <v>1.364345934621364</v>
      </c>
      <c r="O624" t="n">
        <v>1.47030952523229</v>
      </c>
      <c r="P624" t="n">
        <v>1.444779867589464</v>
      </c>
      <c r="Q624" t="n">
        <v>1.368380054303732</v>
      </c>
      <c r="R624" t="n">
        <v>1.494658980634454</v>
      </c>
      <c r="BH624" t="n">
        <v>1.45</v>
      </c>
      <c r="BS624" t="n">
        <v>31.79</v>
      </c>
      <c r="CD624" t="n">
        <v>3.54</v>
      </c>
      <c r="CF624" t="n">
        <v>20</v>
      </c>
      <c r="CG624" t="n">
        <v>5.1</v>
      </c>
      <c r="CH624" t="n">
        <v>107.1</v>
      </c>
      <c r="CI624" t="n">
        <v>-96.89999999999999</v>
      </c>
      <c r="CJ624" t="n">
        <v>5.321192003767687</v>
      </c>
      <c r="CK624" t="n">
        <v>5.389664699213341</v>
      </c>
      <c r="CL624" t="n">
        <v>5.404091834693485</v>
      </c>
      <c r="CM624" t="n">
        <v>6.074650563434906</v>
      </c>
      <c r="CN624" t="n">
        <v>5.820203176211056</v>
      </c>
      <c r="CO624" t="n">
        <v>5.881854268738746</v>
      </c>
      <c r="CP624" t="n">
        <v>5.582314269951313</v>
      </c>
      <c r="CQ624" t="n">
        <v>5.484464081559711</v>
      </c>
      <c r="CR624" t="n">
        <v>5.512987604417164</v>
      </c>
      <c r="CS624" t="n">
        <v>5.633811368964443</v>
      </c>
      <c r="CT624" t="n">
        <v>5.612762734505989</v>
      </c>
      <c r="CU624" t="n">
        <v>5.597149564427895</v>
      </c>
      <c r="EH624" t="n">
        <v>5.61</v>
      </c>
      <c r="ES624" t="n">
        <v>9.99</v>
      </c>
      <c r="FD624" t="n">
        <v>3.76</v>
      </c>
      <c r="FF624" t="n">
        <v>20</v>
      </c>
      <c r="FG624" t="n">
        <v>0.8</v>
      </c>
      <c r="FH624" t="n">
        <v>16.8</v>
      </c>
      <c r="FI624" t="n">
        <v>-15.2</v>
      </c>
      <c r="FJ624" t="n">
        <v>0.7715283947832354</v>
      </c>
      <c r="FK624" t="n">
        <v>8.637770276884142</v>
      </c>
      <c r="FL624" t="n">
        <v>0.8117703332671491</v>
      </c>
      <c r="FM624" t="n">
        <v>0.7471886337531544</v>
      </c>
      <c r="FN624" t="n">
        <v>0.757520510107609</v>
      </c>
      <c r="FO624" t="n">
        <v>0.7537696158377614</v>
      </c>
      <c r="FP624" t="n">
        <v>0.792797943522177</v>
      </c>
      <c r="FQ624" t="n">
        <v>0.8014737427951806</v>
      </c>
      <c r="HH624" t="n">
        <v>1.759</v>
      </c>
      <c r="HS624" t="n">
        <v>119.9</v>
      </c>
      <c r="ID624" t="n">
        <v>147.79</v>
      </c>
      <c r="IF624" t="n">
        <v>20</v>
      </c>
      <c r="IG624" t="n">
        <v>8.4</v>
      </c>
      <c r="IH624" t="n">
        <v>176.4</v>
      </c>
      <c r="II624" t="n">
        <v>-159.6</v>
      </c>
      <c r="IJ624" t="n">
        <v>8.693983828338418</v>
      </c>
      <c r="IK624" t="n">
        <v>9.054580156435739</v>
      </c>
      <c r="IL624" t="n">
        <v>8.912137716780395</v>
      </c>
      <c r="IM624" t="n">
        <v>8.908074174531402</v>
      </c>
      <c r="KH624" t="n">
        <v>8.891999999999999</v>
      </c>
      <c r="KS624" t="n">
        <v>5.86</v>
      </c>
      <c r="LD624" t="n">
        <v>1.45</v>
      </c>
    </row>
    <row r="625">
      <c r="A625" t="inlineStr">
        <is>
          <t>2026-04-13</t>
        </is>
      </c>
      <c r="B625" t="inlineStr">
        <is>
          <t>Critical Care 26</t>
        </is>
      </c>
      <c r="C625" t="inlineStr">
        <is>
          <t>105826041301</t>
        </is>
      </c>
      <c r="D625" t="inlineStr">
        <is>
          <t>CK</t>
        </is>
      </c>
      <c r="F625" t="n">
        <v>20</v>
      </c>
      <c r="J625" t="n">
        <v>134.4508222597479</v>
      </c>
      <c r="K625" t="n">
        <v>141.0984813379365</v>
      </c>
      <c r="L625" t="n">
        <v>133.8437303186743</v>
      </c>
      <c r="BH625" t="n">
        <v>136.464</v>
      </c>
      <c r="CD625" t="n">
        <v>2.41</v>
      </c>
      <c r="CF625" t="n">
        <v>20</v>
      </c>
      <c r="CJ625" t="n">
        <v>500.8120529994436</v>
      </c>
      <c r="CK625" t="n">
        <v>510.7510804245156</v>
      </c>
      <c r="CL625" t="n">
        <v>497.2953355077093</v>
      </c>
      <c r="EH625" t="n">
        <v>502.953</v>
      </c>
      <c r="FD625" t="n">
        <v>1.13</v>
      </c>
      <c r="FF625" t="n">
        <v>20</v>
      </c>
      <c r="FJ625" t="n">
        <v>67.10770813473086</v>
      </c>
      <c r="FK625" t="n">
        <v>80.60750383515095</v>
      </c>
      <c r="FL625" t="n">
        <v>66.96776413967514</v>
      </c>
      <c r="HH625" t="n">
        <v>71.56100000000001</v>
      </c>
      <c r="ID625" t="n">
        <v>8.94</v>
      </c>
      <c r="IF625" t="n">
        <v>20</v>
      </c>
      <c r="IJ625" t="n">
        <v>635.3990274761132</v>
      </c>
      <c r="IK625" t="n">
        <v>631.4670138846278</v>
      </c>
      <c r="IL625" t="n">
        <v>622.7190549720515</v>
      </c>
      <c r="KH625" t="n">
        <v>629.862</v>
      </c>
      <c r="LD625" t="n">
        <v>0.84</v>
      </c>
    </row>
    <row r="626">
      <c r="A626" t="inlineStr">
        <is>
          <t>2026-04-13</t>
        </is>
      </c>
      <c r="B626" t="inlineStr">
        <is>
          <t>Critical Care 26</t>
        </is>
      </c>
      <c r="C626" t="inlineStr">
        <is>
          <t>105826041301</t>
        </is>
      </c>
      <c r="D626" t="inlineStr">
        <is>
          <t>Ca</t>
        </is>
      </c>
      <c r="G626" t="n">
        <v>9.1</v>
      </c>
      <c r="J626" t="n">
        <v>9.67603124840157</v>
      </c>
      <c r="K626" t="n">
        <v>9.801841261202085</v>
      </c>
      <c r="L626" t="n">
        <v>9.886628157467541</v>
      </c>
      <c r="BH626" t="n">
        <v>9.788</v>
      </c>
      <c r="BS626" t="n">
        <v>7.56</v>
      </c>
      <c r="CD626" t="n">
        <v>0.88</v>
      </c>
      <c r="CG626" t="n">
        <v>12.4</v>
      </c>
      <c r="CJ626" t="n">
        <v>12.97584401045507</v>
      </c>
      <c r="CK626" t="n">
        <v>12.53153434304119</v>
      </c>
      <c r="CL626" t="n">
        <v>12.58569172182206</v>
      </c>
      <c r="EH626" t="n">
        <v>12.698</v>
      </c>
      <c r="ES626" t="n">
        <v>2.4</v>
      </c>
      <c r="FD626" t="n">
        <v>1.56</v>
      </c>
      <c r="FG626" t="n">
        <v>5.9</v>
      </c>
      <c r="FJ626" t="n">
        <v>5.998332456912424</v>
      </c>
      <c r="FK626" t="n">
        <v>6.3434878699177</v>
      </c>
      <c r="FL626" t="n">
        <v>6.126892860067459</v>
      </c>
      <c r="HH626" t="n">
        <v>6.156</v>
      </c>
      <c r="HS626" t="n">
        <v>4.34</v>
      </c>
      <c r="ID626" t="n">
        <v>2.31</v>
      </c>
      <c r="IG626" t="n">
        <v>12.7</v>
      </c>
      <c r="IJ626" t="n">
        <v>12.50209442164001</v>
      </c>
      <c r="IK626" t="n">
        <v>12.02587692319522</v>
      </c>
      <c r="IL626" t="n">
        <v>12.23196377906642</v>
      </c>
      <c r="KH626" t="n">
        <v>12.253</v>
      </c>
      <c r="KS626" t="n">
        <v>-3.52</v>
      </c>
      <c r="LD626" t="n">
        <v>1.59</v>
      </c>
    </row>
    <row r="627">
      <c r="A627" t="inlineStr">
        <is>
          <t>2026-04-13</t>
        </is>
      </c>
      <c r="B627" t="inlineStr">
        <is>
          <t>Critical Care 26</t>
        </is>
      </c>
      <c r="C627" t="inlineStr">
        <is>
          <t>105826041301</t>
        </is>
      </c>
      <c r="D627" t="inlineStr">
        <is>
          <t>Cl</t>
        </is>
      </c>
      <c r="F627" t="n">
        <v>5</v>
      </c>
      <c r="G627" t="n">
        <v>90</v>
      </c>
      <c r="H627" t="n">
        <v>540</v>
      </c>
      <c r="I627" t="n">
        <v>-360</v>
      </c>
      <c r="J627" t="n">
        <v>70.7097272671312</v>
      </c>
      <c r="K627" t="n">
        <v>67.82282713619315</v>
      </c>
      <c r="L627" t="n">
        <v>67.34975462888031</v>
      </c>
      <c r="BH627" t="n">
        <v>68.627</v>
      </c>
      <c r="BS627" t="n">
        <v>-23.75</v>
      </c>
      <c r="CD627" t="n">
        <v>2.16</v>
      </c>
      <c r="CF627" t="n">
        <v>5</v>
      </c>
      <c r="CG627" t="n">
        <v>91</v>
      </c>
      <c r="CH627" t="n">
        <v>546</v>
      </c>
      <c r="CI627" t="n">
        <v>-364</v>
      </c>
      <c r="CJ627" t="n">
        <v>68.59103570242817</v>
      </c>
      <c r="CK627" t="n">
        <v>67.7767150077491</v>
      </c>
      <c r="CL627" t="n">
        <v>65.25245833674025</v>
      </c>
      <c r="EH627" t="n">
        <v>67.20699999999999</v>
      </c>
      <c r="ES627" t="n">
        <v>-26.15</v>
      </c>
      <c r="FD627" t="n">
        <v>2.11</v>
      </c>
      <c r="FF627" t="n">
        <v>5</v>
      </c>
      <c r="FG627" t="n">
        <v>77</v>
      </c>
      <c r="FH627" t="n">
        <v>462</v>
      </c>
      <c r="FI627" t="n">
        <v>-308</v>
      </c>
      <c r="FJ627" t="n">
        <v>53.34652953216827</v>
      </c>
      <c r="FK627" t="n">
        <v>56.14172373162827</v>
      </c>
      <c r="FL627" t="n">
        <v>55.60202243850848</v>
      </c>
      <c r="HH627" t="n">
        <v>55.03</v>
      </c>
      <c r="HS627" t="n">
        <v>-28.53</v>
      </c>
      <c r="ID627" t="n">
        <v>2.2</v>
      </c>
      <c r="IF627" t="n">
        <v>5</v>
      </c>
      <c r="IG627" t="n">
        <v>118</v>
      </c>
      <c r="IH627" t="n">
        <v>708</v>
      </c>
      <c r="II627" t="n">
        <v>-472</v>
      </c>
      <c r="IJ627" t="n">
        <v>91.0016511665664</v>
      </c>
      <c r="IK627" t="n">
        <v>91.43164621649062</v>
      </c>
      <c r="IL627" t="n">
        <v>90.49505260219317</v>
      </c>
      <c r="KH627" t="n">
        <v>90.976</v>
      </c>
      <c r="KS627" t="n">
        <v>-22.9</v>
      </c>
      <c r="LD627" t="n">
        <v>0.42</v>
      </c>
    </row>
    <row r="628">
      <c r="A628" t="inlineStr">
        <is>
          <t>2026-04-13</t>
        </is>
      </c>
      <c r="B628" t="inlineStr">
        <is>
          <t>Critical Care 26</t>
        </is>
      </c>
      <c r="C628" t="inlineStr">
        <is>
          <t>105826041301</t>
        </is>
      </c>
      <c r="D628" t="inlineStr">
        <is>
          <t>K</t>
        </is>
      </c>
      <c r="G628" t="n">
        <v>3.9</v>
      </c>
      <c r="J628" t="n">
        <v>3.834955468869253</v>
      </c>
      <c r="K628" t="n">
        <v>3.87696577079345</v>
      </c>
      <c r="L628" t="n">
        <v>3.778481666574793</v>
      </c>
      <c r="BH628" t="n">
        <v>3.83</v>
      </c>
      <c r="BS628" t="n">
        <v>-1.79</v>
      </c>
      <c r="CD628" t="n">
        <v>1.05</v>
      </c>
      <c r="CG628" t="n">
        <v>6</v>
      </c>
      <c r="CJ628" t="n">
        <v>6.240826441170102</v>
      </c>
      <c r="CK628" t="n">
        <v>6.044559086580842</v>
      </c>
      <c r="CL628" t="n">
        <v>6.008291504531948</v>
      </c>
      <c r="EH628" t="n">
        <v>6.098</v>
      </c>
      <c r="ES628" t="n">
        <v>1.63</v>
      </c>
      <c r="FD628" t="n">
        <v>1.68</v>
      </c>
      <c r="FG628" t="n">
        <v>2.2</v>
      </c>
      <c r="FJ628" t="n">
        <v>2.32371846121973</v>
      </c>
      <c r="FK628" t="n">
        <v>2.481192015705495</v>
      </c>
      <c r="FL628" t="n">
        <v>2.430704782330713</v>
      </c>
      <c r="HH628" t="n">
        <v>2.412</v>
      </c>
      <c r="HS628" t="n">
        <v>9.630000000000001</v>
      </c>
      <c r="ID628" t="n">
        <v>2.72</v>
      </c>
      <c r="IG628" t="n">
        <v>8.4</v>
      </c>
      <c r="IJ628" t="n">
        <v>8.248822050234489</v>
      </c>
      <c r="IK628" t="n">
        <v>8.287484239319708</v>
      </c>
      <c r="IL628" t="n">
        <v>8.228581211506993</v>
      </c>
      <c r="KH628" t="n">
        <v>8.255000000000001</v>
      </c>
      <c r="KS628" t="n">
        <v>-1.73</v>
      </c>
      <c r="LD628" t="n">
        <v>0.3</v>
      </c>
    </row>
    <row r="629">
      <c r="A629" t="inlineStr">
        <is>
          <t>2026-04-13</t>
        </is>
      </c>
      <c r="B629" t="inlineStr">
        <is>
          <t>Critical Care 26</t>
        </is>
      </c>
      <c r="C629" t="inlineStr">
        <is>
          <t>105826041301</t>
        </is>
      </c>
      <c r="D629" t="inlineStr">
        <is>
          <t>LAC</t>
        </is>
      </c>
      <c r="F629" t="n">
        <v>15</v>
      </c>
      <c r="G629" t="n">
        <v>4.399999999999999</v>
      </c>
      <c r="H629" t="n">
        <v>70.39999999999999</v>
      </c>
      <c r="I629" t="n">
        <v>-61.59999999999999</v>
      </c>
      <c r="CF629" t="n">
        <v>15</v>
      </c>
      <c r="CG629" t="n">
        <v>1.15</v>
      </c>
      <c r="CH629" t="n">
        <v>18.4</v>
      </c>
      <c r="CI629" t="n">
        <v>-16.1</v>
      </c>
      <c r="CJ629" t="n">
        <v>2.804304846217495</v>
      </c>
      <c r="CK629" t="n">
        <v>2.752535572326969</v>
      </c>
      <c r="CL629" t="n">
        <v>2.70423450845678</v>
      </c>
      <c r="EH629" t="n">
        <v>2.754</v>
      </c>
      <c r="ES629" t="n">
        <v>139.45</v>
      </c>
      <c r="FD629" t="n">
        <v>1.48</v>
      </c>
      <c r="FF629" t="n">
        <v>15</v>
      </c>
      <c r="FG629" t="n">
        <v>1.45</v>
      </c>
      <c r="FH629" t="n">
        <v>23.2</v>
      </c>
      <c r="FI629" t="n">
        <v>-20.3</v>
      </c>
      <c r="FJ629" t="n">
        <v>4.193748381628557</v>
      </c>
      <c r="FK629" t="n">
        <v>4.77956035003354</v>
      </c>
      <c r="FL629" t="n">
        <v>4.887013016327789</v>
      </c>
      <c r="HH629" t="n">
        <v>4.62</v>
      </c>
      <c r="HS629" t="n">
        <v>218.63</v>
      </c>
      <c r="ID629" t="n">
        <v>6.59</v>
      </c>
      <c r="IF629" t="n">
        <v>15</v>
      </c>
      <c r="IG629" t="n">
        <v>5.899999999999999</v>
      </c>
      <c r="IH629" t="n">
        <v>94.39999999999999</v>
      </c>
      <c r="II629" t="n">
        <v>-82.59999999999999</v>
      </c>
    </row>
    <row r="630">
      <c r="A630" t="inlineStr">
        <is>
          <t>2026-04-13</t>
        </is>
      </c>
      <c r="B630" t="inlineStr">
        <is>
          <t>Critical Care 26</t>
        </is>
      </c>
      <c r="C630" t="inlineStr">
        <is>
          <t>105826041301</t>
        </is>
      </c>
      <c r="D630" t="inlineStr">
        <is>
          <t>Na</t>
        </is>
      </c>
      <c r="G630" t="n">
        <v>141</v>
      </c>
      <c r="J630" t="n">
        <v>157.575857840527</v>
      </c>
      <c r="K630" t="n">
        <v>160.6031010326509</v>
      </c>
      <c r="L630" t="n">
        <v>163.3093054779186</v>
      </c>
      <c r="BH630" t="n">
        <v>160.496</v>
      </c>
      <c r="BS630" t="n">
        <v>13.83</v>
      </c>
      <c r="CD630" t="n">
        <v>1.46</v>
      </c>
      <c r="CG630" t="n">
        <v>129</v>
      </c>
      <c r="CJ630" t="n">
        <v>148.0050379499989</v>
      </c>
      <c r="CK630" t="n">
        <v>148.6389871732911</v>
      </c>
      <c r="CL630" t="n">
        <v>146.0219940459123</v>
      </c>
      <c r="EH630" t="n">
        <v>147.555</v>
      </c>
      <c r="ES630" t="n">
        <v>14.38</v>
      </c>
      <c r="FD630" t="n">
        <v>0.76</v>
      </c>
      <c r="FG630" t="n">
        <v>118</v>
      </c>
      <c r="FJ630" t="n">
        <v>131.5795863498245</v>
      </c>
      <c r="FK630" t="n">
        <v>131.8849479425303</v>
      </c>
      <c r="FL630" t="n">
        <v>131.4521846657073</v>
      </c>
      <c r="HH630" t="n">
        <v>131.639</v>
      </c>
      <c r="HS630" t="n">
        <v>11.56</v>
      </c>
      <c r="ID630" t="n">
        <v>0.14</v>
      </c>
      <c r="IG630" t="n">
        <v>166</v>
      </c>
      <c r="IJ630" t="n">
        <v>178.2998469795759</v>
      </c>
      <c r="IK630" t="n">
        <v>185.2694545077951</v>
      </c>
      <c r="IL630" t="n">
        <v>179.9013254240814</v>
      </c>
      <c r="KH630" t="n">
        <v>181.157</v>
      </c>
      <c r="KS630" t="n">
        <v>9.130000000000001</v>
      </c>
      <c r="LD630" t="n">
        <v>1.65</v>
      </c>
    </row>
    <row r="631">
      <c r="A631" t="inlineStr">
        <is>
          <t>2026-04-13</t>
        </is>
      </c>
      <c r="B631" t="inlineStr">
        <is>
          <t>Critical Care 26</t>
        </is>
      </c>
      <c r="C631" t="inlineStr">
        <is>
          <t>105826041301</t>
        </is>
      </c>
      <c r="D631" t="inlineStr">
        <is>
          <t>TCO2</t>
        </is>
      </c>
      <c r="F631" t="n">
        <v>20</v>
      </c>
      <c r="G631" t="n">
        <v>32.5</v>
      </c>
      <c r="H631" t="n">
        <v>682.5</v>
      </c>
      <c r="I631" t="n">
        <v>-617.5</v>
      </c>
      <c r="J631" t="n">
        <v>28.53015654262488</v>
      </c>
      <c r="K631" t="n">
        <v>28.5237880494252</v>
      </c>
      <c r="L631" t="n">
        <v>31.77282756863854</v>
      </c>
      <c r="BH631" t="n">
        <v>29.609</v>
      </c>
      <c r="BS631" t="n">
        <v>-8.9</v>
      </c>
      <c r="CD631" t="n">
        <v>5.17</v>
      </c>
      <c r="CF631" t="n">
        <v>20</v>
      </c>
      <c r="CG631" t="n">
        <v>21.2</v>
      </c>
      <c r="CH631" t="n">
        <v>445.2</v>
      </c>
      <c r="CI631" t="n">
        <v>-402.8</v>
      </c>
      <c r="CJ631" t="n">
        <v>18.37200263393325</v>
      </c>
      <c r="CK631" t="n">
        <v>16.8720617942968</v>
      </c>
      <c r="CL631" t="n">
        <v>21.65069943773387</v>
      </c>
      <c r="EH631" t="n">
        <v>18.965</v>
      </c>
      <c r="ES631" t="n">
        <v>-10.54</v>
      </c>
      <c r="FD631" t="n">
        <v>10.52</v>
      </c>
      <c r="FF631" t="n">
        <v>20</v>
      </c>
      <c r="FG631" t="n">
        <v>17.3</v>
      </c>
      <c r="FH631" t="n">
        <v>363.3</v>
      </c>
      <c r="FI631" t="n">
        <v>-328.7</v>
      </c>
      <c r="FJ631" t="n">
        <v>19.14343991385849</v>
      </c>
      <c r="FK631" t="n">
        <v>17.79388848906369</v>
      </c>
      <c r="FL631" t="n">
        <v>18.65332045690973</v>
      </c>
      <c r="HH631" t="n">
        <v>18.53</v>
      </c>
      <c r="HS631" t="n">
        <v>7.11</v>
      </c>
      <c r="ID631" t="n">
        <v>3.01</v>
      </c>
      <c r="IF631" t="n">
        <v>20</v>
      </c>
      <c r="IG631" t="n">
        <v>26.7</v>
      </c>
      <c r="IH631" t="n">
        <v>560.6999999999999</v>
      </c>
      <c r="II631" t="n">
        <v>-507.3</v>
      </c>
      <c r="IJ631" t="n">
        <v>27.98498530823505</v>
      </c>
      <c r="IK631" t="n">
        <v>24.69837098518843</v>
      </c>
      <c r="IL631" t="n">
        <v>27.31263900220275</v>
      </c>
      <c r="KH631" t="n">
        <v>26.665</v>
      </c>
      <c r="KS631" t="n">
        <v>-0.13</v>
      </c>
      <c r="LD631" t="n">
        <v>5.32</v>
      </c>
    </row>
    <row r="632">
      <c r="A632" t="inlineStr">
        <is>
          <t>2026-04-10</t>
        </is>
      </c>
      <c r="B632" t="inlineStr">
        <is>
          <t>S-DMA</t>
        </is>
      </c>
      <c r="C632" t="inlineStr">
        <is>
          <t>111326041001</t>
        </is>
      </c>
      <c r="D632" t="inlineStr">
        <is>
          <t>S-DMA</t>
        </is>
      </c>
      <c r="J632" t="n">
        <v>11.33495021862542</v>
      </c>
      <c r="K632" t="n">
        <v>12.87282880938313</v>
      </c>
      <c r="BH632" t="n">
        <v>12.104</v>
      </c>
      <c r="CD632" t="n">
        <v>6.35</v>
      </c>
      <c r="CJ632" t="n">
        <v>38.20531390784679</v>
      </c>
      <c r="CK632" t="n">
        <v>40.45804224845619</v>
      </c>
      <c r="CL632" t="n">
        <v>35.1847964865437</v>
      </c>
      <c r="EH632" t="n">
        <v>37.949</v>
      </c>
      <c r="FD632" t="n">
        <v>5.69</v>
      </c>
    </row>
    <row r="633">
      <c r="A633" t="inlineStr">
        <is>
          <t>2026-04-09</t>
        </is>
      </c>
      <c r="B633" t="inlineStr">
        <is>
          <t>Avian &amp; Reptile 26</t>
        </is>
      </c>
      <c r="C633" t="inlineStr">
        <is>
          <t>206426040901</t>
        </is>
      </c>
      <c r="D633" t="inlineStr">
        <is>
          <t>ALP</t>
        </is>
      </c>
      <c r="F633" t="n">
        <v>20</v>
      </c>
      <c r="G633" t="n">
        <v>136</v>
      </c>
      <c r="H633" t="n">
        <v>2856</v>
      </c>
      <c r="I633" t="n">
        <v>-2584</v>
      </c>
      <c r="J633" t="n">
        <v>477.2945804101276</v>
      </c>
      <c r="K633" t="n">
        <v>467.3284586709503</v>
      </c>
      <c r="L633" t="n">
        <v>150.3656641664859</v>
      </c>
      <c r="M633" t="n">
        <v>150.2903558017442</v>
      </c>
      <c r="N633" t="n">
        <v>471.0402378412107</v>
      </c>
      <c r="O633" t="n">
        <v>148.1417426410135</v>
      </c>
      <c r="P633" t="n">
        <v>468.7747909712594</v>
      </c>
      <c r="Q633" t="n">
        <v>150.0581923442775</v>
      </c>
      <c r="BH633" t="n">
        <v>310.412</v>
      </c>
      <c r="BS633" t="n">
        <v>128.24</v>
      </c>
      <c r="CD633" t="n">
        <v>51.78</v>
      </c>
      <c r="CF633" t="n">
        <v>20</v>
      </c>
      <c r="CG633" t="n">
        <v>456</v>
      </c>
      <c r="CH633" t="n">
        <v>9576</v>
      </c>
      <c r="CI633" t="n">
        <v>-8664</v>
      </c>
      <c r="FF633" t="n">
        <v>20</v>
      </c>
      <c r="FG633" t="n">
        <v>75</v>
      </c>
      <c r="FH633" t="n">
        <v>1575</v>
      </c>
      <c r="FI633" t="n">
        <v>-1425</v>
      </c>
      <c r="FJ633" t="n">
        <v>80.89364305239229</v>
      </c>
      <c r="FK633" t="n">
        <v>80.48019614786635</v>
      </c>
      <c r="FL633" t="n">
        <v>80.73781782168361</v>
      </c>
      <c r="FM633" t="n">
        <v>80.55763834071664</v>
      </c>
      <c r="HH633" t="n">
        <v>80.667</v>
      </c>
      <c r="HS633" t="n">
        <v>7.56</v>
      </c>
      <c r="ID633" t="n">
        <v>0.2</v>
      </c>
      <c r="IF633" t="n">
        <v>20</v>
      </c>
      <c r="IG633" t="n">
        <v>251</v>
      </c>
      <c r="IH633" t="n">
        <v>5271</v>
      </c>
      <c r="II633" t="n">
        <v>-4769</v>
      </c>
      <c r="IJ633" t="n">
        <v>235.2189701823544</v>
      </c>
      <c r="IK633" t="n">
        <v>244.6413740117125</v>
      </c>
      <c r="IL633" t="n">
        <v>232.3788629113426</v>
      </c>
      <c r="IM633" t="n">
        <v>232.2000660986291</v>
      </c>
      <c r="KH633" t="n">
        <v>236.11</v>
      </c>
      <c r="KS633" t="n">
        <v>-5.93</v>
      </c>
      <c r="LD633" t="n">
        <v>2.15</v>
      </c>
    </row>
    <row r="634">
      <c r="A634" t="inlineStr">
        <is>
          <t>2026-04-09</t>
        </is>
      </c>
      <c r="B634" t="inlineStr">
        <is>
          <t>Avian &amp; Reptile 26</t>
        </is>
      </c>
      <c r="C634" t="inlineStr">
        <is>
          <t>206426040901</t>
        </is>
      </c>
      <c r="D634" t="inlineStr">
        <is>
          <t>BA</t>
        </is>
      </c>
      <c r="J634" t="n">
        <v>3.463668937247259</v>
      </c>
      <c r="K634" t="n">
        <v>4.243614332093099</v>
      </c>
      <c r="L634" t="n">
        <v>4.711169859875826</v>
      </c>
      <c r="M634" t="n">
        <v>4.375268961990285</v>
      </c>
      <c r="N634" t="n">
        <v>3.786452533004825</v>
      </c>
      <c r="O634" t="n">
        <v>5.154636266623523</v>
      </c>
      <c r="P634" t="n">
        <v>3.635462694173988</v>
      </c>
      <c r="Q634" t="n">
        <v>5.016125243771485</v>
      </c>
      <c r="BH634" t="n">
        <v>4.298</v>
      </c>
      <c r="CD634" t="n">
        <v>13.83</v>
      </c>
      <c r="FJ634" t="n">
        <v>12.99508237299469</v>
      </c>
      <c r="FK634" t="n">
        <v>12.66788360324209</v>
      </c>
      <c r="FL634" t="n">
        <v>12.70701468328943</v>
      </c>
      <c r="FM634" t="n">
        <v>13.21222607875868</v>
      </c>
      <c r="HH634" t="n">
        <v>12.896</v>
      </c>
      <c r="ID634" t="n">
        <v>1.72</v>
      </c>
      <c r="IJ634" t="n">
        <v>12.07700102829735</v>
      </c>
      <c r="IK634" t="n">
        <v>11.76674462351502</v>
      </c>
      <c r="IL634" t="n">
        <v>11.84251869605047</v>
      </c>
      <c r="IM634" t="n">
        <v>11.59681694532377</v>
      </c>
      <c r="KH634" t="n">
        <v>11.821</v>
      </c>
      <c r="LD634" t="n">
        <v>1.46</v>
      </c>
    </row>
    <row r="635">
      <c r="A635" t="inlineStr">
        <is>
          <t>2026-04-09</t>
        </is>
      </c>
      <c r="B635" t="inlineStr">
        <is>
          <t>Avian &amp; Reptile 26</t>
        </is>
      </c>
      <c r="C635" t="inlineStr">
        <is>
          <t>206426040901</t>
        </is>
      </c>
      <c r="D635" t="inlineStr">
        <is>
          <t>BUN</t>
        </is>
      </c>
      <c r="F635" t="n">
        <v>9</v>
      </c>
      <c r="G635" t="n">
        <v>14.8</v>
      </c>
      <c r="H635" t="n">
        <v>148</v>
      </c>
      <c r="I635" t="n">
        <v>-118.4</v>
      </c>
      <c r="J635" t="n">
        <v>45.55567542231283</v>
      </c>
      <c r="K635" t="n">
        <v>45.23379192693701</v>
      </c>
      <c r="L635" t="n">
        <v>14.94856501484374</v>
      </c>
      <c r="M635" t="n">
        <v>15.08992329912121</v>
      </c>
      <c r="N635" t="n">
        <v>45.19603408078768</v>
      </c>
      <c r="O635" t="n">
        <v>15.08592688111341</v>
      </c>
      <c r="P635" t="n">
        <v>45.72659698893533</v>
      </c>
      <c r="Q635" t="n">
        <v>15.02015761095731</v>
      </c>
      <c r="BH635" t="n">
        <v>30.232</v>
      </c>
      <c r="BS635" t="n">
        <v>104.27</v>
      </c>
      <c r="CD635" t="n">
        <v>50.27</v>
      </c>
      <c r="CF635" t="n">
        <v>9</v>
      </c>
      <c r="CG635" t="n">
        <v>44.7</v>
      </c>
      <c r="CH635" t="n">
        <v>447</v>
      </c>
      <c r="CI635" t="n">
        <v>-357.6</v>
      </c>
      <c r="FF635" t="n">
        <v>9</v>
      </c>
      <c r="FG635" t="n">
        <v>14.7</v>
      </c>
      <c r="FH635" t="n">
        <v>147</v>
      </c>
      <c r="FI635" t="n">
        <v>-117.6</v>
      </c>
      <c r="FJ635" t="n">
        <v>15.00806064211121</v>
      </c>
      <c r="FK635" t="n">
        <v>14.90083894319697</v>
      </c>
      <c r="FL635" t="n">
        <v>14.91228493847684</v>
      </c>
      <c r="FM635" t="n">
        <v>15.11504266416116</v>
      </c>
      <c r="HH635" t="n">
        <v>14.984</v>
      </c>
      <c r="HS635" t="n">
        <v>1.93</v>
      </c>
      <c r="ID635" t="n">
        <v>0.58</v>
      </c>
      <c r="IF635" t="n">
        <v>9</v>
      </c>
      <c r="IG635" t="n">
        <v>65.7</v>
      </c>
      <c r="IH635" t="n">
        <v>657</v>
      </c>
      <c r="II635" t="n">
        <v>-525.6</v>
      </c>
      <c r="IJ635" t="n">
        <v>66.22002345908206</v>
      </c>
      <c r="IK635" t="n">
        <v>66.19627576439437</v>
      </c>
      <c r="IL635" t="n">
        <v>66.14842856280218</v>
      </c>
      <c r="IM635" t="n">
        <v>65.85080970843352</v>
      </c>
      <c r="KH635" t="n">
        <v>66.104</v>
      </c>
      <c r="KS635" t="n">
        <v>0.61</v>
      </c>
      <c r="LD635" t="n">
        <v>0.22</v>
      </c>
    </row>
    <row r="636">
      <c r="A636" t="inlineStr">
        <is>
          <t>2026-04-09</t>
        </is>
      </c>
      <c r="B636" t="inlineStr">
        <is>
          <t>Avian &amp; Reptile 26</t>
        </is>
      </c>
      <c r="C636" t="inlineStr">
        <is>
          <t>206426040901</t>
        </is>
      </c>
      <c r="D636" t="inlineStr">
        <is>
          <t>CHOL</t>
        </is>
      </c>
      <c r="F636" t="n">
        <v>10</v>
      </c>
      <c r="G636" t="n">
        <v>228</v>
      </c>
      <c r="H636" t="n">
        <v>2508</v>
      </c>
      <c r="I636" t="n">
        <v>-2052</v>
      </c>
      <c r="J636" t="n">
        <v>101.289938255927</v>
      </c>
      <c r="K636" t="n">
        <v>100.551399415588</v>
      </c>
      <c r="L636" t="n">
        <v>245.0987167317631</v>
      </c>
      <c r="M636" t="n">
        <v>243.3584193292759</v>
      </c>
      <c r="N636" t="n">
        <v>102.0766971823102</v>
      </c>
      <c r="O636" t="n">
        <v>242.047242332075</v>
      </c>
      <c r="P636" t="n">
        <v>103.6018838334948</v>
      </c>
      <c r="Q636" t="n">
        <v>244.3452640335787</v>
      </c>
      <c r="BH636" t="n">
        <v>172.796</v>
      </c>
      <c r="BS636" t="n">
        <v>-24.21</v>
      </c>
      <c r="CD636" t="n">
        <v>41.05</v>
      </c>
      <c r="CF636" t="n">
        <v>10</v>
      </c>
      <c r="CG636" t="n">
        <v>99</v>
      </c>
      <c r="CH636" t="n">
        <v>1089</v>
      </c>
      <c r="CI636" t="n">
        <v>-891</v>
      </c>
      <c r="FF636" t="n">
        <v>10</v>
      </c>
      <c r="FG636" t="n">
        <v>115</v>
      </c>
      <c r="FH636" t="n">
        <v>1265</v>
      </c>
      <c r="FI636" t="n">
        <v>-1035</v>
      </c>
      <c r="FJ636" t="n">
        <v>114.9603398282902</v>
      </c>
      <c r="FK636" t="n">
        <v>115.887342804678</v>
      </c>
      <c r="FL636" t="n">
        <v>113.6114997440167</v>
      </c>
      <c r="FM636" t="n">
        <v>115.7696370356739</v>
      </c>
      <c r="HH636" t="n">
        <v>115.057</v>
      </c>
      <c r="HS636" t="n">
        <v>0.05</v>
      </c>
      <c r="ID636" t="n">
        <v>0.79</v>
      </c>
      <c r="IF636" t="n">
        <v>10</v>
      </c>
      <c r="IG636" t="n">
        <v>269</v>
      </c>
      <c r="IH636" t="n">
        <v>2959</v>
      </c>
      <c r="II636" t="n">
        <v>-2421</v>
      </c>
      <c r="IJ636" t="n">
        <v>277.9031871917387</v>
      </c>
      <c r="IK636" t="n">
        <v>273.4395821552341</v>
      </c>
      <c r="IL636" t="n">
        <v>276.5390506705341</v>
      </c>
      <c r="IM636" t="n">
        <v>274.3798006057841</v>
      </c>
      <c r="KH636" t="n">
        <v>275.565</v>
      </c>
      <c r="KS636" t="n">
        <v>2.44</v>
      </c>
      <c r="LD636" t="n">
        <v>0.64</v>
      </c>
    </row>
    <row r="637">
      <c r="A637" t="inlineStr">
        <is>
          <t>2026-04-09</t>
        </is>
      </c>
      <c r="B637" t="inlineStr">
        <is>
          <t>Avian &amp; Reptile 26</t>
        </is>
      </c>
      <c r="C637" t="inlineStr">
        <is>
          <t>206426040901</t>
        </is>
      </c>
      <c r="D637" t="inlineStr">
        <is>
          <t>GGT</t>
        </is>
      </c>
      <c r="F637" t="n">
        <v>15</v>
      </c>
      <c r="G637" t="n">
        <v>57</v>
      </c>
      <c r="H637" t="n">
        <v>912</v>
      </c>
      <c r="I637" t="n">
        <v>-798</v>
      </c>
      <c r="J637" t="n">
        <v>183.2378088087735</v>
      </c>
      <c r="K637" t="n">
        <v>176.6514341456867</v>
      </c>
      <c r="L637" t="n">
        <v>66.23714992757746</v>
      </c>
      <c r="M637" t="n">
        <v>64.31528116093084</v>
      </c>
      <c r="N637" t="n">
        <v>178.4533224075022</v>
      </c>
      <c r="O637" t="n">
        <v>64.71557901827774</v>
      </c>
      <c r="P637" t="n">
        <v>182.4978926030462</v>
      </c>
      <c r="Q637" t="n">
        <v>63.83801934324985</v>
      </c>
      <c r="BH637" t="n">
        <v>122.493</v>
      </c>
      <c r="BS637" t="n">
        <v>114.9</v>
      </c>
      <c r="CD637" t="n">
        <v>47.15</v>
      </c>
      <c r="CF637" t="n">
        <v>15</v>
      </c>
      <c r="CG637" t="n">
        <v>164</v>
      </c>
      <c r="CH637" t="n">
        <v>2624</v>
      </c>
      <c r="CI637" t="n">
        <v>-2296</v>
      </c>
      <c r="FF637" t="n">
        <v>15</v>
      </c>
      <c r="FG637" t="n">
        <v>23</v>
      </c>
      <c r="FH637" t="n">
        <v>368</v>
      </c>
      <c r="FI637" t="n">
        <v>-322</v>
      </c>
      <c r="FJ637" t="n">
        <v>26.57091023282165</v>
      </c>
      <c r="FK637" t="n">
        <v>25.81058679202658</v>
      </c>
      <c r="FL637" t="n">
        <v>26.92469471900292</v>
      </c>
      <c r="FM637" t="n">
        <v>26.81343692022472</v>
      </c>
      <c r="HH637" t="n">
        <v>26.53</v>
      </c>
      <c r="HS637" t="n">
        <v>15.35</v>
      </c>
      <c r="ID637" t="n">
        <v>1.64</v>
      </c>
      <c r="IF637" t="n">
        <v>15</v>
      </c>
      <c r="IG637" t="n">
        <v>126</v>
      </c>
      <c r="IH637" t="n">
        <v>2016</v>
      </c>
      <c r="II637" t="n">
        <v>-1764</v>
      </c>
      <c r="IJ637" t="n">
        <v>143.0663045600432</v>
      </c>
      <c r="IK637" t="n">
        <v>138.5011785914762</v>
      </c>
      <c r="IL637" t="n">
        <v>138.245386678754</v>
      </c>
      <c r="IM637" t="n">
        <v>141.6746586283994</v>
      </c>
      <c r="KH637" t="n">
        <v>140.372</v>
      </c>
      <c r="KS637" t="n">
        <v>11.41</v>
      </c>
      <c r="LD637" t="n">
        <v>1.47</v>
      </c>
    </row>
    <row r="638">
      <c r="A638" t="inlineStr">
        <is>
          <t>2026-04-09</t>
        </is>
      </c>
      <c r="B638" t="inlineStr">
        <is>
          <t>Avian &amp; Reptile 26</t>
        </is>
      </c>
      <c r="C638" t="inlineStr">
        <is>
          <t>206426040901</t>
        </is>
      </c>
      <c r="D638" t="inlineStr">
        <is>
          <t>K</t>
        </is>
      </c>
      <c r="G638" t="n">
        <v>3.9</v>
      </c>
      <c r="J638" t="n">
        <v>6.767030915810494</v>
      </c>
      <c r="K638" t="n">
        <v>6.603966922961659</v>
      </c>
      <c r="L638" t="n">
        <v>4.030212619741128</v>
      </c>
      <c r="M638" t="n">
        <v>3.966934027718285</v>
      </c>
      <c r="N638" t="n">
        <v>6.444495360244343</v>
      </c>
      <c r="O638" t="n">
        <v>3.928488573248506</v>
      </c>
      <c r="P638" t="n">
        <v>6.563264426034253</v>
      </c>
      <c r="Q638" t="n">
        <v>3.88198336568294</v>
      </c>
      <c r="BH638" t="n">
        <v>5.273</v>
      </c>
      <c r="BS638" t="n">
        <v>35.21</v>
      </c>
      <c r="CD638" t="n">
        <v>25.12</v>
      </c>
      <c r="CG638" t="n">
        <v>6</v>
      </c>
      <c r="FG638" t="n">
        <v>2.2</v>
      </c>
      <c r="FJ638" t="n">
        <v>2.374762702688426</v>
      </c>
      <c r="FK638" t="n">
        <v>2.433480070482224</v>
      </c>
      <c r="FL638" t="n">
        <v>2.415008834598666</v>
      </c>
      <c r="FM638" t="n">
        <v>2.376642353132995</v>
      </c>
      <c r="HH638" t="n">
        <v>2.4</v>
      </c>
      <c r="HS638" t="n">
        <v>9.09</v>
      </c>
      <c r="ID638" t="n">
        <v>1.05</v>
      </c>
      <c r="IG638" t="n">
        <v>8.4</v>
      </c>
      <c r="IJ638" t="n">
        <v>8.926678759736429</v>
      </c>
      <c r="IK638" t="n">
        <v>8.866574714434343</v>
      </c>
      <c r="IL638" t="n">
        <v>8.696151328710663</v>
      </c>
      <c r="IM638" t="n">
        <v>8.807845602522535</v>
      </c>
      <c r="KH638" t="n">
        <v>8.824</v>
      </c>
      <c r="KS638" t="n">
        <v>5.05</v>
      </c>
      <c r="LD638" t="n">
        <v>0.96</v>
      </c>
    </row>
    <row r="639">
      <c r="A639" t="inlineStr">
        <is>
          <t>2026-04-09</t>
        </is>
      </c>
      <c r="B639" t="inlineStr">
        <is>
          <t>Avian &amp; Reptile 26</t>
        </is>
      </c>
      <c r="C639" t="inlineStr">
        <is>
          <t>206426040901</t>
        </is>
      </c>
      <c r="D639" t="inlineStr">
        <is>
          <t>LDH</t>
        </is>
      </c>
      <c r="F639" t="n">
        <v>15</v>
      </c>
      <c r="J639" t="n">
        <v>649.6396437940049</v>
      </c>
      <c r="K639" t="n">
        <v>640.8419402485085</v>
      </c>
      <c r="L639" t="n">
        <v>328.8943224598752</v>
      </c>
      <c r="M639" t="n">
        <v>329.5788278748141</v>
      </c>
      <c r="N639" t="n">
        <v>635.1940493753038</v>
      </c>
      <c r="O639" t="n">
        <v>315.7602870528445</v>
      </c>
      <c r="P639" t="n">
        <v>636.7755108187366</v>
      </c>
      <c r="Q639" t="n">
        <v>320.3501787758816</v>
      </c>
      <c r="BH639" t="n">
        <v>482.129</v>
      </c>
      <c r="CD639" t="n">
        <v>32.89</v>
      </c>
      <c r="CF639" t="n">
        <v>15</v>
      </c>
      <c r="FF639" t="n">
        <v>15</v>
      </c>
      <c r="FJ639" t="n">
        <v>190.0719255568752</v>
      </c>
      <c r="FK639" t="n">
        <v>193.2799310902014</v>
      </c>
      <c r="FL639" t="n">
        <v>176.6985579137939</v>
      </c>
      <c r="FM639" t="n">
        <v>187.4894099268954</v>
      </c>
      <c r="HH639" t="n">
        <v>186.885</v>
      </c>
      <c r="ID639" t="n">
        <v>3.33</v>
      </c>
      <c r="IF639" t="n">
        <v>15</v>
      </c>
      <c r="IJ639" t="n">
        <v>834.3316337719768</v>
      </c>
      <c r="IK639" t="n">
        <v>836.2551660627888</v>
      </c>
      <c r="IL639" t="n">
        <v>805.7380267512309</v>
      </c>
      <c r="IM639" t="n">
        <v>808.8786381884105</v>
      </c>
      <c r="KH639" t="n">
        <v>821.301</v>
      </c>
      <c r="LD639" t="n">
        <v>1.71</v>
      </c>
    </row>
    <row r="640">
      <c r="A640" t="inlineStr">
        <is>
          <t>2026-04-09</t>
        </is>
      </c>
      <c r="B640" t="inlineStr">
        <is>
          <t>Avian &amp; Reptile 26</t>
        </is>
      </c>
      <c r="C640" t="inlineStr">
        <is>
          <t>206426040901</t>
        </is>
      </c>
      <c r="D640" t="inlineStr">
        <is>
          <t>Na</t>
        </is>
      </c>
      <c r="G640" t="n">
        <v>141</v>
      </c>
      <c r="J640" t="n">
        <v>144.6086241755447</v>
      </c>
      <c r="K640" t="n">
        <v>140.6631093968149</v>
      </c>
      <c r="L640" t="n">
        <v>153.985052078628</v>
      </c>
      <c r="M640" t="n">
        <v>150.3808621125693</v>
      </c>
      <c r="N640" t="n">
        <v>142.5674365758848</v>
      </c>
      <c r="O640" t="n">
        <v>153.6161427280032</v>
      </c>
      <c r="P640" t="n">
        <v>142.2812653512338</v>
      </c>
      <c r="Q640" t="n">
        <v>150.7786622895092</v>
      </c>
      <c r="BH640" t="n">
        <v>147.36</v>
      </c>
      <c r="BS640" t="n">
        <v>4.51</v>
      </c>
      <c r="CD640" t="n">
        <v>3.44</v>
      </c>
      <c r="CG640" t="n">
        <v>129</v>
      </c>
      <c r="FG640" t="n">
        <v>118</v>
      </c>
      <c r="FJ640" t="n">
        <v>127.9817015015928</v>
      </c>
      <c r="FK640" t="n">
        <v>125.0812747552822</v>
      </c>
      <c r="FL640" t="n">
        <v>127.4560223960888</v>
      </c>
      <c r="FM640" t="n">
        <v>127.7817160225274</v>
      </c>
      <c r="HH640" t="n">
        <v>127.075</v>
      </c>
      <c r="HS640" t="n">
        <v>7.69</v>
      </c>
      <c r="ID640" t="n">
        <v>0.92</v>
      </c>
      <c r="IG640" t="n">
        <v>166</v>
      </c>
      <c r="IJ640" t="n">
        <v>178.6079639974916</v>
      </c>
      <c r="IK640" t="n">
        <v>174.8873760413091</v>
      </c>
      <c r="IL640" t="n">
        <v>177.7757917258856</v>
      </c>
      <c r="IM640" t="n">
        <v>172.1157490435008</v>
      </c>
      <c r="KH640" t="n">
        <v>175.847</v>
      </c>
      <c r="KS640" t="n">
        <v>5.93</v>
      </c>
      <c r="LD640" t="n">
        <v>1.46</v>
      </c>
    </row>
    <row r="641">
      <c r="A641" t="inlineStr">
        <is>
          <t>2026-04-09</t>
        </is>
      </c>
      <c r="B641" t="inlineStr">
        <is>
          <t>General Chem 26</t>
        </is>
      </c>
      <c r="C641" t="inlineStr">
        <is>
          <t>205426040901</t>
        </is>
      </c>
      <c r="D641" t="inlineStr">
        <is>
          <t>AMY</t>
        </is>
      </c>
      <c r="F641" t="n">
        <v>10</v>
      </c>
      <c r="G641" t="n">
        <v>78</v>
      </c>
      <c r="H641" t="n">
        <v>858</v>
      </c>
      <c r="I641" t="n">
        <v>-702</v>
      </c>
      <c r="J641" t="n">
        <v>78.20677622059094</v>
      </c>
      <c r="K641" t="n">
        <v>77.62486922645705</v>
      </c>
      <c r="L641" t="n">
        <v>78.24921148739455</v>
      </c>
      <c r="M641" t="n">
        <v>77.95980224839059</v>
      </c>
      <c r="N641" t="n">
        <v>77.74698165406102</v>
      </c>
      <c r="O641" t="n">
        <v>75.79474636722426</v>
      </c>
      <c r="BH641" t="n">
        <v>77.59699999999999</v>
      </c>
      <c r="BS641" t="n">
        <v>-0.52</v>
      </c>
      <c r="CD641" t="n">
        <v>1.08</v>
      </c>
      <c r="CF641" t="n">
        <v>10</v>
      </c>
      <c r="CG641" t="n">
        <v>404</v>
      </c>
      <c r="CH641" t="n">
        <v>4444</v>
      </c>
      <c r="CI641" t="n">
        <v>-3636</v>
      </c>
      <c r="CJ641" t="n">
        <v>409.7994820931427</v>
      </c>
      <c r="CK641" t="n">
        <v>405.2153535113451</v>
      </c>
      <c r="CL641" t="n">
        <v>411.0696712008681</v>
      </c>
      <c r="CM641" t="n">
        <v>406.9513404156292</v>
      </c>
      <c r="CN641" t="n">
        <v>408.3061305169292</v>
      </c>
      <c r="EH641" t="n">
        <v>408.268</v>
      </c>
      <c r="ES641" t="n">
        <v>1.06</v>
      </c>
      <c r="FD641" t="n">
        <v>0.5</v>
      </c>
      <c r="FF641" t="n">
        <v>10</v>
      </c>
      <c r="FG641" t="n">
        <v>63</v>
      </c>
      <c r="FH641" t="n">
        <v>693</v>
      </c>
      <c r="FI641" t="n">
        <v>-567</v>
      </c>
      <c r="FJ641" t="n">
        <v>63.3909775395209</v>
      </c>
      <c r="FK641" t="n">
        <v>64.30247771742501</v>
      </c>
      <c r="FL641" t="n">
        <v>64.85338745124017</v>
      </c>
      <c r="FM641" t="n">
        <v>65.37901492807325</v>
      </c>
      <c r="FN641" t="n">
        <v>66.96676659733652</v>
      </c>
      <c r="HH641" t="n">
        <v>64.979</v>
      </c>
      <c r="HS641" t="n">
        <v>3.14</v>
      </c>
      <c r="ID641" t="n">
        <v>1.83</v>
      </c>
      <c r="IF641" t="n">
        <v>10</v>
      </c>
      <c r="IG641" t="n">
        <v>297</v>
      </c>
      <c r="IH641" t="n">
        <v>3267</v>
      </c>
      <c r="II641" t="n">
        <v>-2673</v>
      </c>
      <c r="IJ641" t="n">
        <v>298.0445366590961</v>
      </c>
      <c r="IK641" t="n">
        <v>298.9721080765295</v>
      </c>
      <c r="IL641" t="n">
        <v>298.6637792406107</v>
      </c>
      <c r="IM641" t="n">
        <v>295.4063290990497</v>
      </c>
      <c r="IN641" t="n">
        <v>299.8758990967129</v>
      </c>
      <c r="KH641" t="n">
        <v>298.193</v>
      </c>
      <c r="KS641" t="n">
        <v>0.4</v>
      </c>
      <c r="LD641" t="n">
        <v>0.51</v>
      </c>
    </row>
    <row r="642">
      <c r="A642" t="inlineStr">
        <is>
          <t>2026-04-09</t>
        </is>
      </c>
      <c r="B642" t="inlineStr">
        <is>
          <t>General Chem 26</t>
        </is>
      </c>
      <c r="C642" t="inlineStr">
        <is>
          <t>205426040901</t>
        </is>
      </c>
      <c r="D642" t="inlineStr">
        <is>
          <t>AST</t>
        </is>
      </c>
      <c r="F642" t="n">
        <v>15</v>
      </c>
      <c r="G642" t="n">
        <v>44</v>
      </c>
      <c r="H642" t="n">
        <v>704</v>
      </c>
      <c r="I642" t="n">
        <v>-616</v>
      </c>
      <c r="J642" t="n">
        <v>44.12478298402678</v>
      </c>
      <c r="K642" t="n">
        <v>42.00337691027749</v>
      </c>
      <c r="L642" t="n">
        <v>44.97889826314924</v>
      </c>
      <c r="M642" t="n">
        <v>45.52924013114604</v>
      </c>
      <c r="N642" t="n">
        <v>44.522742974223</v>
      </c>
      <c r="O642" t="n">
        <v>44.28568738083453</v>
      </c>
      <c r="BH642" t="n">
        <v>44.241</v>
      </c>
      <c r="BS642" t="n">
        <v>0.55</v>
      </c>
      <c r="CD642" t="n">
        <v>2.49</v>
      </c>
      <c r="CF642" t="n">
        <v>15</v>
      </c>
      <c r="CG642" t="n">
        <v>221</v>
      </c>
      <c r="CH642" t="n">
        <v>3536</v>
      </c>
      <c r="CI642" t="n">
        <v>-3094</v>
      </c>
      <c r="CJ642" t="n">
        <v>232.7147827664406</v>
      </c>
      <c r="CK642" t="n">
        <v>232.9813317756043</v>
      </c>
      <c r="CL642" t="n">
        <v>231.7222386604692</v>
      </c>
      <c r="CM642" t="n">
        <v>226.3941941494913</v>
      </c>
      <c r="CN642" t="n">
        <v>226.3674190572331</v>
      </c>
      <c r="EH642" t="n">
        <v>230.036</v>
      </c>
      <c r="ES642" t="n">
        <v>4.09</v>
      </c>
      <c r="FD642" t="n">
        <v>1.31</v>
      </c>
      <c r="FF642" t="n">
        <v>15</v>
      </c>
      <c r="FG642" t="n">
        <v>45</v>
      </c>
      <c r="FH642" t="n">
        <v>720</v>
      </c>
      <c r="FI642" t="n">
        <v>-630</v>
      </c>
      <c r="FJ642" t="n">
        <v>44.43194913949819</v>
      </c>
      <c r="FK642" t="n">
        <v>43.03206986333635</v>
      </c>
      <c r="FL642" t="n">
        <v>46.31509049242613</v>
      </c>
      <c r="FM642" t="n">
        <v>46.55164623541167</v>
      </c>
      <c r="FN642" t="n">
        <v>47.126195488447</v>
      </c>
      <c r="HH642" t="n">
        <v>45.491</v>
      </c>
      <c r="HS642" t="n">
        <v>1.09</v>
      </c>
      <c r="ID642" t="n">
        <v>3.35</v>
      </c>
      <c r="IF642" t="n">
        <v>15</v>
      </c>
      <c r="IG642" t="n">
        <v>282</v>
      </c>
      <c r="IH642" t="n">
        <v>4512</v>
      </c>
      <c r="II642" t="n">
        <v>-3948</v>
      </c>
      <c r="IJ642" t="n">
        <v>281.38670177911</v>
      </c>
      <c r="IK642" t="n">
        <v>282.6104117550089</v>
      </c>
      <c r="IL642" t="n">
        <v>284.7181819624776</v>
      </c>
      <c r="IM642" t="n">
        <v>278.1901993329497</v>
      </c>
      <c r="IN642" t="n">
        <v>284.8987565270988</v>
      </c>
      <c r="KH642" t="n">
        <v>282.361</v>
      </c>
      <c r="KS642" t="n">
        <v>0.13</v>
      </c>
      <c r="LD642" t="n">
        <v>0.87</v>
      </c>
    </row>
    <row r="643">
      <c r="A643" t="inlineStr">
        <is>
          <t>2026-04-09</t>
        </is>
      </c>
      <c r="B643" t="inlineStr">
        <is>
          <t>General Chem 26</t>
        </is>
      </c>
      <c r="C643" t="inlineStr">
        <is>
          <t>205426040901</t>
        </is>
      </c>
      <c r="D643" t="inlineStr">
        <is>
          <t>CHOL</t>
        </is>
      </c>
      <c r="F643" t="n">
        <v>10</v>
      </c>
      <c r="G643" t="n">
        <v>228</v>
      </c>
      <c r="H643" t="n">
        <v>2508</v>
      </c>
      <c r="I643" t="n">
        <v>-2052</v>
      </c>
      <c r="J643" t="n">
        <v>244.9108217443462</v>
      </c>
      <c r="K643" t="n">
        <v>242.6932659411308</v>
      </c>
      <c r="L643" t="n">
        <v>244.5777977581281</v>
      </c>
      <c r="M643" t="n">
        <v>242.4731450009784</v>
      </c>
      <c r="N643" t="n">
        <v>238.8185555738643</v>
      </c>
      <c r="O643" t="n">
        <v>241.1888105647095</v>
      </c>
      <c r="BH643" t="n">
        <v>242.444</v>
      </c>
      <c r="BS643" t="n">
        <v>6.33</v>
      </c>
      <c r="CD643" t="n">
        <v>0.85</v>
      </c>
      <c r="CF643" t="n">
        <v>10</v>
      </c>
      <c r="CG643" t="n">
        <v>99</v>
      </c>
      <c r="CH643" t="n">
        <v>1089</v>
      </c>
      <c r="CI643" t="n">
        <v>-891</v>
      </c>
      <c r="CJ643" t="n">
        <v>107.777168991201</v>
      </c>
      <c r="CK643" t="n">
        <v>106.1072308278978</v>
      </c>
      <c r="CL643" t="n">
        <v>104.8280100390888</v>
      </c>
      <c r="CM643" t="n">
        <v>106.6752529945672</v>
      </c>
      <c r="CN643" t="n">
        <v>105.9875512933997</v>
      </c>
      <c r="EH643" t="n">
        <v>106.275</v>
      </c>
      <c r="ES643" t="n">
        <v>7.35</v>
      </c>
      <c r="FD643" t="n">
        <v>0.9</v>
      </c>
      <c r="FF643" t="n">
        <v>10</v>
      </c>
      <c r="FG643" t="n">
        <v>115</v>
      </c>
      <c r="FH643" t="n">
        <v>1265</v>
      </c>
      <c r="FI643" t="n">
        <v>-1035</v>
      </c>
      <c r="FJ643" t="n">
        <v>121.4256022452267</v>
      </c>
      <c r="FK643" t="n">
        <v>121.6225815997472</v>
      </c>
      <c r="FL643" t="n">
        <v>121.9398962757166</v>
      </c>
      <c r="FM643" t="n">
        <v>120.9661674759807</v>
      </c>
      <c r="FN643" t="n">
        <v>122.4290610860012</v>
      </c>
      <c r="HH643" t="n">
        <v>121.677</v>
      </c>
      <c r="HS643" t="n">
        <v>5.81</v>
      </c>
      <c r="ID643" t="n">
        <v>0.4</v>
      </c>
      <c r="IF643" t="n">
        <v>10</v>
      </c>
      <c r="IG643" t="n">
        <v>269</v>
      </c>
      <c r="IH643" t="n">
        <v>2959</v>
      </c>
      <c r="II643" t="n">
        <v>-2421</v>
      </c>
      <c r="IJ643" t="n">
        <v>277.0774059250451</v>
      </c>
      <c r="IK643" t="n">
        <v>279.8094419150427</v>
      </c>
      <c r="IL643" t="n">
        <v>281.6526252911743</v>
      </c>
      <c r="IM643" t="n">
        <v>277.6977700014313</v>
      </c>
      <c r="IN643" t="n">
        <v>278.1857486070851</v>
      </c>
      <c r="KH643" t="n">
        <v>278.885</v>
      </c>
      <c r="KS643" t="n">
        <v>3.67</v>
      </c>
      <c r="LD643" t="n">
        <v>0.59</v>
      </c>
    </row>
    <row r="644">
      <c r="A644" t="inlineStr">
        <is>
          <t>2026-04-09</t>
        </is>
      </c>
      <c r="B644" t="inlineStr">
        <is>
          <t>General Chem 26</t>
        </is>
      </c>
      <c r="C644" t="inlineStr">
        <is>
          <t>205426040901</t>
        </is>
      </c>
      <c r="D644" t="inlineStr">
        <is>
          <t>CK</t>
        </is>
      </c>
      <c r="F644" t="n">
        <v>20</v>
      </c>
      <c r="J644" t="n">
        <v>148.5640351622994</v>
      </c>
      <c r="K644" t="n">
        <v>127.0387411998868</v>
      </c>
      <c r="L644" t="n">
        <v>133.3544241273141</v>
      </c>
      <c r="M644" t="n">
        <v>135.8254154489379</v>
      </c>
      <c r="N644" t="n">
        <v>130.7069338177597</v>
      </c>
      <c r="O644" t="n">
        <v>135.0333564864504</v>
      </c>
      <c r="BH644" t="n">
        <v>135.087</v>
      </c>
      <c r="CD644" t="n">
        <v>4.96</v>
      </c>
      <c r="CF644" t="n">
        <v>20</v>
      </c>
      <c r="CJ644" t="n">
        <v>503.5332746187387</v>
      </c>
      <c r="CK644" t="n">
        <v>504.0414367652979</v>
      </c>
      <c r="CL644" t="n">
        <v>495.5991778188672</v>
      </c>
      <c r="CM644" t="n">
        <v>495.2875878786772</v>
      </c>
      <c r="CN644" t="n">
        <v>492.406508524307</v>
      </c>
      <c r="EH644" t="n">
        <v>498.174</v>
      </c>
      <c r="FD644" t="n">
        <v>0.95</v>
      </c>
      <c r="FF644" t="n">
        <v>20</v>
      </c>
      <c r="FJ644" t="n">
        <v>66.11036500494035</v>
      </c>
      <c r="FK644" t="n">
        <v>67.08560189660224</v>
      </c>
      <c r="FL644" t="n">
        <v>76.75691209591147</v>
      </c>
      <c r="FM644" t="n">
        <v>66.96530003039182</v>
      </c>
      <c r="FN644" t="n">
        <v>69.0311258117047</v>
      </c>
      <c r="HH644" t="n">
        <v>69.19</v>
      </c>
      <c r="ID644" t="n">
        <v>5.64</v>
      </c>
      <c r="IF644" t="n">
        <v>20</v>
      </c>
      <c r="IJ644" t="n">
        <v>600.8506674090561</v>
      </c>
      <c r="IK644" t="n">
        <v>633.2918164478268</v>
      </c>
      <c r="IL644" t="n">
        <v>646.3105506347472</v>
      </c>
      <c r="IM644" t="n">
        <v>632.6360188610046</v>
      </c>
      <c r="IN644" t="n">
        <v>641.3942812883354</v>
      </c>
      <c r="KH644" t="n">
        <v>630.897</v>
      </c>
      <c r="LD644" t="n">
        <v>2.52</v>
      </c>
    </row>
    <row r="645">
      <c r="A645" t="inlineStr">
        <is>
          <t>2026-04-09</t>
        </is>
      </c>
      <c r="B645" t="inlineStr">
        <is>
          <t>General Chem 26</t>
        </is>
      </c>
      <c r="C645" t="inlineStr">
        <is>
          <t>205426040901</t>
        </is>
      </c>
      <c r="D645" t="inlineStr">
        <is>
          <t>Ca</t>
        </is>
      </c>
      <c r="G645" t="n">
        <v>9.1</v>
      </c>
      <c r="J645" t="n">
        <v>9.698961489026594</v>
      </c>
      <c r="K645" t="n">
        <v>9.414723697029457</v>
      </c>
      <c r="L645" t="n">
        <v>9.454618010888863</v>
      </c>
      <c r="M645" t="n">
        <v>9.759237031537312</v>
      </c>
      <c r="N645" t="n">
        <v>9.488776812910979</v>
      </c>
      <c r="O645" t="n">
        <v>9.407386413373253</v>
      </c>
      <c r="BH645" t="n">
        <v>9.537000000000001</v>
      </c>
      <c r="BS645" t="n">
        <v>4.81</v>
      </c>
      <c r="CD645" t="n">
        <v>1.46</v>
      </c>
      <c r="CG645" t="n">
        <v>12.4</v>
      </c>
      <c r="CJ645" t="n">
        <v>12.51213120319992</v>
      </c>
      <c r="CK645" t="n">
        <v>12.66305311962191</v>
      </c>
      <c r="CL645" t="n">
        <v>12.5200551214119</v>
      </c>
      <c r="CM645" t="n">
        <v>12.415231584455</v>
      </c>
      <c r="CN645" t="n">
        <v>12.39200077762423</v>
      </c>
      <c r="EH645" t="n">
        <v>12.5</v>
      </c>
      <c r="ES645" t="n">
        <v>0.8100000000000001</v>
      </c>
      <c r="FD645" t="n">
        <v>0.77</v>
      </c>
      <c r="FG645" t="n">
        <v>5.9</v>
      </c>
      <c r="FJ645" t="n">
        <v>5.759219774822311</v>
      </c>
      <c r="FK645" t="n">
        <v>6.060917178308118</v>
      </c>
      <c r="FL645" t="n">
        <v>5.738819850809127</v>
      </c>
      <c r="FM645" t="n">
        <v>5.765520055944371</v>
      </c>
      <c r="FN645" t="n">
        <v>5.992754866573364</v>
      </c>
      <c r="HH645" t="n">
        <v>5.863</v>
      </c>
      <c r="HS645" t="n">
        <v>-0.62</v>
      </c>
      <c r="ID645" t="n">
        <v>2.31</v>
      </c>
      <c r="IG645" t="n">
        <v>12.7</v>
      </c>
      <c r="IJ645" t="n">
        <v>12.39751921057291</v>
      </c>
      <c r="IK645" t="n">
        <v>13.09561078842123</v>
      </c>
      <c r="IL645" t="n">
        <v>12.53100213966516</v>
      </c>
      <c r="IM645" t="n">
        <v>12.95466002081593</v>
      </c>
      <c r="IN645" t="n">
        <v>12.34348500807332</v>
      </c>
      <c r="KH645" t="n">
        <v>12.664</v>
      </c>
      <c r="KS645" t="n">
        <v>-0.28</v>
      </c>
      <c r="LD645" t="n">
        <v>2.4</v>
      </c>
    </row>
    <row r="646">
      <c r="A646" t="inlineStr">
        <is>
          <t>2026-04-09</t>
        </is>
      </c>
      <c r="B646" t="inlineStr">
        <is>
          <t>General Chem 26</t>
        </is>
      </c>
      <c r="C646" t="inlineStr">
        <is>
          <t>205426040901</t>
        </is>
      </c>
      <c r="D646" t="inlineStr">
        <is>
          <t>GGT</t>
        </is>
      </c>
      <c r="F646" t="n">
        <v>15</v>
      </c>
      <c r="G646" t="n">
        <v>57</v>
      </c>
      <c r="H646" t="n">
        <v>912</v>
      </c>
      <c r="I646" t="n">
        <v>-798</v>
      </c>
      <c r="J646" t="n">
        <v>65.77494927761374</v>
      </c>
      <c r="K646" t="n">
        <v>61.93975410118504</v>
      </c>
      <c r="L646" t="n">
        <v>60.05914329407679</v>
      </c>
      <c r="M646" t="n">
        <v>59.73449860666226</v>
      </c>
      <c r="N646" t="n">
        <v>61.05799172989003</v>
      </c>
      <c r="O646" t="n">
        <v>57.99700024336708</v>
      </c>
      <c r="BH646" t="n">
        <v>61.094</v>
      </c>
      <c r="BS646" t="n">
        <v>7.18</v>
      </c>
      <c r="CD646" t="n">
        <v>3.96</v>
      </c>
      <c r="CF646" t="n">
        <v>15</v>
      </c>
      <c r="CG646" t="n">
        <v>164</v>
      </c>
      <c r="CH646" t="n">
        <v>2624</v>
      </c>
      <c r="CI646" t="n">
        <v>-2296</v>
      </c>
      <c r="CJ646" t="n">
        <v>175.7666156645833</v>
      </c>
      <c r="CK646" t="n">
        <v>172.4406315785058</v>
      </c>
      <c r="CL646" t="n">
        <v>175.7026455061313</v>
      </c>
      <c r="CM646" t="n">
        <v>171.2283080232748</v>
      </c>
      <c r="CN646" t="n">
        <v>173.8404467629002</v>
      </c>
      <c r="EH646" t="n">
        <v>173.796</v>
      </c>
      <c r="ES646" t="n">
        <v>5.97</v>
      </c>
      <c r="FD646" t="n">
        <v>1.03</v>
      </c>
      <c r="FF646" t="n">
        <v>15</v>
      </c>
      <c r="FG646" t="n">
        <v>23</v>
      </c>
      <c r="FH646" t="n">
        <v>368</v>
      </c>
      <c r="FI646" t="n">
        <v>-322</v>
      </c>
      <c r="FJ646" t="n">
        <v>26.48453645086966</v>
      </c>
      <c r="FK646" t="n">
        <v>23.56886965614427</v>
      </c>
      <c r="FL646" t="n">
        <v>23.39030579709182</v>
      </c>
      <c r="FM646" t="n">
        <v>24.99229230985918</v>
      </c>
      <c r="FN646" t="n">
        <v>24.66645790589188</v>
      </c>
      <c r="HH646" t="n">
        <v>24.62</v>
      </c>
      <c r="HS646" t="n">
        <v>7.05</v>
      </c>
      <c r="ID646" t="n">
        <v>4.54</v>
      </c>
      <c r="IF646" t="n">
        <v>15</v>
      </c>
      <c r="IG646" t="n">
        <v>126</v>
      </c>
      <c r="IH646" t="n">
        <v>2016</v>
      </c>
      <c r="II646" t="n">
        <v>-1764</v>
      </c>
      <c r="IJ646" t="n">
        <v>133.876085064958</v>
      </c>
      <c r="IK646" t="n">
        <v>137.6043676748888</v>
      </c>
      <c r="IL646" t="n">
        <v>133.8699181041021</v>
      </c>
      <c r="IM646" t="n">
        <v>133.5364082775407</v>
      </c>
      <c r="IN646" t="n">
        <v>136.7905820036821</v>
      </c>
      <c r="KH646" t="n">
        <v>135.135</v>
      </c>
      <c r="KS646" t="n">
        <v>7.25</v>
      </c>
      <c r="LD646" t="n">
        <v>1.26</v>
      </c>
    </row>
    <row r="647">
      <c r="A647" t="inlineStr">
        <is>
          <t>2026-04-09</t>
        </is>
      </c>
      <c r="B647" t="inlineStr">
        <is>
          <t>General Chem 26</t>
        </is>
      </c>
      <c r="C647" t="inlineStr">
        <is>
          <t>205426040901</t>
        </is>
      </c>
      <c r="D647" t="inlineStr">
        <is>
          <t>PHOS</t>
        </is>
      </c>
      <c r="F647" t="n">
        <v>10</v>
      </c>
      <c r="G647" t="n">
        <v>3.3</v>
      </c>
      <c r="H647" t="n">
        <v>36.3</v>
      </c>
      <c r="I647" t="n">
        <v>-29.7</v>
      </c>
      <c r="J647" t="n">
        <v>3.33376077373992</v>
      </c>
      <c r="K647" t="n">
        <v>3.248194506885334</v>
      </c>
      <c r="L647" t="n">
        <v>3.322128741940016</v>
      </c>
      <c r="M647" t="n">
        <v>3.307983921947506</v>
      </c>
      <c r="N647" t="n">
        <v>3.22308058426989</v>
      </c>
      <c r="O647" t="n">
        <v>3.264974997599542</v>
      </c>
      <c r="BH647" t="n">
        <v>3.283</v>
      </c>
      <c r="BS647" t="n">
        <v>-0.5</v>
      </c>
      <c r="CD647" t="n">
        <v>1.23</v>
      </c>
      <c r="CF647" t="n">
        <v>10</v>
      </c>
      <c r="CG647" t="n">
        <v>7.2</v>
      </c>
      <c r="CH647" t="n">
        <v>79.2</v>
      </c>
      <c r="CI647" t="n">
        <v>-64.8</v>
      </c>
      <c r="CJ647" t="n">
        <v>7.338560822193166</v>
      </c>
      <c r="CK647" t="n">
        <v>7.213290415428391</v>
      </c>
      <c r="CL647" t="n">
        <v>7.249222335502083</v>
      </c>
      <c r="CM647" t="n">
        <v>7.266272101296423</v>
      </c>
      <c r="CN647" t="n">
        <v>7.260602752308571</v>
      </c>
      <c r="EH647" t="n">
        <v>7.266</v>
      </c>
      <c r="ES647" t="n">
        <v>0.91</v>
      </c>
      <c r="FD647" t="n">
        <v>0.5600000000000001</v>
      </c>
      <c r="FF647" t="n">
        <v>10</v>
      </c>
      <c r="FG647" t="n">
        <v>1.9</v>
      </c>
      <c r="FH647" t="n">
        <v>20.9</v>
      </c>
      <c r="FI647" t="n">
        <v>-17.1</v>
      </c>
      <c r="FJ647" t="n">
        <v>1.919496418356586</v>
      </c>
      <c r="FK647" t="n">
        <v>1.978398826955052</v>
      </c>
      <c r="FL647" t="n">
        <v>1.952604063152532</v>
      </c>
      <c r="FM647" t="n">
        <v>1.928576554704815</v>
      </c>
      <c r="FN647" t="n">
        <v>1.974044074958214</v>
      </c>
      <c r="HH647" t="n">
        <v>1.951</v>
      </c>
      <c r="HS647" t="n">
        <v>2.66</v>
      </c>
      <c r="ID647" t="n">
        <v>1.21</v>
      </c>
      <c r="IF647" t="n">
        <v>10</v>
      </c>
      <c r="IG647" t="n">
        <v>7.2</v>
      </c>
      <c r="IH647" t="n">
        <v>79.2</v>
      </c>
      <c r="II647" t="n">
        <v>-64.8</v>
      </c>
      <c r="IJ647" t="n">
        <v>7.453721041445009</v>
      </c>
      <c r="IK647" t="n">
        <v>7.296895717758645</v>
      </c>
      <c r="IL647" t="n">
        <v>7.343998153989308</v>
      </c>
      <c r="IM647" t="n">
        <v>7.283476167691809</v>
      </c>
      <c r="IN647" t="n">
        <v>7.392137625229813</v>
      </c>
      <c r="KH647" t="n">
        <v>7.354</v>
      </c>
      <c r="KS647" t="n">
        <v>2.14</v>
      </c>
      <c r="LD647" t="n">
        <v>0.85</v>
      </c>
    </row>
    <row r="648">
      <c r="A648" t="inlineStr">
        <is>
          <t>2026-04-09</t>
        </is>
      </c>
      <c r="B648" t="inlineStr">
        <is>
          <t>General Chem 26</t>
        </is>
      </c>
      <c r="C648" t="inlineStr">
        <is>
          <t>205426040901</t>
        </is>
      </c>
      <c r="D648" t="inlineStr">
        <is>
          <t>TBIL</t>
        </is>
      </c>
      <c r="F648" t="n">
        <v>20</v>
      </c>
      <c r="G648" t="n">
        <v>1.1</v>
      </c>
      <c r="H648" t="n">
        <v>23.1</v>
      </c>
      <c r="I648" t="n">
        <v>-20.9</v>
      </c>
      <c r="J648" t="n">
        <v>1.355523371895234</v>
      </c>
      <c r="K648" t="n">
        <v>1.374725812093777</v>
      </c>
      <c r="L648" t="n">
        <v>1.388789843400327</v>
      </c>
      <c r="M648" t="n">
        <v>1.39490466375365</v>
      </c>
      <c r="N648" t="n">
        <v>1.428654591299527</v>
      </c>
      <c r="O648" t="n">
        <v>1.408725990992034</v>
      </c>
      <c r="BH648" t="n">
        <v>1.392</v>
      </c>
      <c r="BS648" t="n">
        <v>26.54</v>
      </c>
      <c r="CD648" t="n">
        <v>1.68</v>
      </c>
      <c r="CF648" t="n">
        <v>20</v>
      </c>
      <c r="CG648" t="n">
        <v>5.1</v>
      </c>
      <c r="CH648" t="n">
        <v>107.1</v>
      </c>
      <c r="CI648" t="n">
        <v>-96.89999999999999</v>
      </c>
      <c r="CJ648" t="n">
        <v>5.342639917379797</v>
      </c>
      <c r="CK648" t="n">
        <v>5.360100787163992</v>
      </c>
      <c r="CL648" t="n">
        <v>5.303843923460059</v>
      </c>
      <c r="CM648" t="n">
        <v>5.208872852471631</v>
      </c>
      <c r="CN648" t="n">
        <v>5.301931891825882</v>
      </c>
      <c r="EH648" t="n">
        <v>5.303</v>
      </c>
      <c r="ES648" t="n">
        <v>3.99</v>
      </c>
      <c r="FD648" t="n">
        <v>0.99</v>
      </c>
      <c r="FF648" t="n">
        <v>20</v>
      </c>
      <c r="FG648" t="n">
        <v>0.8</v>
      </c>
      <c r="FH648" t="n">
        <v>16.8</v>
      </c>
      <c r="FI648" t="n">
        <v>-15.2</v>
      </c>
      <c r="FJ648" t="n">
        <v>0.7804894464034433</v>
      </c>
      <c r="FK648" t="n">
        <v>0.7634729519977181</v>
      </c>
      <c r="FL648" t="n">
        <v>0.7711786164520484</v>
      </c>
      <c r="FM648" t="n">
        <v>0.7503549695132667</v>
      </c>
      <c r="FN648" t="n">
        <v>0.7527939261081285</v>
      </c>
      <c r="HH648" t="n">
        <v>0.764</v>
      </c>
      <c r="HS648" t="n">
        <v>-4.54</v>
      </c>
      <c r="ID648" t="n">
        <v>1.48</v>
      </c>
      <c r="IF648" t="n">
        <v>20</v>
      </c>
      <c r="IG648" t="n">
        <v>8.4</v>
      </c>
      <c r="IH648" t="n">
        <v>176.4</v>
      </c>
      <c r="II648" t="n">
        <v>-159.6</v>
      </c>
      <c r="IJ648" t="n">
        <v>8.392317201667664</v>
      </c>
      <c r="IK648" t="n">
        <v>8.335275333454296</v>
      </c>
      <c r="IL648" t="n">
        <v>8.387396974928611</v>
      </c>
      <c r="IM648" t="n">
        <v>8.29269618026896</v>
      </c>
      <c r="IN648" t="n">
        <v>8.401981604293873</v>
      </c>
      <c r="KH648" t="n">
        <v>8.362</v>
      </c>
      <c r="KS648" t="n">
        <v>-0.45</v>
      </c>
      <c r="LD648" t="n">
        <v>0.5</v>
      </c>
    </row>
    <row r="649">
      <c r="A649" t="inlineStr">
        <is>
          <t>2026-04-09</t>
        </is>
      </c>
      <c r="B649" t="inlineStr">
        <is>
          <t>Avian &amp; Reptile 26</t>
        </is>
      </c>
      <c r="C649" t="inlineStr">
        <is>
          <t>106326040901</t>
        </is>
      </c>
      <c r="D649" t="inlineStr">
        <is>
          <t>ALB</t>
        </is>
      </c>
      <c r="F649" t="n">
        <v>8</v>
      </c>
      <c r="G649" t="n">
        <v>4.2</v>
      </c>
      <c r="H649" t="n">
        <v>37.8</v>
      </c>
      <c r="I649" t="n">
        <v>-29.4</v>
      </c>
      <c r="J649" t="n">
        <v>-1.976464720938572</v>
      </c>
      <c r="K649" t="n">
        <v>4.212207084414091</v>
      </c>
      <c r="L649" t="n">
        <v>4.135849469844949</v>
      </c>
      <c r="M649" t="n">
        <v>4.142431280529577</v>
      </c>
      <c r="BH649" t="n">
        <v>2.629</v>
      </c>
      <c r="BS649" t="n">
        <v>-37.42</v>
      </c>
      <c r="CD649" t="n">
        <v>101.15</v>
      </c>
      <c r="CF649" t="n">
        <v>8</v>
      </c>
      <c r="CG649" t="n">
        <v>2.7</v>
      </c>
      <c r="CH649" t="n">
        <v>24.3</v>
      </c>
      <c r="CI649" t="n">
        <v>-18.9</v>
      </c>
      <c r="CJ649" t="n">
        <v>2.574538115872944</v>
      </c>
      <c r="CK649" t="n">
        <v>3.474356982749044</v>
      </c>
      <c r="CL649" t="n">
        <v>2.670192372488734</v>
      </c>
      <c r="CM649" t="n">
        <v>2.609694076437203</v>
      </c>
      <c r="EH649" t="n">
        <v>2.832</v>
      </c>
      <c r="ES649" t="n">
        <v>4.9</v>
      </c>
      <c r="FD649" t="n">
        <v>13.15</v>
      </c>
      <c r="FF649" t="n">
        <v>8</v>
      </c>
      <c r="FG649" t="n">
        <v>2.6</v>
      </c>
      <c r="FH649" t="n">
        <v>23.4</v>
      </c>
      <c r="FI649" t="n">
        <v>-18.2</v>
      </c>
      <c r="FJ649" t="n">
        <v>2.610141755641341</v>
      </c>
      <c r="FK649" t="n">
        <v>2.61305944473741</v>
      </c>
      <c r="FL649" t="n">
        <v>2.615582562120222</v>
      </c>
      <c r="HH649" t="n">
        <v>2.613</v>
      </c>
      <c r="HS649" t="n">
        <v>0.5</v>
      </c>
      <c r="ID649" t="n">
        <v>0.09</v>
      </c>
      <c r="IF649" t="n">
        <v>8</v>
      </c>
      <c r="IG649" t="n">
        <v>4.2</v>
      </c>
      <c r="IH649" t="n">
        <v>37.8</v>
      </c>
      <c r="II649" t="n">
        <v>-29.4</v>
      </c>
      <c r="IJ649" t="n">
        <v>4.23589479019576</v>
      </c>
      <c r="IK649" t="n">
        <v>4.231364858936737</v>
      </c>
      <c r="IL649" t="n">
        <v>4.24314526825447</v>
      </c>
      <c r="IM649" t="n">
        <v>4.225933795306617</v>
      </c>
      <c r="KH649" t="n">
        <v>4.234</v>
      </c>
      <c r="KS649" t="n">
        <v>0.8100000000000001</v>
      </c>
      <c r="LD649" t="n">
        <v>0.15</v>
      </c>
    </row>
    <row r="650">
      <c r="A650" t="inlineStr">
        <is>
          <t>2026-04-09</t>
        </is>
      </c>
      <c r="B650" t="inlineStr">
        <is>
          <t>Avian &amp; Reptile 26</t>
        </is>
      </c>
      <c r="C650" t="inlineStr">
        <is>
          <t>106326040901</t>
        </is>
      </c>
      <c r="D650" t="inlineStr">
        <is>
          <t>AST</t>
        </is>
      </c>
      <c r="F650" t="n">
        <v>15</v>
      </c>
      <c r="G650" t="n">
        <v>44</v>
      </c>
      <c r="H650" t="n">
        <v>704</v>
      </c>
      <c r="I650" t="n">
        <v>-616</v>
      </c>
      <c r="J650" t="n">
        <v>46.27253375316792</v>
      </c>
      <c r="K650" t="n">
        <v>47.05247957608846</v>
      </c>
      <c r="L650" t="n">
        <v>43.0217953991082</v>
      </c>
      <c r="M650" t="n">
        <v>44.95671023485511</v>
      </c>
      <c r="BH650" t="n">
        <v>45.326</v>
      </c>
      <c r="BS650" t="n">
        <v>3.01</v>
      </c>
      <c r="CD650" t="n">
        <v>3.37</v>
      </c>
      <c r="CF650" t="n">
        <v>15</v>
      </c>
      <c r="CG650" t="n">
        <v>221</v>
      </c>
      <c r="CH650" t="n">
        <v>3536</v>
      </c>
      <c r="CI650" t="n">
        <v>-3094</v>
      </c>
      <c r="CJ650" t="n">
        <v>216.0905039024827</v>
      </c>
      <c r="CK650" t="n">
        <v>303.5845782808838</v>
      </c>
      <c r="CL650" t="n">
        <v>223.5012329043175</v>
      </c>
      <c r="CM650" t="n">
        <v>220.7614765420278</v>
      </c>
      <c r="EH650" t="n">
        <v>240.984</v>
      </c>
      <c r="ES650" t="n">
        <v>9.039999999999999</v>
      </c>
      <c r="FD650" t="n">
        <v>15.04</v>
      </c>
      <c r="FF650" t="n">
        <v>15</v>
      </c>
      <c r="FG650" t="n">
        <v>45</v>
      </c>
      <c r="FH650" t="n">
        <v>720</v>
      </c>
      <c r="FI650" t="n">
        <v>-630</v>
      </c>
      <c r="FJ650" t="n">
        <v>45.89933226565722</v>
      </c>
      <c r="FK650" t="n">
        <v>45.75553036111778</v>
      </c>
      <c r="FL650" t="n">
        <v>45.98312339190966</v>
      </c>
      <c r="HH650" t="n">
        <v>45.879</v>
      </c>
      <c r="HS650" t="n">
        <v>1.95</v>
      </c>
      <c r="ID650" t="n">
        <v>0.2</v>
      </c>
      <c r="IF650" t="n">
        <v>15</v>
      </c>
      <c r="IG650" t="n">
        <v>282</v>
      </c>
      <c r="IH650" t="n">
        <v>4512</v>
      </c>
      <c r="II650" t="n">
        <v>-3948</v>
      </c>
      <c r="IJ650" t="n">
        <v>286.5826979229604</v>
      </c>
      <c r="IK650" t="n">
        <v>284.5878854548251</v>
      </c>
      <c r="IL650" t="n">
        <v>287.2805297227802</v>
      </c>
      <c r="IM650" t="n">
        <v>289.2411925754241</v>
      </c>
      <c r="KH650" t="n">
        <v>286.923</v>
      </c>
      <c r="KS650" t="n">
        <v>1.75</v>
      </c>
      <c r="LD650" t="n">
        <v>0.58</v>
      </c>
    </row>
    <row r="651">
      <c r="A651" t="inlineStr">
        <is>
          <t>2026-04-09</t>
        </is>
      </c>
      <c r="B651" t="inlineStr">
        <is>
          <t>Avian &amp; Reptile 26</t>
        </is>
      </c>
      <c r="C651" t="inlineStr">
        <is>
          <t>106326040901</t>
        </is>
      </c>
      <c r="D651" t="inlineStr">
        <is>
          <t>CK</t>
        </is>
      </c>
      <c r="F651" t="n">
        <v>20</v>
      </c>
      <c r="J651" t="n">
        <v>135.3678509050179</v>
      </c>
      <c r="K651" t="n">
        <v>147.8324825879928</v>
      </c>
      <c r="L651" t="n">
        <v>134.5741093174614</v>
      </c>
      <c r="M651" t="n">
        <v>120.843507752288</v>
      </c>
      <c r="BH651" t="n">
        <v>134.654</v>
      </c>
      <c r="CD651" t="n">
        <v>7.09</v>
      </c>
      <c r="CF651" t="n">
        <v>20</v>
      </c>
      <c r="CJ651" t="n">
        <v>457.0427725523981</v>
      </c>
      <c r="CK651" t="n">
        <v>659.5208026163017</v>
      </c>
      <c r="CL651" t="n">
        <v>447.7613633447118</v>
      </c>
      <c r="EH651" t="n">
        <v>521.442</v>
      </c>
      <c r="FD651" t="n">
        <v>18.74</v>
      </c>
      <c r="FF651" t="n">
        <v>20</v>
      </c>
      <c r="FJ651" t="n">
        <v>76.20298138747705</v>
      </c>
      <c r="FK651" t="n">
        <v>76.05207813200502</v>
      </c>
      <c r="FL651" t="n">
        <v>67.20844062564248</v>
      </c>
      <c r="HH651" t="n">
        <v>73.155</v>
      </c>
      <c r="ID651" t="n">
        <v>5.75</v>
      </c>
      <c r="IF651" t="n">
        <v>20</v>
      </c>
      <c r="IJ651" t="n">
        <v>617.4614752029759</v>
      </c>
      <c r="IK651" t="n">
        <v>620.5251386086799</v>
      </c>
      <c r="IL651" t="n">
        <v>611.3456349555867</v>
      </c>
      <c r="IM651" t="n">
        <v>603.4196615990759</v>
      </c>
      <c r="KH651" t="n">
        <v>613.188</v>
      </c>
      <c r="LD651" t="n">
        <v>1.07</v>
      </c>
    </row>
    <row r="652">
      <c r="A652" t="inlineStr">
        <is>
          <t>2026-04-09</t>
        </is>
      </c>
      <c r="B652" t="inlineStr">
        <is>
          <t>Avian &amp; Reptile 26</t>
        </is>
      </c>
      <c r="C652" t="inlineStr">
        <is>
          <t>106326040901</t>
        </is>
      </c>
      <c r="D652" t="inlineStr">
        <is>
          <t>Ca</t>
        </is>
      </c>
      <c r="G652" t="n">
        <v>9.1</v>
      </c>
      <c r="J652" t="n">
        <v>9.756557410132773</v>
      </c>
      <c r="K652" t="n">
        <v>9.803134209208917</v>
      </c>
      <c r="L652" t="n">
        <v>9.622789308697243</v>
      </c>
      <c r="M652" t="n">
        <v>9.729869166541388</v>
      </c>
      <c r="BH652" t="n">
        <v>9.728</v>
      </c>
      <c r="BS652" t="n">
        <v>6.9</v>
      </c>
      <c r="CD652" t="n">
        <v>0.68</v>
      </c>
      <c r="CG652" t="n">
        <v>12.4</v>
      </c>
      <c r="CJ652" t="n">
        <v>12.36619921007715</v>
      </c>
      <c r="CK652" t="n">
        <v>14.72974403464628</v>
      </c>
      <c r="CL652" t="n">
        <v>13.61597126120899</v>
      </c>
      <c r="CM652" t="n">
        <v>12.15313389440622</v>
      </c>
      <c r="EH652" t="n">
        <v>13.216</v>
      </c>
      <c r="ES652" t="n">
        <v>6.58</v>
      </c>
      <c r="FD652" t="n">
        <v>7.85</v>
      </c>
      <c r="FG652" t="n">
        <v>5.9</v>
      </c>
      <c r="FJ652" t="n">
        <v>5.901579880363162</v>
      </c>
      <c r="FK652" t="n">
        <v>5.962319817912721</v>
      </c>
      <c r="FL652" t="n">
        <v>5.863340327431475</v>
      </c>
      <c r="HH652" t="n">
        <v>5.909</v>
      </c>
      <c r="HS652" t="n">
        <v>0.15</v>
      </c>
      <c r="ID652" t="n">
        <v>0.6899999999999999</v>
      </c>
      <c r="IG652" t="n">
        <v>12.7</v>
      </c>
      <c r="IJ652" t="n">
        <v>13.12277639597912</v>
      </c>
      <c r="IK652" t="n">
        <v>12.98161276145693</v>
      </c>
      <c r="IL652" t="n">
        <v>13.01853367285634</v>
      </c>
      <c r="IM652" t="n">
        <v>12.85696838572227</v>
      </c>
      <c r="KH652" t="n">
        <v>12.995</v>
      </c>
      <c r="KS652" t="n">
        <v>2.32</v>
      </c>
      <c r="LD652" t="n">
        <v>0.73</v>
      </c>
    </row>
    <row r="653">
      <c r="A653" t="inlineStr">
        <is>
          <t>2026-04-09</t>
        </is>
      </c>
      <c r="B653" t="inlineStr">
        <is>
          <t>Avian &amp; Reptile 26</t>
        </is>
      </c>
      <c r="C653" t="inlineStr">
        <is>
          <t>106326040901</t>
        </is>
      </c>
      <c r="D653" t="inlineStr">
        <is>
          <t>GLU</t>
        </is>
      </c>
      <c r="F653" t="n">
        <v>8</v>
      </c>
      <c r="G653" t="n">
        <v>90.16</v>
      </c>
      <c r="H653" t="n">
        <v>811.4399999999999</v>
      </c>
      <c r="I653" t="n">
        <v>-631.12</v>
      </c>
      <c r="J653" t="n">
        <v>94.75971211811202</v>
      </c>
      <c r="K653" t="n">
        <v>94.58616437155226</v>
      </c>
      <c r="L653" t="n">
        <v>94.10193773029877</v>
      </c>
      <c r="M653" t="n">
        <v>94.28240888089056</v>
      </c>
      <c r="BH653" t="n">
        <v>94.43300000000001</v>
      </c>
      <c r="BS653" t="n">
        <v>4.74</v>
      </c>
      <c r="CD653" t="n">
        <v>0.27</v>
      </c>
      <c r="CF653" t="n">
        <v>8</v>
      </c>
      <c r="CG653" t="n">
        <v>293.02</v>
      </c>
      <c r="CH653" t="n">
        <v>2637.18</v>
      </c>
      <c r="CI653" t="n">
        <v>-2051.14</v>
      </c>
      <c r="CJ653" t="n">
        <v>298.2767278739971</v>
      </c>
      <c r="CK653" t="n">
        <v>358.196312605985</v>
      </c>
      <c r="CL653" t="n">
        <v>312.5533104130943</v>
      </c>
      <c r="CM653" t="n">
        <v>304.5242333993952</v>
      </c>
      <c r="EH653" t="n">
        <v>318.388</v>
      </c>
      <c r="ES653" t="n">
        <v>8.66</v>
      </c>
      <c r="FD653" t="n">
        <v>7.39</v>
      </c>
      <c r="FF653" t="n">
        <v>8</v>
      </c>
      <c r="FG653" t="n">
        <v>65.66</v>
      </c>
      <c r="FH653" t="n">
        <v>590.9399999999999</v>
      </c>
      <c r="FI653" t="n">
        <v>-459.62</v>
      </c>
      <c r="FJ653" t="n">
        <v>67.68598831194217</v>
      </c>
      <c r="FK653" t="n">
        <v>68.36067361706844</v>
      </c>
      <c r="FL653" t="n">
        <v>67.80577611860113</v>
      </c>
      <c r="HH653" t="n">
        <v>67.95099999999999</v>
      </c>
      <c r="HS653" t="n">
        <v>3.49</v>
      </c>
      <c r="ID653" t="n">
        <v>0.43</v>
      </c>
      <c r="IF653" t="n">
        <v>8</v>
      </c>
      <c r="IG653" t="n">
        <v>359.66</v>
      </c>
      <c r="IH653" t="n">
        <v>3236.94</v>
      </c>
      <c r="II653" t="n">
        <v>-2517.62</v>
      </c>
      <c r="IJ653" t="n">
        <v>379.7406497762</v>
      </c>
      <c r="IK653" t="n">
        <v>377.3381832988835</v>
      </c>
      <c r="IL653" t="n">
        <v>380.3534793029102</v>
      </c>
      <c r="IM653" t="n">
        <v>380.4549939533326</v>
      </c>
      <c r="KH653" t="n">
        <v>379.472</v>
      </c>
      <c r="KS653" t="n">
        <v>5.51</v>
      </c>
      <c r="LD653" t="n">
        <v>0.33</v>
      </c>
    </row>
    <row r="654">
      <c r="A654" t="inlineStr">
        <is>
          <t>2026-04-09</t>
        </is>
      </c>
      <c r="B654" t="inlineStr">
        <is>
          <t>Avian &amp; Reptile 26</t>
        </is>
      </c>
      <c r="C654" t="inlineStr">
        <is>
          <t>106326040901</t>
        </is>
      </c>
      <c r="D654" t="inlineStr">
        <is>
          <t>PHOS</t>
        </is>
      </c>
      <c r="F654" t="n">
        <v>10</v>
      </c>
      <c r="G654" t="n">
        <v>3.3</v>
      </c>
      <c r="H654" t="n">
        <v>36.3</v>
      </c>
      <c r="I654" t="n">
        <v>-29.7</v>
      </c>
      <c r="J654" t="n">
        <v>3.320895955203804</v>
      </c>
      <c r="K654" t="n">
        <v>3.352231293673245</v>
      </c>
      <c r="L654" t="n">
        <v>3.282122134349077</v>
      </c>
      <c r="M654" t="n">
        <v>3.286550200140975</v>
      </c>
      <c r="BH654" t="n">
        <v>3.31</v>
      </c>
      <c r="BS654" t="n">
        <v>0.32</v>
      </c>
      <c r="CD654" t="n">
        <v>0.86</v>
      </c>
      <c r="CF654" t="n">
        <v>10</v>
      </c>
      <c r="CG654" t="n">
        <v>7.2</v>
      </c>
      <c r="CH654" t="n">
        <v>79.2</v>
      </c>
      <c r="CI654" t="n">
        <v>-64.8</v>
      </c>
      <c r="CJ654" t="n">
        <v>6.868006522266494</v>
      </c>
      <c r="CK654" t="n">
        <v>9.494905897189359</v>
      </c>
      <c r="CL654" t="n">
        <v>7.063328268486439</v>
      </c>
      <c r="CM654" t="n">
        <v>6.96085646038231</v>
      </c>
      <c r="EH654" t="n">
        <v>7.597</v>
      </c>
      <c r="ES654" t="n">
        <v>5.51</v>
      </c>
      <c r="FD654" t="n">
        <v>14.45</v>
      </c>
      <c r="FF654" t="n">
        <v>10</v>
      </c>
      <c r="FG654" t="n">
        <v>1.9</v>
      </c>
      <c r="FH654" t="n">
        <v>20.9</v>
      </c>
      <c r="FI654" t="n">
        <v>-17.1</v>
      </c>
      <c r="FJ654" t="n">
        <v>1.93652248967442</v>
      </c>
      <c r="FK654" t="n">
        <v>1.982443165070889</v>
      </c>
      <c r="FL654" t="n">
        <v>1.988193194084243</v>
      </c>
      <c r="HH654" t="n">
        <v>1.969</v>
      </c>
      <c r="HS654" t="n">
        <v>3.63</v>
      </c>
      <c r="ID654" t="n">
        <v>1.17</v>
      </c>
      <c r="IF654" t="n">
        <v>10</v>
      </c>
      <c r="IG654" t="n">
        <v>7.2</v>
      </c>
      <c r="IH654" t="n">
        <v>79.2</v>
      </c>
      <c r="II654" t="n">
        <v>-64.8</v>
      </c>
      <c r="IJ654" t="n">
        <v>7.619854157630745</v>
      </c>
      <c r="IK654" t="n">
        <v>7.475213289077158</v>
      </c>
      <c r="IL654" t="n">
        <v>7.600591280417218</v>
      </c>
      <c r="IM654" t="n">
        <v>7.455058618456901</v>
      </c>
      <c r="KH654" t="n">
        <v>7.538</v>
      </c>
      <c r="KS654" t="n">
        <v>4.69</v>
      </c>
      <c r="LD654" t="n">
        <v>0.97</v>
      </c>
    </row>
    <row r="655">
      <c r="A655" t="inlineStr">
        <is>
          <t>2026-04-09</t>
        </is>
      </c>
      <c r="B655" t="inlineStr">
        <is>
          <t>Avian &amp; Reptile 26</t>
        </is>
      </c>
      <c r="C655" t="inlineStr">
        <is>
          <t>106326040901</t>
        </is>
      </c>
      <c r="D655" t="inlineStr">
        <is>
          <t>TP</t>
        </is>
      </c>
      <c r="F655" t="n">
        <v>8</v>
      </c>
      <c r="G655" t="n">
        <v>6.4</v>
      </c>
      <c r="H655" t="n">
        <v>57.6</v>
      </c>
      <c r="I655" t="n">
        <v>-44.8</v>
      </c>
      <c r="J655" t="n">
        <v>6.764225896473917</v>
      </c>
      <c r="K655" t="n">
        <v>6.87721579186691</v>
      </c>
      <c r="L655" t="n">
        <v>6.754453155948779</v>
      </c>
      <c r="M655" t="n">
        <v>6.757314928005143</v>
      </c>
      <c r="BH655" t="n">
        <v>6.788</v>
      </c>
      <c r="BS655" t="n">
        <v>6.07</v>
      </c>
      <c r="CD655" t="n">
        <v>0.76</v>
      </c>
      <c r="CF655" t="n">
        <v>8</v>
      </c>
      <c r="CG655" t="n">
        <v>4.1</v>
      </c>
      <c r="CH655" t="n">
        <v>36.9</v>
      </c>
      <c r="CI655" t="n">
        <v>-28.7</v>
      </c>
      <c r="CJ655" t="n">
        <v>4.062332500059551</v>
      </c>
      <c r="CK655" t="n">
        <v>6.018925826576217</v>
      </c>
      <c r="CL655" t="n">
        <v>4.262607024367922</v>
      </c>
      <c r="CM655" t="n">
        <v>4.127613626006498</v>
      </c>
      <c r="EH655" t="n">
        <v>4.618</v>
      </c>
      <c r="ES655" t="n">
        <v>12.63</v>
      </c>
      <c r="FD655" t="n">
        <v>17.59</v>
      </c>
      <c r="FF655" t="n">
        <v>8</v>
      </c>
      <c r="FG655" t="n">
        <v>4.2</v>
      </c>
      <c r="FH655" t="n">
        <v>37.8</v>
      </c>
      <c r="FI655" t="n">
        <v>-29.4</v>
      </c>
      <c r="FJ655" t="n">
        <v>4.062535255828806</v>
      </c>
      <c r="FK655" t="n">
        <v>4.155814848036882</v>
      </c>
      <c r="FL655" t="n">
        <v>4.155411108955782</v>
      </c>
      <c r="HH655" t="n">
        <v>4.125</v>
      </c>
      <c r="HS655" t="n">
        <v>-1.8</v>
      </c>
      <c r="ID655" t="n">
        <v>1.06</v>
      </c>
      <c r="IF655" t="n">
        <v>8</v>
      </c>
      <c r="IG655" t="n">
        <v>7.5</v>
      </c>
      <c r="IH655" t="n">
        <v>67.5</v>
      </c>
      <c r="II655" t="n">
        <v>-52.5</v>
      </c>
      <c r="IJ655" t="n">
        <v>7.887858950960601</v>
      </c>
      <c r="IK655" t="n">
        <v>7.885749802020591</v>
      </c>
      <c r="IL655" t="n">
        <v>7.876196211372637</v>
      </c>
      <c r="IM655" t="n">
        <v>7.90195305840698</v>
      </c>
      <c r="KH655" t="n">
        <v>7.888</v>
      </c>
      <c r="KS655" t="n">
        <v>5.17</v>
      </c>
      <c r="LD655" t="n">
        <v>0.12</v>
      </c>
    </row>
    <row r="656">
      <c r="A656" t="inlineStr">
        <is>
          <t>2026-04-09</t>
        </is>
      </c>
      <c r="B656" t="inlineStr">
        <is>
          <t>Avian &amp; Reptile 26</t>
        </is>
      </c>
      <c r="C656" t="inlineStr">
        <is>
          <t>106326040901</t>
        </is>
      </c>
      <c r="D656" t="inlineStr">
        <is>
          <t>URIC</t>
        </is>
      </c>
      <c r="F656" t="n">
        <v>10</v>
      </c>
      <c r="G656" t="n">
        <v>4.561200670000002</v>
      </c>
      <c r="H656" t="n">
        <v>50.17320737000001</v>
      </c>
      <c r="I656" t="n">
        <v>-41.05080603000002</v>
      </c>
      <c r="J656" t="n">
        <v>4.720681434757434</v>
      </c>
      <c r="K656" t="n">
        <v>4.671796324370322</v>
      </c>
      <c r="L656" t="n">
        <v>4.671802216947459</v>
      </c>
      <c r="M656" t="n">
        <v>4.650213432003482</v>
      </c>
      <c r="BH656" t="n">
        <v>4.679</v>
      </c>
      <c r="BS656" t="n">
        <v>2.57</v>
      </c>
      <c r="CD656" t="n">
        <v>0.55</v>
      </c>
      <c r="CF656" t="n">
        <v>10</v>
      </c>
      <c r="CG656" t="n">
        <v>9.699999999999999</v>
      </c>
      <c r="CH656" t="n">
        <v>106.7</v>
      </c>
      <c r="CI656" t="n">
        <v>-87.3</v>
      </c>
      <c r="CJ656" t="n">
        <v>9.490889944941836</v>
      </c>
      <c r="CK656" t="n">
        <v>12.07027229316191</v>
      </c>
      <c r="CL656" t="n">
        <v>9.885185748976415</v>
      </c>
      <c r="CM656" t="n">
        <v>9.577484632211426</v>
      </c>
      <c r="EH656" t="n">
        <v>10.256</v>
      </c>
      <c r="ES656" t="n">
        <v>5.73</v>
      </c>
      <c r="FD656" t="n">
        <v>10.31</v>
      </c>
      <c r="FF656" t="n">
        <v>10</v>
      </c>
      <c r="FG656" t="n">
        <v>2.7</v>
      </c>
      <c r="FH656" t="n">
        <v>29.7</v>
      </c>
      <c r="FI656" t="n">
        <v>-24.3</v>
      </c>
      <c r="FJ656" t="n">
        <v>2.975264175397675</v>
      </c>
      <c r="FK656" t="n">
        <v>3.047262840182484</v>
      </c>
      <c r="FL656" t="n">
        <v>3.075503101601223</v>
      </c>
      <c r="HH656" t="n">
        <v>3.033</v>
      </c>
      <c r="HS656" t="n">
        <v>12.32</v>
      </c>
      <c r="ID656" t="n">
        <v>1.39</v>
      </c>
      <c r="IF656" t="n">
        <v>10</v>
      </c>
      <c r="IG656" t="n">
        <v>9.300000000000001</v>
      </c>
      <c r="IH656" t="n">
        <v>102.3</v>
      </c>
      <c r="II656" t="n">
        <v>-83.7</v>
      </c>
      <c r="IJ656" t="n">
        <v>9.865154227719897</v>
      </c>
      <c r="IK656" t="n">
        <v>9.921202878792561</v>
      </c>
      <c r="IL656" t="n">
        <v>9.990171221326943</v>
      </c>
      <c r="IM656" t="n">
        <v>9.982105220090078</v>
      </c>
      <c r="KH656" t="n">
        <v>9.94</v>
      </c>
      <c r="KS656" t="n">
        <v>6.88</v>
      </c>
      <c r="LD656" t="n">
        <v>0.51</v>
      </c>
    </row>
    <row r="657">
      <c r="A657" t="inlineStr">
        <is>
          <t>2026-04-09</t>
        </is>
      </c>
      <c r="B657" t="inlineStr">
        <is>
          <t>General Chem 26</t>
        </is>
      </c>
      <c r="C657" t="inlineStr">
        <is>
          <t>105326040901</t>
        </is>
      </c>
      <c r="D657" t="inlineStr">
        <is>
          <t>ALB</t>
        </is>
      </c>
      <c r="F657" t="n">
        <v>8</v>
      </c>
      <c r="G657" t="n">
        <v>4.2</v>
      </c>
      <c r="H657" t="n">
        <v>37.8</v>
      </c>
      <c r="I657" t="n">
        <v>-29.4</v>
      </c>
      <c r="J657" t="n">
        <v>4.372292848320831</v>
      </c>
      <c r="K657" t="n">
        <v>4.392884732388034</v>
      </c>
      <c r="L657" t="n">
        <v>4.37808399071271</v>
      </c>
      <c r="M657" t="n">
        <v>4.500905898586698</v>
      </c>
      <c r="N657" t="n">
        <v>4.426778902405609</v>
      </c>
      <c r="O657" t="n">
        <v>4.368938364129725</v>
      </c>
      <c r="BH657" t="n">
        <v>4.407</v>
      </c>
      <c r="BS657" t="n">
        <v>4.92</v>
      </c>
      <c r="CD657" t="n">
        <v>1.05</v>
      </c>
      <c r="CF657" t="n">
        <v>8</v>
      </c>
      <c r="CG657" t="n">
        <v>2.7</v>
      </c>
      <c r="CH657" t="n">
        <v>24.3</v>
      </c>
      <c r="CI657" t="n">
        <v>-18.9</v>
      </c>
      <c r="CJ657" t="n">
        <v>2.953114624224407</v>
      </c>
      <c r="CK657" t="n">
        <v>3.038415077865064</v>
      </c>
      <c r="CL657" t="n">
        <v>3.025222306499925</v>
      </c>
      <c r="CM657" t="n">
        <v>3.0563936691023</v>
      </c>
      <c r="CN657" t="n">
        <v>3.037805791072465</v>
      </c>
      <c r="EH657" t="n">
        <v>3.022</v>
      </c>
      <c r="ES657" t="n">
        <v>11.93</v>
      </c>
      <c r="FD657" t="n">
        <v>1.19</v>
      </c>
      <c r="FF657" t="n">
        <v>8</v>
      </c>
      <c r="FG657" t="n">
        <v>2.6</v>
      </c>
      <c r="FH657" t="n">
        <v>23.4</v>
      </c>
      <c r="FI657" t="n">
        <v>-18.2</v>
      </c>
      <c r="FJ657" t="n">
        <v>2.806041761443303</v>
      </c>
      <c r="FK657" t="n">
        <v>2.804722895400565</v>
      </c>
      <c r="FL657" t="n">
        <v>2.824544783184274</v>
      </c>
      <c r="FM657" t="n">
        <v>2.834527189538579</v>
      </c>
      <c r="FN657" t="n">
        <v>2.815257739538061</v>
      </c>
      <c r="HH657" t="n">
        <v>2.817</v>
      </c>
      <c r="HS657" t="n">
        <v>8.35</v>
      </c>
      <c r="ID657" t="n">
        <v>0.4</v>
      </c>
      <c r="IF657" t="n">
        <v>8</v>
      </c>
      <c r="IG657" t="n">
        <v>4.2</v>
      </c>
      <c r="IH657" t="n">
        <v>37.8</v>
      </c>
      <c r="II657" t="n">
        <v>-29.4</v>
      </c>
      <c r="IJ657" t="n">
        <v>4.29349312650833</v>
      </c>
      <c r="IK657" t="n">
        <v>4.33383039679541</v>
      </c>
      <c r="IL657" t="n">
        <v>4.445813425890552</v>
      </c>
      <c r="IM657" t="n">
        <v>4.439928444241351</v>
      </c>
      <c r="IN657" t="n">
        <v>4.355989021363644</v>
      </c>
      <c r="KH657" t="n">
        <v>4.374</v>
      </c>
      <c r="KS657" t="n">
        <v>4.14</v>
      </c>
      <c r="LD657" t="n">
        <v>1.37</v>
      </c>
    </row>
    <row r="658">
      <c r="A658" t="inlineStr">
        <is>
          <t>2026-04-09</t>
        </is>
      </c>
      <c r="B658" t="inlineStr">
        <is>
          <t>General Chem 26</t>
        </is>
      </c>
      <c r="C658" t="inlineStr">
        <is>
          <t>105326040901</t>
        </is>
      </c>
      <c r="D658" t="inlineStr">
        <is>
          <t>ALP</t>
        </is>
      </c>
      <c r="F658" t="n">
        <v>20</v>
      </c>
      <c r="G658" t="n">
        <v>136</v>
      </c>
      <c r="H658" t="n">
        <v>2856</v>
      </c>
      <c r="I658" t="n">
        <v>-2584</v>
      </c>
      <c r="J658" t="n">
        <v>161.3585024878147</v>
      </c>
      <c r="K658" t="n">
        <v>162.6080781636426</v>
      </c>
      <c r="L658" t="n">
        <v>162.0829655097207</v>
      </c>
      <c r="M658" t="n">
        <v>163.6678385251802</v>
      </c>
      <c r="N658" t="n">
        <v>162.087447463688</v>
      </c>
      <c r="O658" t="n">
        <v>164.1912955293313</v>
      </c>
      <c r="BH658" t="n">
        <v>162.666</v>
      </c>
      <c r="BS658" t="n">
        <v>19.61</v>
      </c>
      <c r="CD658" t="n">
        <v>0.6</v>
      </c>
      <c r="CF658" t="n">
        <v>20</v>
      </c>
      <c r="CG658" t="n">
        <v>456</v>
      </c>
      <c r="CH658" t="n">
        <v>9576</v>
      </c>
      <c r="CI658" t="n">
        <v>-8664</v>
      </c>
      <c r="CJ658" t="n">
        <v>536.8956115258796</v>
      </c>
      <c r="CK658" t="n">
        <v>530.8092598461155</v>
      </c>
      <c r="CL658" t="n">
        <v>542.8032448506239</v>
      </c>
      <c r="CM658" t="n">
        <v>543.5957263597579</v>
      </c>
      <c r="CN658" t="n">
        <v>534.3270052114029</v>
      </c>
      <c r="EH658" t="n">
        <v>537.686</v>
      </c>
      <c r="ES658" t="n">
        <v>17.91</v>
      </c>
      <c r="FD658" t="n">
        <v>0.91</v>
      </c>
      <c r="FF658" t="n">
        <v>20</v>
      </c>
      <c r="FG658" t="n">
        <v>75</v>
      </c>
      <c r="FH658" t="n">
        <v>1575</v>
      </c>
      <c r="FI658" t="n">
        <v>-1425</v>
      </c>
      <c r="FJ658" t="n">
        <v>82.98199687185338</v>
      </c>
      <c r="FK658" t="n">
        <v>82.57523148837269</v>
      </c>
      <c r="FL658" t="n">
        <v>82.84017688771156</v>
      </c>
      <c r="FM658" t="n">
        <v>83.19306626422583</v>
      </c>
      <c r="FN658" t="n">
        <v>82.98651642447412</v>
      </c>
      <c r="HH658" t="n">
        <v>82.91500000000001</v>
      </c>
      <c r="HS658" t="n">
        <v>10.55</v>
      </c>
      <c r="ID658" t="n">
        <v>0.25</v>
      </c>
      <c r="IF658" t="n">
        <v>20</v>
      </c>
      <c r="IG658" t="n">
        <v>251</v>
      </c>
      <c r="IH658" t="n">
        <v>5271</v>
      </c>
      <c r="II658" t="n">
        <v>-4769</v>
      </c>
      <c r="IJ658" t="n">
        <v>264.4631901533526</v>
      </c>
      <c r="IK658" t="n">
        <v>270.9673707990354</v>
      </c>
      <c r="IL658" t="n">
        <v>266.7300197942341</v>
      </c>
      <c r="IM658" t="n">
        <v>264.4563168686931</v>
      </c>
      <c r="IN658" t="n">
        <v>269.571337931029</v>
      </c>
      <c r="KH658" t="n">
        <v>267.238</v>
      </c>
      <c r="KS658" t="n">
        <v>6.47</v>
      </c>
      <c r="LD658" t="n">
        <v>0.99</v>
      </c>
    </row>
    <row r="659">
      <c r="A659" t="inlineStr">
        <is>
          <t>2026-04-09</t>
        </is>
      </c>
      <c r="B659" t="inlineStr">
        <is>
          <t>General Chem 26</t>
        </is>
      </c>
      <c r="C659" t="inlineStr">
        <is>
          <t>105326040901</t>
        </is>
      </c>
      <c r="D659" t="inlineStr">
        <is>
          <t>ALT</t>
        </is>
      </c>
      <c r="F659" t="n">
        <v>15</v>
      </c>
      <c r="G659" t="n">
        <v>28</v>
      </c>
      <c r="H659" t="n">
        <v>448</v>
      </c>
      <c r="I659" t="n">
        <v>-392</v>
      </c>
      <c r="J659" t="n">
        <v>34.39630221572207</v>
      </c>
      <c r="K659" t="n">
        <v>29.67920782115675</v>
      </c>
      <c r="L659" t="n">
        <v>26.9577984724786</v>
      </c>
      <c r="M659" t="n">
        <v>31.07822166371825</v>
      </c>
      <c r="N659" t="n">
        <v>28.85526941568935</v>
      </c>
      <c r="O659" t="n">
        <v>26.79656142408868</v>
      </c>
      <c r="BH659" t="n">
        <v>29.627</v>
      </c>
      <c r="BS659" t="n">
        <v>5.81</v>
      </c>
      <c r="CD659" t="n">
        <v>8.779999999999999</v>
      </c>
      <c r="CF659" t="n">
        <v>15</v>
      </c>
      <c r="CG659" t="n">
        <v>115</v>
      </c>
      <c r="CH659" t="n">
        <v>1840</v>
      </c>
      <c r="CI659" t="n">
        <v>-1610</v>
      </c>
      <c r="CJ659" t="n">
        <v>127.5387383880528</v>
      </c>
      <c r="CK659" t="n">
        <v>131.52917917319</v>
      </c>
      <c r="CL659" t="n">
        <v>125.4233288820295</v>
      </c>
      <c r="CM659" t="n">
        <v>125.5808192975389</v>
      </c>
      <c r="CN659" t="n">
        <v>128.5442671853654</v>
      </c>
      <c r="EH659" t="n">
        <v>127.723</v>
      </c>
      <c r="ES659" t="n">
        <v>11.06</v>
      </c>
      <c r="FD659" t="n">
        <v>1.75</v>
      </c>
      <c r="FF659" t="n">
        <v>15</v>
      </c>
      <c r="FG659" t="n">
        <v>26</v>
      </c>
      <c r="FH659" t="n">
        <v>416</v>
      </c>
      <c r="FI659" t="n">
        <v>-364</v>
      </c>
      <c r="FJ659" t="n">
        <v>23.90180651497967</v>
      </c>
      <c r="FK659" t="n">
        <v>18.42439184000303</v>
      </c>
      <c r="FL659" t="n">
        <v>24.00582120264073</v>
      </c>
      <c r="FM659" t="n">
        <v>24.11918120313476</v>
      </c>
      <c r="FN659" t="n">
        <v>20.71121192382394</v>
      </c>
      <c r="HH659" t="n">
        <v>22.232</v>
      </c>
      <c r="HS659" t="n">
        <v>-14.49</v>
      </c>
      <c r="ID659" t="n">
        <v>10.32</v>
      </c>
      <c r="IF659" t="n">
        <v>15</v>
      </c>
      <c r="IG659" t="n">
        <v>217</v>
      </c>
      <c r="IH659" t="n">
        <v>3472</v>
      </c>
      <c r="II659" t="n">
        <v>-3038</v>
      </c>
      <c r="IJ659" t="n">
        <v>218.9581010598392</v>
      </c>
      <c r="IK659" t="n">
        <v>211.557821429528</v>
      </c>
      <c r="IL659" t="n">
        <v>216.906387621726</v>
      </c>
      <c r="IM659" t="n">
        <v>214.3775648744915</v>
      </c>
      <c r="IN659" t="n">
        <v>220.8487119438568</v>
      </c>
      <c r="KH659" t="n">
        <v>216.53</v>
      </c>
      <c r="KS659" t="n">
        <v>-0.22</v>
      </c>
      <c r="LD659" t="n">
        <v>1.52</v>
      </c>
    </row>
    <row r="660">
      <c r="A660" t="inlineStr">
        <is>
          <t>2026-04-09</t>
        </is>
      </c>
      <c r="B660" t="inlineStr">
        <is>
          <t>General Chem 26</t>
        </is>
      </c>
      <c r="C660" t="inlineStr">
        <is>
          <t>105326040901</t>
        </is>
      </c>
      <c r="D660" t="inlineStr">
        <is>
          <t>BUN</t>
        </is>
      </c>
      <c r="F660" t="n">
        <v>9</v>
      </c>
      <c r="G660" t="n">
        <v>14.8</v>
      </c>
      <c r="H660" t="n">
        <v>148</v>
      </c>
      <c r="I660" t="n">
        <v>-118.4</v>
      </c>
      <c r="J660" t="n">
        <v>15.50155755280606</v>
      </c>
      <c r="K660" t="n">
        <v>15.57196777936314</v>
      </c>
      <c r="L660" t="n">
        <v>15.29875042331498</v>
      </c>
      <c r="M660" t="n">
        <v>15.3405334535955</v>
      </c>
      <c r="N660" t="n">
        <v>15.35133073525785</v>
      </c>
      <c r="O660" t="n">
        <v>15.3506591357433</v>
      </c>
      <c r="BH660" t="n">
        <v>15.402</v>
      </c>
      <c r="BS660" t="n">
        <v>4.07</v>
      </c>
      <c r="CD660" t="n">
        <v>0.64</v>
      </c>
      <c r="CF660" t="n">
        <v>9</v>
      </c>
      <c r="CG660" t="n">
        <v>44.7</v>
      </c>
      <c r="CH660" t="n">
        <v>447</v>
      </c>
      <c r="CI660" t="n">
        <v>-357.6</v>
      </c>
      <c r="CJ660" t="n">
        <v>47.76042314833285</v>
      </c>
      <c r="CK660" t="n">
        <v>46.62804958046214</v>
      </c>
      <c r="CL660" t="n">
        <v>47.41726483908465</v>
      </c>
      <c r="CM660" t="n">
        <v>47.18183957575398</v>
      </c>
      <c r="CN660" t="n">
        <v>47.18475383701662</v>
      </c>
      <c r="EH660" t="n">
        <v>47.234</v>
      </c>
      <c r="ES660" t="n">
        <v>5.67</v>
      </c>
      <c r="FD660" t="n">
        <v>0.78</v>
      </c>
      <c r="FF660" t="n">
        <v>9</v>
      </c>
      <c r="FG660" t="n">
        <v>14.7</v>
      </c>
      <c r="FH660" t="n">
        <v>147</v>
      </c>
      <c r="FI660" t="n">
        <v>-117.6</v>
      </c>
      <c r="FJ660" t="n">
        <v>15.23206059228148</v>
      </c>
      <c r="FK660" t="n">
        <v>15.43076134675358</v>
      </c>
      <c r="FL660" t="n">
        <v>15.21482372946549</v>
      </c>
      <c r="FM660" t="n">
        <v>15.20900104254112</v>
      </c>
      <c r="FN660" t="n">
        <v>15.27761925453901</v>
      </c>
      <c r="HH660" t="n">
        <v>15.273</v>
      </c>
      <c r="HS660" t="n">
        <v>3.9</v>
      </c>
      <c r="ID660" t="n">
        <v>0.54</v>
      </c>
      <c r="IF660" t="n">
        <v>9</v>
      </c>
      <c r="IG660" t="n">
        <v>65.7</v>
      </c>
      <c r="IH660" t="n">
        <v>657</v>
      </c>
      <c r="II660" t="n">
        <v>-525.6</v>
      </c>
      <c r="IJ660" t="n">
        <v>68.38493176272468</v>
      </c>
      <c r="IK660" t="n">
        <v>69.49650462761308</v>
      </c>
      <c r="IL660" t="n">
        <v>68.25221648196401</v>
      </c>
      <c r="IM660" t="n">
        <v>69.64244803257213</v>
      </c>
      <c r="IN660" t="n">
        <v>69.23350255594357</v>
      </c>
      <c r="KH660" t="n">
        <v>69.002</v>
      </c>
      <c r="KS660" t="n">
        <v>5.03</v>
      </c>
      <c r="LD660" t="n">
        <v>0.83</v>
      </c>
    </row>
    <row r="661">
      <c r="A661" t="inlineStr">
        <is>
          <t>2026-04-09</t>
        </is>
      </c>
      <c r="B661" t="inlineStr">
        <is>
          <t>General Chem 26</t>
        </is>
      </c>
      <c r="C661" t="inlineStr">
        <is>
          <t>105326040901</t>
        </is>
      </c>
      <c r="D661" t="inlineStr">
        <is>
          <t>CREA</t>
        </is>
      </c>
      <c r="F661" t="n">
        <v>10</v>
      </c>
      <c r="G661" t="n">
        <v>1.5</v>
      </c>
      <c r="H661" t="n">
        <v>16.5</v>
      </c>
      <c r="I661" t="n">
        <v>-13.5</v>
      </c>
      <c r="J661" t="n">
        <v>1.317131779452413</v>
      </c>
      <c r="K661" t="n">
        <v>1.280723696783913</v>
      </c>
      <c r="L661" t="n">
        <v>1.356257949113665</v>
      </c>
      <c r="M661" t="n">
        <v>1.329204341488982</v>
      </c>
      <c r="N661" t="n">
        <v>1.275400310316309</v>
      </c>
      <c r="O661" t="n">
        <v>1.347879974612612</v>
      </c>
      <c r="BH661" t="n">
        <v>1.318</v>
      </c>
      <c r="BS661" t="n">
        <v>-12.15</v>
      </c>
      <c r="CD661" t="n">
        <v>2.34</v>
      </c>
      <c r="CF661" t="n">
        <v>10</v>
      </c>
      <c r="CG661" t="n">
        <v>5.55</v>
      </c>
      <c r="CH661" t="n">
        <v>61.05</v>
      </c>
      <c r="CI661" t="n">
        <v>-49.95</v>
      </c>
      <c r="CJ661" t="n">
        <v>4.870460380242652</v>
      </c>
      <c r="CK661" t="n">
        <v>4.749804353908162</v>
      </c>
      <c r="CL661" t="n">
        <v>4.870992259619485</v>
      </c>
      <c r="CM661" t="n">
        <v>4.816016407265429</v>
      </c>
      <c r="CN661" t="n">
        <v>4.835279380732843</v>
      </c>
      <c r="EH661" t="n">
        <v>4.829</v>
      </c>
      <c r="ES661" t="n">
        <v>-13</v>
      </c>
      <c r="FD661" t="n">
        <v>0.92</v>
      </c>
      <c r="FF661" t="n">
        <v>10</v>
      </c>
      <c r="FG661" t="n">
        <v>0.97</v>
      </c>
      <c r="FH661" t="n">
        <v>10.67</v>
      </c>
      <c r="FI661" t="n">
        <v>-8.73</v>
      </c>
      <c r="FJ661" t="n">
        <v>0.7583230167076535</v>
      </c>
      <c r="FK661" t="n">
        <v>0.7890128687804088</v>
      </c>
      <c r="FL661" t="n">
        <v>0.7704705703940371</v>
      </c>
      <c r="FM661" t="n">
        <v>0.7325600181944573</v>
      </c>
      <c r="FN661" t="n">
        <v>0.7405413718581957</v>
      </c>
      <c r="HH661" t="n">
        <v>0.758</v>
      </c>
      <c r="HS661" t="n">
        <v>-21.84</v>
      </c>
      <c r="ID661" t="n">
        <v>2.68</v>
      </c>
      <c r="IF661" t="n">
        <v>10</v>
      </c>
      <c r="IG661" t="n">
        <v>5.95</v>
      </c>
      <c r="IH661" t="n">
        <v>65.45</v>
      </c>
      <c r="II661" t="n">
        <v>-53.55</v>
      </c>
      <c r="IJ661" t="n">
        <v>5.307076821456347</v>
      </c>
      <c r="IK661" t="n">
        <v>5.746569720854697</v>
      </c>
      <c r="IL661" t="n">
        <v>5.603652052726168</v>
      </c>
      <c r="IM661" t="n">
        <v>5.650974127190146</v>
      </c>
      <c r="IN661" t="n">
        <v>5.678381608584799</v>
      </c>
      <c r="KH661" t="n">
        <v>5.597</v>
      </c>
      <c r="KS661" t="n">
        <v>-5.93</v>
      </c>
      <c r="LD661" t="n">
        <v>2.72</v>
      </c>
    </row>
    <row r="662">
      <c r="A662" t="inlineStr">
        <is>
          <t>2026-04-09</t>
        </is>
      </c>
      <c r="B662" t="inlineStr">
        <is>
          <t>General Chem 26</t>
        </is>
      </c>
      <c r="C662" t="inlineStr">
        <is>
          <t>105326040901</t>
        </is>
      </c>
      <c r="D662" t="inlineStr">
        <is>
          <t>GLU</t>
        </is>
      </c>
      <c r="F662" t="n">
        <v>8</v>
      </c>
      <c r="G662" t="n">
        <v>90.16</v>
      </c>
      <c r="H662" t="n">
        <v>811.4399999999999</v>
      </c>
      <c r="I662" t="n">
        <v>-631.12</v>
      </c>
      <c r="J662" t="n">
        <v>92.36821919225628</v>
      </c>
      <c r="K662" t="n">
        <v>93.10589122613428</v>
      </c>
      <c r="L662" t="n">
        <v>91.80502855317184</v>
      </c>
      <c r="M662" t="n">
        <v>91.3594092372599</v>
      </c>
      <c r="N662" t="n">
        <v>91.42273300952459</v>
      </c>
      <c r="O662" t="n">
        <v>93.04327161954761</v>
      </c>
      <c r="BH662" t="n">
        <v>92.184</v>
      </c>
      <c r="BS662" t="n">
        <v>2.25</v>
      </c>
      <c r="CD662" t="n">
        <v>0.77</v>
      </c>
      <c r="CF662" t="n">
        <v>8</v>
      </c>
      <c r="CG662" t="n">
        <v>293.02</v>
      </c>
      <c r="CH662" t="n">
        <v>2637.18</v>
      </c>
      <c r="CI662" t="n">
        <v>-2051.14</v>
      </c>
      <c r="CJ662" t="n">
        <v>305.9629632203162</v>
      </c>
      <c r="CK662" t="n">
        <v>302.9494963409595</v>
      </c>
      <c r="CL662" t="n">
        <v>302.0885594242163</v>
      </c>
      <c r="CM662" t="n">
        <v>303.6496523304017</v>
      </c>
      <c r="CN662" t="n">
        <v>302.7307500931375</v>
      </c>
      <c r="EH662" t="n">
        <v>303.476</v>
      </c>
      <c r="ES662" t="n">
        <v>3.57</v>
      </c>
      <c r="FD662" t="n">
        <v>0.44</v>
      </c>
      <c r="FF662" t="n">
        <v>8</v>
      </c>
      <c r="FG662" t="n">
        <v>65.66</v>
      </c>
      <c r="FH662" t="n">
        <v>590.9399999999999</v>
      </c>
      <c r="FI662" t="n">
        <v>-459.62</v>
      </c>
      <c r="FJ662" t="n">
        <v>65.89816475515249</v>
      </c>
      <c r="FK662" t="n">
        <v>65.67590605129162</v>
      </c>
      <c r="FL662" t="n">
        <v>66.04310812434035</v>
      </c>
      <c r="FM662" t="n">
        <v>66.5655292746566</v>
      </c>
      <c r="FN662" t="n">
        <v>66.68797920289258</v>
      </c>
      <c r="HH662" t="n">
        <v>66.17400000000001</v>
      </c>
      <c r="HS662" t="n">
        <v>0.78</v>
      </c>
      <c r="ID662" t="n">
        <v>0.59</v>
      </c>
      <c r="IF662" t="n">
        <v>8</v>
      </c>
      <c r="IG662" t="n">
        <v>359.66</v>
      </c>
      <c r="IH662" t="n">
        <v>3236.94</v>
      </c>
      <c r="II662" t="n">
        <v>-2517.62</v>
      </c>
      <c r="IJ662" t="n">
        <v>353.2504107415037</v>
      </c>
      <c r="IK662" t="n">
        <v>363.7604839797011</v>
      </c>
      <c r="IL662" t="n">
        <v>362.8879858758972</v>
      </c>
      <c r="IM662" t="n">
        <v>363.8365473960775</v>
      </c>
      <c r="IN662" t="n">
        <v>366.2423140233003</v>
      </c>
      <c r="KH662" t="n">
        <v>361.996</v>
      </c>
      <c r="KS662" t="n">
        <v>0.65</v>
      </c>
      <c r="LD662" t="n">
        <v>1.25</v>
      </c>
    </row>
    <row r="663">
      <c r="A663" t="inlineStr">
        <is>
          <t>2026-04-09</t>
        </is>
      </c>
      <c r="B663" t="inlineStr">
        <is>
          <t>General Chem 26</t>
        </is>
      </c>
      <c r="C663" t="inlineStr">
        <is>
          <t>105326040901</t>
        </is>
      </c>
      <c r="D663" t="inlineStr">
        <is>
          <t>TP</t>
        </is>
      </c>
      <c r="F663" t="n">
        <v>8</v>
      </c>
      <c r="G663" t="n">
        <v>6.4</v>
      </c>
      <c r="H663" t="n">
        <v>57.6</v>
      </c>
      <c r="I663" t="n">
        <v>-44.8</v>
      </c>
      <c r="J663" t="n">
        <v>6.672807338350613</v>
      </c>
      <c r="K663" t="n">
        <v>6.636327485504695</v>
      </c>
      <c r="L663" t="n">
        <v>6.505017951599222</v>
      </c>
      <c r="M663" t="n">
        <v>6.609792266847546</v>
      </c>
      <c r="N663" t="n">
        <v>6.485789347614353</v>
      </c>
      <c r="O663" t="n">
        <v>6.61908856329183</v>
      </c>
      <c r="BH663" t="n">
        <v>6.588</v>
      </c>
      <c r="BS663" t="n">
        <v>2.94</v>
      </c>
      <c r="CD663" t="n">
        <v>1.04</v>
      </c>
      <c r="CF663" t="n">
        <v>8</v>
      </c>
      <c r="CG663" t="n">
        <v>4.1</v>
      </c>
      <c r="CH663" t="n">
        <v>36.9</v>
      </c>
      <c r="CI663" t="n">
        <v>-28.7</v>
      </c>
      <c r="CJ663" t="n">
        <v>4.344981145557545</v>
      </c>
      <c r="CK663" t="n">
        <v>4.253394921571047</v>
      </c>
      <c r="CL663" t="n">
        <v>4.255959355011795</v>
      </c>
      <c r="CM663" t="n">
        <v>4.233006297836241</v>
      </c>
      <c r="CN663" t="n">
        <v>4.303647623470814</v>
      </c>
      <c r="EH663" t="n">
        <v>4.278</v>
      </c>
      <c r="ES663" t="n">
        <v>4.35</v>
      </c>
      <c r="FD663" t="n">
        <v>0.95</v>
      </c>
      <c r="FF663" t="n">
        <v>8</v>
      </c>
      <c r="FG663" t="n">
        <v>4.2</v>
      </c>
      <c r="FH663" t="n">
        <v>37.8</v>
      </c>
      <c r="FI663" t="n">
        <v>-29.4</v>
      </c>
      <c r="FJ663" t="n">
        <v>3.92923147777041</v>
      </c>
      <c r="FK663" t="n">
        <v>3.993908322429341</v>
      </c>
      <c r="FL663" t="n">
        <v>4.045857158048246</v>
      </c>
      <c r="FM663" t="n">
        <v>3.995569757857058</v>
      </c>
      <c r="FN663" t="n">
        <v>4.019392563028677</v>
      </c>
      <c r="HH663" t="n">
        <v>3.997</v>
      </c>
      <c r="HS663" t="n">
        <v>-4.84</v>
      </c>
      <c r="ID663" t="n">
        <v>0.97</v>
      </c>
      <c r="IF663" t="n">
        <v>8</v>
      </c>
      <c r="IG663" t="n">
        <v>7.5</v>
      </c>
      <c r="IH663" t="n">
        <v>67.5</v>
      </c>
      <c r="II663" t="n">
        <v>-52.5</v>
      </c>
      <c r="IJ663" t="n">
        <v>7.367520735731598</v>
      </c>
      <c r="IK663" t="n">
        <v>7.496969401615632</v>
      </c>
      <c r="IL663" t="n">
        <v>7.484249895544044</v>
      </c>
      <c r="IM663" t="n">
        <v>7.473925280743168</v>
      </c>
      <c r="IN663" t="n">
        <v>7.466432856971099</v>
      </c>
      <c r="KH663" t="n">
        <v>7.458</v>
      </c>
      <c r="KS663" t="n">
        <v>-0.5600000000000001</v>
      </c>
      <c r="LD663" t="n">
        <v>0.62</v>
      </c>
    </row>
    <row r="664">
      <c r="A664" t="inlineStr">
        <is>
          <t>2026-04-09</t>
        </is>
      </c>
      <c r="B664" t="inlineStr">
        <is>
          <t>Specific Test 3</t>
        </is>
      </c>
      <c r="C664" t="inlineStr">
        <is>
          <t>103326040901</t>
        </is>
      </c>
      <c r="D664" t="inlineStr">
        <is>
          <t>CK</t>
        </is>
      </c>
      <c r="F664" t="n">
        <v>20</v>
      </c>
      <c r="J664" t="n">
        <v>133.4712278357316</v>
      </c>
      <c r="K664" t="n">
        <v>138.6714546265615</v>
      </c>
      <c r="L664" t="n">
        <v>129.3406492165881</v>
      </c>
      <c r="M664" t="n">
        <v>125.0186335654862</v>
      </c>
      <c r="BH664" t="n">
        <v>131.625</v>
      </c>
      <c r="CD664" t="n">
        <v>3.84</v>
      </c>
      <c r="CF664" t="n">
        <v>20</v>
      </c>
      <c r="CJ664" t="n">
        <v>472.6988599655551</v>
      </c>
      <c r="CK664" t="n">
        <v>477.9314998576987</v>
      </c>
      <c r="CL664" t="n">
        <v>461.737739744644</v>
      </c>
      <c r="CM664" t="n">
        <v>464.8065274377253</v>
      </c>
      <c r="EH664" t="n">
        <v>469.294</v>
      </c>
      <c r="FD664" t="n">
        <v>1.36</v>
      </c>
      <c r="FF664" t="n">
        <v>20</v>
      </c>
      <c r="FJ664" t="n">
        <v>64.69032480871401</v>
      </c>
      <c r="FK664" t="n">
        <v>74.33994928071384</v>
      </c>
      <c r="FL664" t="n">
        <v>74.66569532405121</v>
      </c>
      <c r="FM664" t="n">
        <v>58.18799716020131</v>
      </c>
      <c r="HH664" t="n">
        <v>67.971</v>
      </c>
      <c r="ID664" t="n">
        <v>10.19</v>
      </c>
      <c r="IF664" t="n">
        <v>20</v>
      </c>
      <c r="IJ664" t="n">
        <v>571.0691473432378</v>
      </c>
      <c r="IK664" t="n">
        <v>600.9331873926886</v>
      </c>
      <c r="IL664" t="n">
        <v>571.9827120253217</v>
      </c>
      <c r="IM664" t="n">
        <v>562.1890266410013</v>
      </c>
      <c r="KH664" t="n">
        <v>576.544</v>
      </c>
      <c r="LD664" t="n">
        <v>2.53</v>
      </c>
    </row>
    <row r="665">
      <c r="A665" t="inlineStr">
        <is>
          <t>2026-04-09</t>
        </is>
      </c>
      <c r="B665" t="inlineStr">
        <is>
          <t>Specific Test 3</t>
        </is>
      </c>
      <c r="C665" t="inlineStr">
        <is>
          <t>103326040901</t>
        </is>
      </c>
      <c r="D665" t="inlineStr">
        <is>
          <t>GGT</t>
        </is>
      </c>
      <c r="F665" t="n">
        <v>15</v>
      </c>
      <c r="G665" t="n">
        <v>57</v>
      </c>
      <c r="H665" t="n">
        <v>912</v>
      </c>
      <c r="I665" t="n">
        <v>-798</v>
      </c>
      <c r="J665" t="n">
        <v>61.64143306225481</v>
      </c>
      <c r="K665" t="n">
        <v>61.2535946759284</v>
      </c>
      <c r="L665" t="n">
        <v>61.23371316665257</v>
      </c>
      <c r="M665" t="n">
        <v>58.84528844773448</v>
      </c>
      <c r="BH665" t="n">
        <v>60.744</v>
      </c>
      <c r="BS665" t="n">
        <v>6.57</v>
      </c>
      <c r="CD665" t="n">
        <v>1.82</v>
      </c>
      <c r="CF665" t="n">
        <v>15</v>
      </c>
      <c r="CG665" t="n">
        <v>164</v>
      </c>
      <c r="CH665" t="n">
        <v>2624</v>
      </c>
      <c r="CI665" t="n">
        <v>-2296</v>
      </c>
      <c r="CJ665" t="n">
        <v>169.0226946895527</v>
      </c>
      <c r="CK665" t="n">
        <v>168.6241452642643</v>
      </c>
      <c r="CL665" t="n">
        <v>166.384064113009</v>
      </c>
      <c r="CM665" t="n">
        <v>169.0183645574607</v>
      </c>
      <c r="EH665" t="n">
        <v>168.262</v>
      </c>
      <c r="ES665" t="n">
        <v>2.6</v>
      </c>
      <c r="FD665" t="n">
        <v>0.65</v>
      </c>
      <c r="FF665" t="n">
        <v>15</v>
      </c>
      <c r="FG665" t="n">
        <v>23</v>
      </c>
      <c r="FH665" t="n">
        <v>368</v>
      </c>
      <c r="FI665" t="n">
        <v>-322</v>
      </c>
      <c r="FJ665" t="n">
        <v>25.00844807957021</v>
      </c>
      <c r="FK665" t="n">
        <v>24.46330492302446</v>
      </c>
      <c r="FL665" t="n">
        <v>25.43849650059489</v>
      </c>
      <c r="FM665" t="n">
        <v>24.90357785243074</v>
      </c>
      <c r="HH665" t="n">
        <v>24.953</v>
      </c>
      <c r="HS665" t="n">
        <v>8.49</v>
      </c>
      <c r="ID665" t="n">
        <v>1.39</v>
      </c>
      <c r="IF665" t="n">
        <v>15</v>
      </c>
      <c r="IG665" t="n">
        <v>126</v>
      </c>
      <c r="IH665" t="n">
        <v>2016</v>
      </c>
      <c r="II665" t="n">
        <v>-1764</v>
      </c>
      <c r="IJ665" t="n">
        <v>128.5972844209715</v>
      </c>
      <c r="IK665" t="n">
        <v>125.8483144962644</v>
      </c>
      <c r="IL665" t="n">
        <v>129.5695026303644</v>
      </c>
      <c r="IM665" t="n">
        <v>131.8034406638016</v>
      </c>
      <c r="KH665" t="n">
        <v>128.955</v>
      </c>
      <c r="KS665" t="n">
        <v>2.34</v>
      </c>
      <c r="LD665" t="n">
        <v>1.66</v>
      </c>
    </row>
    <row r="666">
      <c r="A666" t="inlineStr">
        <is>
          <t>2026-04-09</t>
        </is>
      </c>
      <c r="B666" t="inlineStr">
        <is>
          <t>Specific Test 3</t>
        </is>
      </c>
      <c r="C666" t="inlineStr">
        <is>
          <t>103326040901</t>
        </is>
      </c>
      <c r="D666" t="inlineStr">
        <is>
          <t>LAC</t>
        </is>
      </c>
      <c r="F666" t="n">
        <v>15</v>
      </c>
      <c r="G666" t="n">
        <v>4.399999999999999</v>
      </c>
      <c r="H666" t="n">
        <v>70.39999999999999</v>
      </c>
      <c r="I666" t="n">
        <v>-61.59999999999999</v>
      </c>
      <c r="J666" t="n">
        <v>3.460415699367794</v>
      </c>
      <c r="K666" t="n">
        <v>3.383883701695699</v>
      </c>
      <c r="L666" t="n">
        <v>3.396262418857292</v>
      </c>
      <c r="M666" t="n">
        <v>3.566638202901665</v>
      </c>
      <c r="BH666" t="n">
        <v>3.452</v>
      </c>
      <c r="BS666" t="n">
        <v>-21.55</v>
      </c>
      <c r="CD666" t="n">
        <v>2.1</v>
      </c>
      <c r="CF666" t="n">
        <v>15</v>
      </c>
      <c r="CG666" t="n">
        <v>1.15</v>
      </c>
      <c r="CH666" t="n">
        <v>18.4</v>
      </c>
      <c r="CI666" t="n">
        <v>-16.1</v>
      </c>
      <c r="CJ666" t="n">
        <v>1.079721692168123</v>
      </c>
      <c r="CK666" t="n">
        <v>1.121558997306077</v>
      </c>
      <c r="CL666" t="n">
        <v>1.082312894305844</v>
      </c>
      <c r="CM666" t="n">
        <v>1.074662512826191</v>
      </c>
      <c r="EH666" t="n">
        <v>1.09</v>
      </c>
      <c r="ES666" t="n">
        <v>-5.26</v>
      </c>
      <c r="FD666" t="n">
        <v>1.71</v>
      </c>
      <c r="FF666" t="n">
        <v>15</v>
      </c>
      <c r="FG666" t="n">
        <v>1.45</v>
      </c>
      <c r="FH666" t="n">
        <v>23.2</v>
      </c>
      <c r="FI666" t="n">
        <v>-20.3</v>
      </c>
      <c r="FJ666" t="n">
        <v>1.343165419575941</v>
      </c>
      <c r="FK666" t="n">
        <v>1.240351224796566</v>
      </c>
      <c r="FL666" t="n">
        <v>1.264859157473228</v>
      </c>
      <c r="FM666" t="n">
        <v>1.294097064223177</v>
      </c>
      <c r="HH666" t="n">
        <v>1.286</v>
      </c>
      <c r="HS666" t="n">
        <v>-11.34</v>
      </c>
      <c r="ID666" t="n">
        <v>2.98</v>
      </c>
      <c r="IF666" t="n">
        <v>15</v>
      </c>
      <c r="IG666" t="n">
        <v>5.899999999999999</v>
      </c>
      <c r="IH666" t="n">
        <v>94.39999999999999</v>
      </c>
      <c r="II666" t="n">
        <v>-82.59999999999999</v>
      </c>
      <c r="IJ666" t="n">
        <v>5.017767503508367</v>
      </c>
      <c r="IK666" t="n">
        <v>5.27638242352446</v>
      </c>
      <c r="IL666" t="n">
        <v>4.933412795548206</v>
      </c>
      <c r="IM666" t="n">
        <v>5.100301129337729</v>
      </c>
      <c r="KH666" t="n">
        <v>5.082</v>
      </c>
      <c r="KS666" t="n">
        <v>-13.86</v>
      </c>
      <c r="LD666" t="n">
        <v>2.5</v>
      </c>
    </row>
    <row r="667">
      <c r="A667" t="inlineStr">
        <is>
          <t>2026-04-09</t>
        </is>
      </c>
      <c r="B667" t="inlineStr">
        <is>
          <t>Specific Test 3</t>
        </is>
      </c>
      <c r="C667" t="inlineStr">
        <is>
          <t>103326040901</t>
        </is>
      </c>
      <c r="D667" t="inlineStr">
        <is>
          <t>LDH</t>
        </is>
      </c>
      <c r="F667" t="n">
        <v>15</v>
      </c>
      <c r="J667" t="n">
        <v>282.5794337143417</v>
      </c>
      <c r="K667" t="n">
        <v>284.2812016528655</v>
      </c>
      <c r="L667" t="n">
        <v>277.2136749807075</v>
      </c>
      <c r="M667" t="n">
        <v>278.3253910803126</v>
      </c>
      <c r="BH667" t="n">
        <v>280.6</v>
      </c>
      <c r="CD667" t="n">
        <v>1.04</v>
      </c>
      <c r="CF667" t="n">
        <v>15</v>
      </c>
      <c r="CJ667" t="n">
        <v>641.379155144753</v>
      </c>
      <c r="CK667" t="n">
        <v>653.5852135567126</v>
      </c>
      <c r="CL667" t="n">
        <v>636.7417708556881</v>
      </c>
      <c r="CM667" t="n">
        <v>650.4495646370627</v>
      </c>
      <c r="EH667" t="n">
        <v>645.539</v>
      </c>
      <c r="FD667" t="n">
        <v>1.05</v>
      </c>
      <c r="FF667" t="n">
        <v>15</v>
      </c>
      <c r="FJ667" t="n">
        <v>175.7083265969173</v>
      </c>
      <c r="FK667" t="n">
        <v>167.0792183806898</v>
      </c>
      <c r="FL667" t="n">
        <v>169.9132361894326</v>
      </c>
      <c r="FM667" t="n">
        <v>173.6990067137053</v>
      </c>
      <c r="HH667" t="n">
        <v>171.6</v>
      </c>
      <c r="ID667" t="n">
        <v>1.95</v>
      </c>
      <c r="IF667" t="n">
        <v>15</v>
      </c>
      <c r="IJ667" t="n">
        <v>761.5831849213615</v>
      </c>
      <c r="IK667" t="n">
        <v>773.2500598717896</v>
      </c>
      <c r="IL667" t="n">
        <v>761.5622768077525</v>
      </c>
      <c r="IM667" t="n">
        <v>764.119815723754</v>
      </c>
      <c r="KH667" t="n">
        <v>765.129</v>
      </c>
      <c r="LD667" t="n">
        <v>0.63</v>
      </c>
    </row>
    <row r="668">
      <c r="A668" t="inlineStr">
        <is>
          <t>2026-04-09</t>
        </is>
      </c>
      <c r="B668" t="inlineStr">
        <is>
          <t>Specific Test 3</t>
        </is>
      </c>
      <c r="C668" t="inlineStr">
        <is>
          <t>103326040901</t>
        </is>
      </c>
      <c r="D668" t="inlineStr">
        <is>
          <t>TBIL</t>
        </is>
      </c>
      <c r="F668" t="n">
        <v>20</v>
      </c>
      <c r="G668" t="n">
        <v>1.1</v>
      </c>
      <c r="H668" t="n">
        <v>23.1</v>
      </c>
      <c r="I668" t="n">
        <v>-20.9</v>
      </c>
      <c r="J668" t="n">
        <v>1.181041084938337</v>
      </c>
      <c r="K668" t="n">
        <v>1.195697427157853</v>
      </c>
      <c r="L668" t="n">
        <v>1.188382510141791</v>
      </c>
      <c r="M668" t="n">
        <v>1.1956508783089</v>
      </c>
      <c r="BH668" t="n">
        <v>1.19</v>
      </c>
      <c r="BS668" t="n">
        <v>8.199999999999999</v>
      </c>
      <c r="CD668" t="n">
        <v>0.51</v>
      </c>
      <c r="CF668" t="n">
        <v>20</v>
      </c>
      <c r="CG668" t="n">
        <v>5.1</v>
      </c>
      <c r="CH668" t="n">
        <v>107.1</v>
      </c>
      <c r="CI668" t="n">
        <v>-96.89999999999999</v>
      </c>
      <c r="CJ668" t="n">
        <v>5.011080666740143</v>
      </c>
      <c r="CK668" t="n">
        <v>5.019664644271853</v>
      </c>
      <c r="CL668" t="n">
        <v>4.980480381952943</v>
      </c>
      <c r="CM668" t="n">
        <v>4.997875025972685</v>
      </c>
      <c r="EH668" t="n">
        <v>5.002</v>
      </c>
      <c r="ES668" t="n">
        <v>-1.92</v>
      </c>
      <c r="FD668" t="n">
        <v>0.3</v>
      </c>
      <c r="FF668" t="n">
        <v>20</v>
      </c>
      <c r="FG668" t="n">
        <v>0.8</v>
      </c>
      <c r="FH668" t="n">
        <v>16.8</v>
      </c>
      <c r="FI668" t="n">
        <v>-15.2</v>
      </c>
      <c r="FJ668" t="n">
        <v>0.5612447147410302</v>
      </c>
      <c r="FK668" t="n">
        <v>0.5564419735059714</v>
      </c>
      <c r="FL668" t="n">
        <v>0.5674158711230177</v>
      </c>
      <c r="FM668" t="n">
        <v>0.5610410974967177</v>
      </c>
      <c r="HH668" t="n">
        <v>0.5620000000000001</v>
      </c>
      <c r="HS668" t="n">
        <v>-29.81</v>
      </c>
      <c r="ID668" t="n">
        <v>0.6899999999999999</v>
      </c>
      <c r="IF668" t="n">
        <v>20</v>
      </c>
      <c r="IG668" t="n">
        <v>8.4</v>
      </c>
      <c r="IH668" t="n">
        <v>176.4</v>
      </c>
      <c r="II668" t="n">
        <v>-159.6</v>
      </c>
      <c r="IJ668" t="n">
        <v>7.872241575934408</v>
      </c>
      <c r="IK668" t="n">
        <v>7.881256065902826</v>
      </c>
      <c r="IL668" t="n">
        <v>7.764898078275178</v>
      </c>
      <c r="IM668" t="n">
        <v>7.863639244347293</v>
      </c>
      <c r="KH668" t="n">
        <v>7.846</v>
      </c>
      <c r="KS668" t="n">
        <v>-6.6</v>
      </c>
      <c r="LD668" t="n">
        <v>0.6</v>
      </c>
    </row>
    <row r="669">
      <c r="A669" t="inlineStr">
        <is>
          <t>2026-04-09</t>
        </is>
      </c>
      <c r="B669" t="inlineStr">
        <is>
          <t>Avian &amp; Reptile 26</t>
        </is>
      </c>
      <c r="C669" t="inlineStr">
        <is>
          <t>00106306426033101</t>
        </is>
      </c>
      <c r="D669" t="inlineStr">
        <is>
          <t>ALP</t>
        </is>
      </c>
      <c r="F669" t="n">
        <v>20</v>
      </c>
      <c r="G669" t="n">
        <v>136</v>
      </c>
      <c r="H669" t="n">
        <v>2856</v>
      </c>
      <c r="I669" t="n">
        <v>-2584</v>
      </c>
      <c r="J669" t="n">
        <v>142.3658103224711</v>
      </c>
      <c r="BH669" t="n">
        <v>142.366</v>
      </c>
      <c r="BS669" t="n">
        <v>4.68</v>
      </c>
      <c r="CF669" t="n">
        <v>20</v>
      </c>
      <c r="CG669" t="n">
        <v>456</v>
      </c>
      <c r="CH669" t="n">
        <v>9576</v>
      </c>
      <c r="CI669" t="n">
        <v>-8664</v>
      </c>
      <c r="CJ669" t="n">
        <v>458.1666473798572</v>
      </c>
      <c r="EH669" t="n">
        <v>458.167</v>
      </c>
      <c r="ES669" t="n">
        <v>0.48</v>
      </c>
      <c r="FF669" t="n">
        <v>20</v>
      </c>
      <c r="FG669" t="n">
        <v>75</v>
      </c>
      <c r="FH669" t="n">
        <v>1575</v>
      </c>
      <c r="FI669" t="n">
        <v>-1425</v>
      </c>
      <c r="IF669" t="n">
        <v>20</v>
      </c>
      <c r="IG669" t="n">
        <v>251</v>
      </c>
      <c r="IH669" t="n">
        <v>5271</v>
      </c>
      <c r="II669" t="n">
        <v>-4769</v>
      </c>
    </row>
    <row r="670">
      <c r="A670" t="inlineStr">
        <is>
          <t>2026-04-09</t>
        </is>
      </c>
      <c r="B670" t="inlineStr">
        <is>
          <t>Avian &amp; Reptile 26</t>
        </is>
      </c>
      <c r="C670" t="inlineStr">
        <is>
          <t>00106306426033101</t>
        </is>
      </c>
      <c r="D670" t="inlineStr">
        <is>
          <t>BA</t>
        </is>
      </c>
      <c r="J670" t="n">
        <v>2.046255687815177</v>
      </c>
      <c r="BH670" t="n">
        <v>2.046</v>
      </c>
      <c r="CJ670" t="n">
        <v>2.147165859939358</v>
      </c>
      <c r="EH670" t="n">
        <v>2.147</v>
      </c>
    </row>
    <row r="671">
      <c r="A671" t="inlineStr">
        <is>
          <t>2026-04-09</t>
        </is>
      </c>
      <c r="B671" t="inlineStr">
        <is>
          <t>Avian &amp; Reptile 26</t>
        </is>
      </c>
      <c r="C671" t="inlineStr">
        <is>
          <t>00106306426033101</t>
        </is>
      </c>
      <c r="D671" t="inlineStr">
        <is>
          <t>BUN</t>
        </is>
      </c>
      <c r="F671" t="n">
        <v>9</v>
      </c>
      <c r="G671" t="n">
        <v>14.8</v>
      </c>
      <c r="H671" t="n">
        <v>148</v>
      </c>
      <c r="I671" t="n">
        <v>-118.4</v>
      </c>
      <c r="J671" t="n">
        <v>14.70534656181359</v>
      </c>
      <c r="BH671" t="n">
        <v>14.705</v>
      </c>
      <c r="BS671" t="n">
        <v>-0.64</v>
      </c>
      <c r="CF671" t="n">
        <v>9</v>
      </c>
      <c r="CG671" t="n">
        <v>44.7</v>
      </c>
      <c r="CH671" t="n">
        <v>447</v>
      </c>
      <c r="CI671" t="n">
        <v>-357.6</v>
      </c>
      <c r="CJ671" t="n">
        <v>45.19584863457337</v>
      </c>
      <c r="EH671" t="n">
        <v>45.196</v>
      </c>
      <c r="ES671" t="n">
        <v>1.11</v>
      </c>
      <c r="FF671" t="n">
        <v>9</v>
      </c>
      <c r="FG671" t="n">
        <v>14.7</v>
      </c>
      <c r="FH671" t="n">
        <v>147</v>
      </c>
      <c r="FI671" t="n">
        <v>-117.6</v>
      </c>
      <c r="IF671" t="n">
        <v>9</v>
      </c>
      <c r="IG671" t="n">
        <v>65.7</v>
      </c>
      <c r="IH671" t="n">
        <v>657</v>
      </c>
      <c r="II671" t="n">
        <v>-525.6</v>
      </c>
    </row>
    <row r="672">
      <c r="A672" t="inlineStr">
        <is>
          <t>2026-04-09</t>
        </is>
      </c>
      <c r="B672" t="inlineStr">
        <is>
          <t>Avian &amp; Reptile 26</t>
        </is>
      </c>
      <c r="C672" t="inlineStr">
        <is>
          <t>00106306426033101</t>
        </is>
      </c>
      <c r="D672" t="inlineStr">
        <is>
          <t>CHOL</t>
        </is>
      </c>
      <c r="F672" t="n">
        <v>10</v>
      </c>
      <c r="G672" t="n">
        <v>228</v>
      </c>
      <c r="H672" t="n">
        <v>2508</v>
      </c>
      <c r="I672" t="n">
        <v>-2052</v>
      </c>
      <c r="J672" t="n">
        <v>229.7752968725611</v>
      </c>
      <c r="BH672" t="n">
        <v>229.775</v>
      </c>
      <c r="BS672" t="n">
        <v>0.78</v>
      </c>
      <c r="CF672" t="n">
        <v>10</v>
      </c>
      <c r="CG672" t="n">
        <v>99</v>
      </c>
      <c r="CH672" t="n">
        <v>1089</v>
      </c>
      <c r="CI672" t="n">
        <v>-891</v>
      </c>
      <c r="CJ672" t="n">
        <v>97.32397208892108</v>
      </c>
      <c r="EH672" t="n">
        <v>97.324</v>
      </c>
      <c r="ES672" t="n">
        <v>-1.69</v>
      </c>
      <c r="FF672" t="n">
        <v>10</v>
      </c>
      <c r="FG672" t="n">
        <v>115</v>
      </c>
      <c r="FH672" t="n">
        <v>1265</v>
      </c>
      <c r="FI672" t="n">
        <v>-1035</v>
      </c>
      <c r="IF672" t="n">
        <v>10</v>
      </c>
      <c r="IG672" t="n">
        <v>269</v>
      </c>
      <c r="IH672" t="n">
        <v>2959</v>
      </c>
      <c r="II672" t="n">
        <v>-2421</v>
      </c>
    </row>
    <row r="673">
      <c r="A673" t="inlineStr">
        <is>
          <t>2026-04-09</t>
        </is>
      </c>
      <c r="B673" t="inlineStr">
        <is>
          <t>Avian &amp; Reptile 26</t>
        </is>
      </c>
      <c r="C673" t="inlineStr">
        <is>
          <t>00106306426033101</t>
        </is>
      </c>
      <c r="D673" t="inlineStr">
        <is>
          <t>GGT</t>
        </is>
      </c>
      <c r="F673" t="n">
        <v>15</v>
      </c>
      <c r="G673" t="n">
        <v>57</v>
      </c>
      <c r="H673" t="n">
        <v>912</v>
      </c>
      <c r="I673" t="n">
        <v>-798</v>
      </c>
      <c r="J673" t="n">
        <v>60.99655862023526</v>
      </c>
      <c r="BH673" t="n">
        <v>60.997</v>
      </c>
      <c r="BS673" t="n">
        <v>7.01</v>
      </c>
      <c r="CF673" t="n">
        <v>15</v>
      </c>
      <c r="CG673" t="n">
        <v>164</v>
      </c>
      <c r="CH673" t="n">
        <v>2624</v>
      </c>
      <c r="CI673" t="n">
        <v>-2296</v>
      </c>
      <c r="CJ673" t="n">
        <v>175.3181210338774</v>
      </c>
      <c r="EH673" t="n">
        <v>175.318</v>
      </c>
      <c r="ES673" t="n">
        <v>6.9</v>
      </c>
      <c r="FF673" t="n">
        <v>15</v>
      </c>
      <c r="FG673" t="n">
        <v>23</v>
      </c>
      <c r="FH673" t="n">
        <v>368</v>
      </c>
      <c r="FI673" t="n">
        <v>-322</v>
      </c>
      <c r="IF673" t="n">
        <v>15</v>
      </c>
      <c r="IG673" t="n">
        <v>126</v>
      </c>
      <c r="IH673" t="n">
        <v>2016</v>
      </c>
      <c r="II673" t="n">
        <v>-1764</v>
      </c>
    </row>
    <row r="674">
      <c r="A674" t="inlineStr">
        <is>
          <t>2026-04-09</t>
        </is>
      </c>
      <c r="B674" t="inlineStr">
        <is>
          <t>Avian &amp; Reptile 26</t>
        </is>
      </c>
      <c r="C674" t="inlineStr">
        <is>
          <t>00106306426033101</t>
        </is>
      </c>
      <c r="D674" t="inlineStr">
        <is>
          <t>K</t>
        </is>
      </c>
      <c r="G674" t="n">
        <v>3.9</v>
      </c>
      <c r="J674" t="n">
        <v>3.704609719284166</v>
      </c>
      <c r="BH674" t="n">
        <v>3.705</v>
      </c>
      <c r="BS674" t="n">
        <v>-5.01</v>
      </c>
      <c r="CG674" t="n">
        <v>6</v>
      </c>
      <c r="CJ674" t="n">
        <v>6.323959436258166</v>
      </c>
      <c r="EH674" t="n">
        <v>6.324</v>
      </c>
      <c r="ES674" t="n">
        <v>5.4</v>
      </c>
      <c r="FG674" t="n">
        <v>2.2</v>
      </c>
      <c r="IG674" t="n">
        <v>8.4</v>
      </c>
    </row>
    <row r="675">
      <c r="A675" t="inlineStr">
        <is>
          <t>2026-04-09</t>
        </is>
      </c>
      <c r="B675" t="inlineStr">
        <is>
          <t>Avian &amp; Reptile 26</t>
        </is>
      </c>
      <c r="C675" t="inlineStr">
        <is>
          <t>00106306426033101</t>
        </is>
      </c>
      <c r="D675" t="inlineStr">
        <is>
          <t>LDH</t>
        </is>
      </c>
      <c r="F675" t="n">
        <v>15</v>
      </c>
      <c r="J675" t="n">
        <v>309.6684112745022</v>
      </c>
      <c r="BH675" t="n">
        <v>309.668</v>
      </c>
      <c r="CF675" t="n">
        <v>15</v>
      </c>
      <c r="CJ675" t="n">
        <v>673.5597054963112</v>
      </c>
      <c r="EH675" t="n">
        <v>673.5599999999999</v>
      </c>
      <c r="FF675" t="n">
        <v>15</v>
      </c>
      <c r="IF675" t="n">
        <v>15</v>
      </c>
    </row>
    <row r="676">
      <c r="A676" t="inlineStr">
        <is>
          <t>2026-04-09</t>
        </is>
      </c>
      <c r="B676" t="inlineStr">
        <is>
          <t>Avian &amp; Reptile 26</t>
        </is>
      </c>
      <c r="C676" t="inlineStr">
        <is>
          <t>00106306426033101</t>
        </is>
      </c>
      <c r="D676" t="inlineStr">
        <is>
          <t>Na</t>
        </is>
      </c>
      <c r="G676" t="n">
        <v>141</v>
      </c>
      <c r="J676" t="n">
        <v>143.493698552533</v>
      </c>
      <c r="BH676" t="n">
        <v>143.494</v>
      </c>
      <c r="BS676" t="n">
        <v>1.77</v>
      </c>
      <c r="CG676" t="n">
        <v>129</v>
      </c>
      <c r="CJ676" t="n">
        <v>132.434365885087</v>
      </c>
      <c r="EH676" t="n">
        <v>132.434</v>
      </c>
      <c r="ES676" t="n">
        <v>2.66</v>
      </c>
      <c r="FG676" t="n">
        <v>118</v>
      </c>
      <c r="IG676" t="n">
        <v>166</v>
      </c>
    </row>
    <row r="677">
      <c r="A677" t="inlineStr">
        <is>
          <t>2026-04-08</t>
        </is>
      </c>
      <c r="B677" t="inlineStr">
        <is>
          <t>Electrolyte 7</t>
        </is>
      </c>
      <c r="C677" t="inlineStr">
        <is>
          <t>100326040801</t>
        </is>
      </c>
      <c r="D677" t="inlineStr">
        <is>
          <t>ALP</t>
        </is>
      </c>
      <c r="F677" t="n">
        <v>20</v>
      </c>
      <c r="G677" t="n">
        <v>136</v>
      </c>
      <c r="H677" t="n">
        <v>2856</v>
      </c>
      <c r="I677" t="n">
        <v>-2584</v>
      </c>
      <c r="J677" t="n">
        <v>160.9847392620281</v>
      </c>
      <c r="K677" t="n">
        <v>160.8300640969013</v>
      </c>
      <c r="L677" t="n">
        <v>159.5057811492368</v>
      </c>
      <c r="M677" t="n">
        <v>162.2819268644025</v>
      </c>
      <c r="BH677" t="n">
        <v>160.901</v>
      </c>
      <c r="BS677" t="n">
        <v>18.31</v>
      </c>
      <c r="CD677" t="n">
        <v>0.61</v>
      </c>
      <c r="CF677" t="n">
        <v>20</v>
      </c>
      <c r="CG677" t="n">
        <v>456</v>
      </c>
      <c r="CH677" t="n">
        <v>9576</v>
      </c>
      <c r="CI677" t="n">
        <v>-8664</v>
      </c>
      <c r="CJ677" t="n">
        <v>530.6458571688344</v>
      </c>
      <c r="CK677" t="n">
        <v>527.6211640608051</v>
      </c>
      <c r="CL677" t="n">
        <v>521.8356179392265</v>
      </c>
      <c r="CM677" t="n">
        <v>63.28203493436554</v>
      </c>
      <c r="EH677" t="n">
        <v>410.846</v>
      </c>
      <c r="ES677" t="n">
        <v>-9.9</v>
      </c>
      <c r="FD677" t="n">
        <v>48.85</v>
      </c>
      <c r="FF677" t="n">
        <v>20</v>
      </c>
      <c r="FG677" t="n">
        <v>75</v>
      </c>
      <c r="FH677" t="n">
        <v>1575</v>
      </c>
      <c r="FI677" t="n">
        <v>-1425</v>
      </c>
      <c r="FJ677" t="n">
        <v>81.87180809128472</v>
      </c>
      <c r="FK677" t="n">
        <v>82.05949851545694</v>
      </c>
      <c r="FL677" t="n">
        <v>82.05238523810127</v>
      </c>
      <c r="FM677" t="n">
        <v>63.71307657119968</v>
      </c>
      <c r="HH677" t="n">
        <v>77.42400000000001</v>
      </c>
      <c r="HS677" t="n">
        <v>3.23</v>
      </c>
      <c r="ID677" t="n">
        <v>10.22</v>
      </c>
      <c r="IF677" t="n">
        <v>20</v>
      </c>
      <c r="IG677" t="n">
        <v>251</v>
      </c>
      <c r="IH677" t="n">
        <v>5271</v>
      </c>
      <c r="II677" t="n">
        <v>-4769</v>
      </c>
      <c r="IJ677" t="n">
        <v>260.3204191986008</v>
      </c>
      <c r="IK677" t="n">
        <v>260.9910480132806</v>
      </c>
      <c r="IL677" t="n">
        <v>259.1614838850166</v>
      </c>
      <c r="IM677" t="n">
        <v>258.8371470113702</v>
      </c>
      <c r="KH677" t="n">
        <v>259.828</v>
      </c>
      <c r="KS677" t="n">
        <v>3.52</v>
      </c>
      <c r="LD677" t="n">
        <v>0.33</v>
      </c>
    </row>
    <row r="678">
      <c r="A678" t="inlineStr">
        <is>
          <t>2026-04-08</t>
        </is>
      </c>
      <c r="B678" t="inlineStr">
        <is>
          <t>Electrolyte 7</t>
        </is>
      </c>
      <c r="C678" t="inlineStr">
        <is>
          <t>100326040801</t>
        </is>
      </c>
      <c r="D678" t="inlineStr">
        <is>
          <t>Cl</t>
        </is>
      </c>
      <c r="F678" t="n">
        <v>5</v>
      </c>
      <c r="G678" t="n">
        <v>90</v>
      </c>
      <c r="H678" t="n">
        <v>540</v>
      </c>
      <c r="I678" t="n">
        <v>-360</v>
      </c>
      <c r="J678" t="n">
        <v>89.54232904070476</v>
      </c>
      <c r="K678" t="n">
        <v>85.60028340719433</v>
      </c>
      <c r="L678" t="n">
        <v>88.8268208057043</v>
      </c>
      <c r="M678" t="n">
        <v>87.63171963367449</v>
      </c>
      <c r="BH678" t="n">
        <v>87.90000000000001</v>
      </c>
      <c r="BS678" t="n">
        <v>-2.33</v>
      </c>
      <c r="CD678" t="n">
        <v>1.7</v>
      </c>
      <c r="CF678" t="n">
        <v>5</v>
      </c>
      <c r="CG678" t="n">
        <v>91</v>
      </c>
      <c r="CH678" t="n">
        <v>546</v>
      </c>
      <c r="CI678" t="n">
        <v>-364</v>
      </c>
      <c r="CJ678" t="n">
        <v>80.43672672118326</v>
      </c>
      <c r="CK678" t="n">
        <v>80.500102860615</v>
      </c>
      <c r="CL678" t="n">
        <v>80.70069888429329</v>
      </c>
      <c r="CM678" t="n">
        <v>-10.55003988943282</v>
      </c>
      <c r="EH678" t="n">
        <v>57.772</v>
      </c>
      <c r="ES678" t="n">
        <v>-36.51</v>
      </c>
      <c r="FD678" t="n">
        <v>68.28</v>
      </c>
      <c r="FF678" t="n">
        <v>5</v>
      </c>
      <c r="FG678" t="n">
        <v>77</v>
      </c>
      <c r="FH678" t="n">
        <v>462</v>
      </c>
      <c r="FI678" t="n">
        <v>-308</v>
      </c>
      <c r="FJ678" t="n">
        <v>72.09733403630962</v>
      </c>
      <c r="FK678" t="n">
        <v>72.16138875363903</v>
      </c>
      <c r="FL678" t="n">
        <v>72.92926221425873</v>
      </c>
      <c r="FM678" t="n">
        <v>-10.48579802160327</v>
      </c>
      <c r="HH678" t="n">
        <v>51.676</v>
      </c>
      <c r="HS678" t="n">
        <v>-32.89</v>
      </c>
      <c r="ID678" t="n">
        <v>69.45</v>
      </c>
      <c r="IF678" t="n">
        <v>5</v>
      </c>
      <c r="IG678" t="n">
        <v>118</v>
      </c>
      <c r="IH678" t="n">
        <v>708</v>
      </c>
      <c r="II678" t="n">
        <v>-472</v>
      </c>
      <c r="IJ678" t="n">
        <v>112.8381844029584</v>
      </c>
      <c r="IK678" t="n">
        <v>111.7603871064989</v>
      </c>
      <c r="IL678" t="n">
        <v>112.9991833605642</v>
      </c>
      <c r="IM678" t="n">
        <v>111.78026629128</v>
      </c>
      <c r="KH678" t="n">
        <v>112.345</v>
      </c>
      <c r="KS678" t="n">
        <v>-4.79</v>
      </c>
      <c r="LD678" t="n">
        <v>0.51</v>
      </c>
    </row>
    <row r="679">
      <c r="A679" t="inlineStr">
        <is>
          <t>2026-04-08</t>
        </is>
      </c>
      <c r="B679" t="inlineStr">
        <is>
          <t>Electrolyte 7</t>
        </is>
      </c>
      <c r="C679" t="inlineStr">
        <is>
          <t>100326040801</t>
        </is>
      </c>
      <c r="D679" t="inlineStr">
        <is>
          <t>K</t>
        </is>
      </c>
      <c r="G679" t="n">
        <v>3.9</v>
      </c>
      <c r="J679" t="n">
        <v>3.626732498709385</v>
      </c>
      <c r="K679" t="n">
        <v>3.618764181114622</v>
      </c>
      <c r="L679" t="n">
        <v>3.593354208246172</v>
      </c>
      <c r="M679" t="n">
        <v>3.632466424261609</v>
      </c>
      <c r="BH679" t="n">
        <v>3.618</v>
      </c>
      <c r="BS679" t="n">
        <v>-7.24</v>
      </c>
      <c r="CD679" t="n">
        <v>0.41</v>
      </c>
      <c r="CG679" t="n">
        <v>6</v>
      </c>
      <c r="CJ679" t="n">
        <v>5.802142507946787</v>
      </c>
      <c r="CK679" t="n">
        <v>5.943337064723537</v>
      </c>
      <c r="CL679" t="n">
        <v>5.88961582761648</v>
      </c>
      <c r="CM679" t="n">
        <v>-1.122763605408794</v>
      </c>
      <c r="EH679" t="n">
        <v>4.128</v>
      </c>
      <c r="ES679" t="n">
        <v>-31.2</v>
      </c>
      <c r="FD679" t="n">
        <v>73.45</v>
      </c>
      <c r="FG679" t="n">
        <v>2.2</v>
      </c>
      <c r="FJ679" t="n">
        <v>2.319949911385761</v>
      </c>
      <c r="FK679" t="n">
        <v>2.241567557352368</v>
      </c>
      <c r="FL679" t="n">
        <v>2.301995882881978</v>
      </c>
      <c r="FM679" t="n">
        <v>-1.077907646853082</v>
      </c>
      <c r="HH679" t="n">
        <v>1.446</v>
      </c>
      <c r="HS679" t="n">
        <v>-34.25</v>
      </c>
      <c r="ID679" t="n">
        <v>100.78</v>
      </c>
      <c r="IG679" t="n">
        <v>8.4</v>
      </c>
      <c r="IJ679" t="n">
        <v>8.073918322688137</v>
      </c>
      <c r="IK679" t="n">
        <v>7.9503291186504</v>
      </c>
      <c r="IL679" t="n">
        <v>7.872277911991059</v>
      </c>
      <c r="IM679" t="n">
        <v>8.056210042339714</v>
      </c>
      <c r="KH679" t="n">
        <v>7.988</v>
      </c>
      <c r="KS679" t="n">
        <v>-4.9</v>
      </c>
      <c r="LD679" t="n">
        <v>1.03</v>
      </c>
    </row>
    <row r="680">
      <c r="A680" t="inlineStr">
        <is>
          <t>2026-04-08</t>
        </is>
      </c>
      <c r="B680" t="inlineStr">
        <is>
          <t>Electrolyte 7</t>
        </is>
      </c>
      <c r="C680" t="inlineStr">
        <is>
          <t>100326040801</t>
        </is>
      </c>
      <c r="D680" t="inlineStr">
        <is>
          <t>Na</t>
        </is>
      </c>
      <c r="G680" t="n">
        <v>141</v>
      </c>
      <c r="J680" t="n">
        <v>146.2524250535821</v>
      </c>
      <c r="K680" t="n">
        <v>146.3038973731836</v>
      </c>
      <c r="L680" t="n">
        <v>148.626129551797</v>
      </c>
      <c r="M680" t="n">
        <v>145.9701556732512</v>
      </c>
      <c r="BH680" t="n">
        <v>146.788</v>
      </c>
      <c r="BS680" t="n">
        <v>4.11</v>
      </c>
      <c r="CD680" t="n">
        <v>0.73</v>
      </c>
      <c r="CG680" t="n">
        <v>129</v>
      </c>
      <c r="CJ680" t="n">
        <v>134.2259997526048</v>
      </c>
      <c r="CK680" t="n">
        <v>133.910497255281</v>
      </c>
      <c r="CL680" t="n">
        <v>136.708014384633</v>
      </c>
      <c r="CM680" t="n">
        <v>74.0708606189999</v>
      </c>
      <c r="EH680" t="n">
        <v>119.729</v>
      </c>
      <c r="ES680" t="n">
        <v>-7.19</v>
      </c>
      <c r="FD680" t="n">
        <v>22.04</v>
      </c>
      <c r="FG680" t="n">
        <v>118</v>
      </c>
      <c r="FJ680" t="n">
        <v>123.6860321778016</v>
      </c>
      <c r="FK680" t="n">
        <v>126.1125900607171</v>
      </c>
      <c r="FL680" t="n">
        <v>124.6195213024838</v>
      </c>
      <c r="FM680" t="n">
        <v>74.39895099183352</v>
      </c>
      <c r="HH680" t="n">
        <v>112.204</v>
      </c>
      <c r="HS680" t="n">
        <v>-4.91</v>
      </c>
      <c r="ID680" t="n">
        <v>19.47</v>
      </c>
      <c r="IG680" t="n">
        <v>166</v>
      </c>
      <c r="IJ680" t="n">
        <v>167.3765041091795</v>
      </c>
      <c r="IK680" t="n">
        <v>163.9613638844929</v>
      </c>
      <c r="IL680" t="n">
        <v>166.9165820104203</v>
      </c>
      <c r="IM680" t="n">
        <v>166.9508924704329</v>
      </c>
      <c r="KH680" t="n">
        <v>166.301</v>
      </c>
      <c r="KS680" t="n">
        <v>0.18</v>
      </c>
      <c r="LD680" t="n">
        <v>0.82</v>
      </c>
    </row>
    <row r="681">
      <c r="A681" t="inlineStr">
        <is>
          <t>2026-04-08</t>
        </is>
      </c>
      <c r="B681" t="inlineStr">
        <is>
          <t>Electrolyte 7</t>
        </is>
      </c>
      <c r="C681" t="inlineStr">
        <is>
          <t>100326040801</t>
        </is>
      </c>
      <c r="D681" t="inlineStr">
        <is>
          <t>TCO2</t>
        </is>
      </c>
      <c r="F681" t="n">
        <v>20</v>
      </c>
      <c r="G681" t="n">
        <v>32.5</v>
      </c>
      <c r="H681" t="n">
        <v>682.5</v>
      </c>
      <c r="I681" t="n">
        <v>-617.5</v>
      </c>
      <c r="J681" t="n">
        <v>30.41154332758544</v>
      </c>
      <c r="K681" t="n">
        <v>31.0557133985672</v>
      </c>
      <c r="L681" t="n">
        <v>31.17315504964467</v>
      </c>
      <c r="M681" t="n">
        <v>31.83725420503773</v>
      </c>
      <c r="BH681" t="n">
        <v>31.119</v>
      </c>
      <c r="BS681" t="n">
        <v>-4.25</v>
      </c>
      <c r="CD681" t="n">
        <v>1.63</v>
      </c>
      <c r="CF681" t="n">
        <v>20</v>
      </c>
      <c r="CG681" t="n">
        <v>21.2</v>
      </c>
      <c r="CH681" t="n">
        <v>445.2</v>
      </c>
      <c r="CI681" t="n">
        <v>-402.8</v>
      </c>
      <c r="CJ681" t="n">
        <v>20.14341674199258</v>
      </c>
      <c r="CK681" t="n">
        <v>17.81802075900733</v>
      </c>
      <c r="CL681" t="n">
        <v>21.67847825217839</v>
      </c>
      <c r="CM681" t="n">
        <v>8.484451899962135</v>
      </c>
      <c r="EH681" t="n">
        <v>17.031</v>
      </c>
      <c r="ES681" t="n">
        <v>-19.66</v>
      </c>
      <c r="FD681" t="n">
        <v>30.08</v>
      </c>
      <c r="FF681" t="n">
        <v>20</v>
      </c>
      <c r="FG681" t="n">
        <v>17.3</v>
      </c>
      <c r="FH681" t="n">
        <v>363.3</v>
      </c>
      <c r="FI681" t="n">
        <v>-328.7</v>
      </c>
      <c r="FJ681" t="n">
        <v>15.40130276282308</v>
      </c>
      <c r="FK681" t="n">
        <v>17.60192395305565</v>
      </c>
      <c r="FL681" t="n">
        <v>17.4980450000137</v>
      </c>
      <c r="FM681" t="n">
        <v>2.407383476072622</v>
      </c>
      <c r="HH681" t="n">
        <v>13.227</v>
      </c>
      <c r="HS681" t="n">
        <v>-23.54</v>
      </c>
      <c r="ID681" t="n">
        <v>47.69</v>
      </c>
      <c r="IF681" t="n">
        <v>20</v>
      </c>
      <c r="IG681" t="n">
        <v>26.7</v>
      </c>
      <c r="IH681" t="n">
        <v>560.6999999999999</v>
      </c>
      <c r="II681" t="n">
        <v>-507.3</v>
      </c>
      <c r="IJ681" t="n">
        <v>26.78415473536201</v>
      </c>
      <c r="IK681" t="n">
        <v>26.89206316748743</v>
      </c>
      <c r="IL681" t="n">
        <v>26.89160170673584</v>
      </c>
      <c r="IM681" t="n">
        <v>27.71898639329778</v>
      </c>
      <c r="KH681" t="n">
        <v>27.072</v>
      </c>
      <c r="KS681" t="n">
        <v>1.39</v>
      </c>
      <c r="LD681" t="n">
        <v>1.39</v>
      </c>
    </row>
    <row r="682">
      <c r="A682" t="inlineStr">
        <is>
          <t>2026-04-08</t>
        </is>
      </c>
      <c r="B682" t="inlineStr">
        <is>
          <t>Large Animal 25</t>
        </is>
      </c>
      <c r="C682" t="inlineStr">
        <is>
          <t>00206106226040701</t>
        </is>
      </c>
      <c r="D682" t="inlineStr">
        <is>
          <t>ALP</t>
        </is>
      </c>
      <c r="F682" t="n">
        <v>20</v>
      </c>
      <c r="G682" t="n">
        <v>136</v>
      </c>
      <c r="H682" t="n">
        <v>2856</v>
      </c>
      <c r="I682" t="n">
        <v>-2584</v>
      </c>
      <c r="J682" t="n">
        <v>142.8104134412446</v>
      </c>
      <c r="BH682" t="n">
        <v>142.81</v>
      </c>
      <c r="BS682" t="n">
        <v>5.01</v>
      </c>
      <c r="CF682" t="n">
        <v>20</v>
      </c>
      <c r="CG682" t="n">
        <v>456</v>
      </c>
      <c r="CH682" t="n">
        <v>9576</v>
      </c>
      <c r="CI682" t="n">
        <v>-8664</v>
      </c>
      <c r="CJ682" t="n">
        <v>463.6959511552873</v>
      </c>
      <c r="EH682" t="n">
        <v>463.696</v>
      </c>
      <c r="ES682" t="n">
        <v>1.69</v>
      </c>
      <c r="FF682" t="n">
        <v>20</v>
      </c>
      <c r="FG682" t="n">
        <v>75</v>
      </c>
      <c r="FH682" t="n">
        <v>1575</v>
      </c>
      <c r="FI682" t="n">
        <v>-1425</v>
      </c>
      <c r="FJ682" t="n">
        <v>76.6436949069892</v>
      </c>
      <c r="HH682" t="n">
        <v>76.64400000000001</v>
      </c>
      <c r="HS682" t="n">
        <v>2.19</v>
      </c>
      <c r="IF682" t="n">
        <v>20</v>
      </c>
      <c r="IG682" t="n">
        <v>251</v>
      </c>
      <c r="IH682" t="n">
        <v>5271</v>
      </c>
      <c r="II682" t="n">
        <v>-4769</v>
      </c>
    </row>
    <row r="683">
      <c r="A683" t="inlineStr">
        <is>
          <t>2026-04-08</t>
        </is>
      </c>
      <c r="B683" t="inlineStr">
        <is>
          <t>Large Animal 25</t>
        </is>
      </c>
      <c r="C683" t="inlineStr">
        <is>
          <t>00206106226040701</t>
        </is>
      </c>
      <c r="D683" t="inlineStr">
        <is>
          <t>Ca</t>
        </is>
      </c>
      <c r="G683" t="n">
        <v>9.1</v>
      </c>
      <c r="J683" t="n">
        <v>9.622506270187792</v>
      </c>
      <c r="BH683" t="n">
        <v>9.622999999999999</v>
      </c>
      <c r="BS683" t="n">
        <v>5.74</v>
      </c>
      <c r="CG683" t="n">
        <v>12.4</v>
      </c>
      <c r="CJ683" t="n">
        <v>12.9558493132126</v>
      </c>
      <c r="EH683" t="n">
        <v>12.956</v>
      </c>
      <c r="ES683" t="n">
        <v>4.48</v>
      </c>
      <c r="FG683" t="n">
        <v>5.9</v>
      </c>
      <c r="FJ683" t="n">
        <v>5.988575668825614</v>
      </c>
      <c r="HH683" t="n">
        <v>5.989</v>
      </c>
      <c r="HS683" t="n">
        <v>1.5</v>
      </c>
      <c r="IG683" t="n">
        <v>12.7</v>
      </c>
    </row>
    <row r="684">
      <c r="A684" t="inlineStr">
        <is>
          <t>2026-04-08</t>
        </is>
      </c>
      <c r="B684" t="inlineStr">
        <is>
          <t>Large Animal 25</t>
        </is>
      </c>
      <c r="C684" t="inlineStr">
        <is>
          <t>00206106226040701</t>
        </is>
      </c>
      <c r="D684" t="inlineStr">
        <is>
          <t>Cl</t>
        </is>
      </c>
      <c r="F684" t="n">
        <v>5</v>
      </c>
      <c r="G684" t="n">
        <v>90</v>
      </c>
      <c r="H684" t="n">
        <v>540</v>
      </c>
      <c r="I684" t="n">
        <v>-360</v>
      </c>
      <c r="J684" t="n">
        <v>93.25511747825928</v>
      </c>
      <c r="BH684" t="n">
        <v>93.255</v>
      </c>
      <c r="BS684" t="n">
        <v>3.62</v>
      </c>
      <c r="CF684" t="n">
        <v>5</v>
      </c>
      <c r="CG684" t="n">
        <v>91</v>
      </c>
      <c r="CH684" t="n">
        <v>546</v>
      </c>
      <c r="CI684" t="n">
        <v>-364</v>
      </c>
      <c r="CJ684" t="n">
        <v>86.00188625639387</v>
      </c>
      <c r="EH684" t="n">
        <v>86.002</v>
      </c>
      <c r="ES684" t="n">
        <v>-5.49</v>
      </c>
      <c r="FF684" t="n">
        <v>5</v>
      </c>
      <c r="FG684" t="n">
        <v>77</v>
      </c>
      <c r="FH684" t="n">
        <v>462</v>
      </c>
      <c r="FI684" t="n">
        <v>-308</v>
      </c>
      <c r="FJ684" t="n">
        <v>75.53002536583762</v>
      </c>
      <c r="HH684" t="n">
        <v>75.53</v>
      </c>
      <c r="HS684" t="n">
        <v>-1.91</v>
      </c>
      <c r="IF684" t="n">
        <v>5</v>
      </c>
      <c r="IG684" t="n">
        <v>118</v>
      </c>
      <c r="IH684" t="n">
        <v>708</v>
      </c>
      <c r="II684" t="n">
        <v>-472</v>
      </c>
    </row>
    <row r="685">
      <c r="A685" t="inlineStr">
        <is>
          <t>2026-04-08</t>
        </is>
      </c>
      <c r="B685" t="inlineStr">
        <is>
          <t>Large Animal 25</t>
        </is>
      </c>
      <c r="C685" t="inlineStr">
        <is>
          <t>00206106226040701</t>
        </is>
      </c>
      <c r="D685" t="inlineStr">
        <is>
          <t>K</t>
        </is>
      </c>
      <c r="G685" t="n">
        <v>3.9</v>
      </c>
      <c r="J685" t="n">
        <v>3.805316571812952</v>
      </c>
      <c r="BH685" t="n">
        <v>3.805</v>
      </c>
      <c r="BS685" t="n">
        <v>-2.43</v>
      </c>
      <c r="CG685" t="n">
        <v>6</v>
      </c>
      <c r="CJ685" t="n">
        <v>6.347561299980285</v>
      </c>
      <c r="EH685" t="n">
        <v>6.348</v>
      </c>
      <c r="ES685" t="n">
        <v>5.79</v>
      </c>
      <c r="FG685" t="n">
        <v>2.2</v>
      </c>
      <c r="FJ685" t="n">
        <v>2.71574231481834</v>
      </c>
      <c r="HH685" t="n">
        <v>2.716</v>
      </c>
      <c r="HS685" t="n">
        <v>23.44</v>
      </c>
      <c r="IG685" t="n">
        <v>8.4</v>
      </c>
    </row>
    <row r="686">
      <c r="A686" t="inlineStr">
        <is>
          <t>2026-04-08</t>
        </is>
      </c>
      <c r="B686" t="inlineStr">
        <is>
          <t>Large Animal 25</t>
        </is>
      </c>
      <c r="C686" t="inlineStr">
        <is>
          <t>00206106226040701</t>
        </is>
      </c>
      <c r="D686" t="inlineStr">
        <is>
          <t>Mg</t>
        </is>
      </c>
      <c r="F686" t="n">
        <v>15</v>
      </c>
      <c r="G686" t="n">
        <v>2.4</v>
      </c>
      <c r="H686" t="n">
        <v>38.4</v>
      </c>
      <c r="I686" t="n">
        <v>-33.6</v>
      </c>
      <c r="J686" t="n">
        <v>2.309933844175811</v>
      </c>
      <c r="BH686" t="n">
        <v>2.31</v>
      </c>
      <c r="BS686" t="n">
        <v>-3.75</v>
      </c>
      <c r="CF686" t="n">
        <v>15</v>
      </c>
      <c r="CG686" t="n">
        <v>4.4</v>
      </c>
      <c r="CH686" t="n">
        <v>70.40000000000001</v>
      </c>
      <c r="CI686" t="n">
        <v>-61.60000000000001</v>
      </c>
      <c r="CJ686" t="n">
        <v>4.569520833311054</v>
      </c>
      <c r="EH686" t="n">
        <v>4.57</v>
      </c>
      <c r="ES686" t="n">
        <v>3.85</v>
      </c>
      <c r="FF686" t="n">
        <v>15</v>
      </c>
      <c r="FG686" t="n">
        <v>1</v>
      </c>
      <c r="FH686" t="n">
        <v>16</v>
      </c>
      <c r="FI686" t="n">
        <v>-14</v>
      </c>
      <c r="FJ686" t="n">
        <v>1.126549167208831</v>
      </c>
      <c r="HH686" t="n">
        <v>1.127</v>
      </c>
      <c r="HS686" t="n">
        <v>12.65</v>
      </c>
      <c r="IF686" t="n">
        <v>15</v>
      </c>
      <c r="IG686" t="n">
        <v>4</v>
      </c>
      <c r="IH686" t="n">
        <v>64</v>
      </c>
      <c r="II686" t="n">
        <v>-56</v>
      </c>
    </row>
    <row r="687">
      <c r="A687" t="inlineStr">
        <is>
          <t>2026-04-08</t>
        </is>
      </c>
      <c r="B687" t="inlineStr">
        <is>
          <t>Large Animal 25</t>
        </is>
      </c>
      <c r="C687" t="inlineStr">
        <is>
          <t>00206106226040701</t>
        </is>
      </c>
      <c r="D687" t="inlineStr">
        <is>
          <t>Na</t>
        </is>
      </c>
      <c r="G687" t="n">
        <v>141</v>
      </c>
      <c r="J687" t="n">
        <v>142.8807393186979</v>
      </c>
      <c r="BH687" t="n">
        <v>142.881</v>
      </c>
      <c r="BS687" t="n">
        <v>1.33</v>
      </c>
      <c r="CG687" t="n">
        <v>129</v>
      </c>
      <c r="CJ687" t="n">
        <v>133.8574911443094</v>
      </c>
      <c r="EH687" t="n">
        <v>133.857</v>
      </c>
      <c r="ES687" t="n">
        <v>3.77</v>
      </c>
      <c r="FG687" t="n">
        <v>118</v>
      </c>
      <c r="FJ687" t="n">
        <v>122.0394428641231</v>
      </c>
      <c r="HH687" t="n">
        <v>122.039</v>
      </c>
      <c r="HS687" t="n">
        <v>3.42</v>
      </c>
      <c r="IG687" t="n">
        <v>166</v>
      </c>
    </row>
    <row r="688">
      <c r="A688" t="inlineStr">
        <is>
          <t>2026-04-08</t>
        </is>
      </c>
      <c r="B688" t="inlineStr">
        <is>
          <t>Large Animal 25</t>
        </is>
      </c>
      <c r="C688" t="inlineStr">
        <is>
          <t>00206106226040701</t>
        </is>
      </c>
      <c r="D688" t="inlineStr">
        <is>
          <t>PHOS</t>
        </is>
      </c>
      <c r="F688" t="n">
        <v>10</v>
      </c>
      <c r="G688" t="n">
        <v>3.3</v>
      </c>
      <c r="H688" t="n">
        <v>36.3</v>
      </c>
      <c r="I688" t="n">
        <v>-29.7</v>
      </c>
      <c r="J688" t="n">
        <v>3.123388484895473</v>
      </c>
      <c r="BH688" t="n">
        <v>3.123</v>
      </c>
      <c r="BS688" t="n">
        <v>-5.35</v>
      </c>
      <c r="CF688" t="n">
        <v>10</v>
      </c>
      <c r="CG688" t="n">
        <v>7.2</v>
      </c>
      <c r="CH688" t="n">
        <v>79.2</v>
      </c>
      <c r="CI688" t="n">
        <v>-64.8</v>
      </c>
      <c r="CJ688" t="n">
        <v>7.081375748093468</v>
      </c>
      <c r="EH688" t="n">
        <v>7.081</v>
      </c>
      <c r="ES688" t="n">
        <v>-1.65</v>
      </c>
      <c r="FF688" t="n">
        <v>10</v>
      </c>
      <c r="FG688" t="n">
        <v>1.9</v>
      </c>
      <c r="FH688" t="n">
        <v>20.9</v>
      </c>
      <c r="FI688" t="n">
        <v>-17.1</v>
      </c>
      <c r="FJ688" t="n">
        <v>1.892917269325587</v>
      </c>
      <c r="HH688" t="n">
        <v>1.893</v>
      </c>
      <c r="HS688" t="n">
        <v>-0.37</v>
      </c>
      <c r="IF688" t="n">
        <v>10</v>
      </c>
      <c r="IG688" t="n">
        <v>7.2</v>
      </c>
      <c r="IH688" t="n">
        <v>79.2</v>
      </c>
      <c r="II688" t="n">
        <v>-64.8</v>
      </c>
    </row>
    <row r="689">
      <c r="A689" t="inlineStr">
        <is>
          <t>2026-04-08</t>
        </is>
      </c>
      <c r="B689" t="inlineStr">
        <is>
          <t>Core Chem 13</t>
        </is>
      </c>
      <c r="C689" t="inlineStr">
        <is>
          <t>00200000126040801</t>
        </is>
      </c>
      <c r="D689" t="inlineStr">
        <is>
          <t>ALB</t>
        </is>
      </c>
      <c r="F689" t="n">
        <v>8</v>
      </c>
      <c r="G689" t="n">
        <v>4.2</v>
      </c>
      <c r="H689" t="n">
        <v>37.8</v>
      </c>
      <c r="I689" t="n">
        <v>-29.4</v>
      </c>
      <c r="J689" t="n">
        <v>4.081492110248768</v>
      </c>
      <c r="K689" t="n">
        <v>4.128277007092119</v>
      </c>
      <c r="L689" t="n">
        <v>4.120478149796089</v>
      </c>
      <c r="M689" t="n">
        <v>4.10900507164292</v>
      </c>
      <c r="BH689" t="n">
        <v>4.11</v>
      </c>
      <c r="BS689" t="n">
        <v>-2.15</v>
      </c>
      <c r="CD689" t="n">
        <v>0.43</v>
      </c>
      <c r="CF689" t="n">
        <v>8</v>
      </c>
      <c r="CG689" t="n">
        <v>2.7</v>
      </c>
      <c r="CH689" t="n">
        <v>24.3</v>
      </c>
      <c r="CI689" t="n">
        <v>-18.9</v>
      </c>
      <c r="CJ689" t="n">
        <v>2.752656262599817</v>
      </c>
      <c r="CK689" t="n">
        <v>2.754706589053765</v>
      </c>
      <c r="CL689" t="n">
        <v>2.734168278951058</v>
      </c>
      <c r="CM689" t="n">
        <v>2.71721062673786</v>
      </c>
      <c r="EH689" t="n">
        <v>2.74</v>
      </c>
      <c r="ES689" t="n">
        <v>1.47</v>
      </c>
      <c r="FD689" t="n">
        <v>0.5600000000000001</v>
      </c>
      <c r="FF689" t="n">
        <v>8</v>
      </c>
      <c r="FG689" t="n">
        <v>2.6</v>
      </c>
      <c r="FH689" t="n">
        <v>23.4</v>
      </c>
      <c r="FI689" t="n">
        <v>-18.2</v>
      </c>
      <c r="FJ689" t="n">
        <v>2.616743396833633</v>
      </c>
      <c r="FK689" t="n">
        <v>2.626498569305051</v>
      </c>
      <c r="FL689" t="n">
        <v>2.63671461184784</v>
      </c>
      <c r="FM689" t="n">
        <v>2.59942224442798</v>
      </c>
      <c r="HH689" t="n">
        <v>2.62</v>
      </c>
      <c r="HS689" t="n">
        <v>0.76</v>
      </c>
      <c r="ID689" t="n">
        <v>0.52</v>
      </c>
      <c r="IF689" t="n">
        <v>8</v>
      </c>
      <c r="IG689" t="n">
        <v>4.2</v>
      </c>
      <c r="IH689" t="n">
        <v>37.8</v>
      </c>
      <c r="II689" t="n">
        <v>-29.4</v>
      </c>
      <c r="IJ689" t="n">
        <v>4.178954587609114</v>
      </c>
      <c r="IK689" t="n">
        <v>4.154068944225846</v>
      </c>
      <c r="IL689" t="n">
        <v>4.166480515580608</v>
      </c>
      <c r="IM689" t="n">
        <v>4.140035644450618</v>
      </c>
      <c r="KH689" t="n">
        <v>4.16</v>
      </c>
      <c r="KS689" t="n">
        <v>-0.96</v>
      </c>
      <c r="LD689" t="n">
        <v>0.35</v>
      </c>
    </row>
    <row r="690">
      <c r="A690" t="inlineStr">
        <is>
          <t>2026-04-08</t>
        </is>
      </c>
      <c r="B690" t="inlineStr">
        <is>
          <t>Core Chem 13</t>
        </is>
      </c>
      <c r="C690" t="inlineStr">
        <is>
          <t>00200000126040801</t>
        </is>
      </c>
      <c r="D690" t="inlineStr">
        <is>
          <t>ALP</t>
        </is>
      </c>
      <c r="F690" t="n">
        <v>20</v>
      </c>
      <c r="G690" t="n">
        <v>136</v>
      </c>
      <c r="H690" t="n">
        <v>2856</v>
      </c>
      <c r="I690" t="n">
        <v>-2584</v>
      </c>
      <c r="J690" t="n">
        <v>161.4185544215682</v>
      </c>
      <c r="K690" t="n">
        <v>160.2289543851649</v>
      </c>
      <c r="L690" t="n">
        <v>160.4365292650877</v>
      </c>
      <c r="M690" t="n">
        <v>161.442164809718</v>
      </c>
      <c r="BH690" t="n">
        <v>160.882</v>
      </c>
      <c r="BS690" t="n">
        <v>18.3</v>
      </c>
      <c r="CD690" t="n">
        <v>0.34</v>
      </c>
      <c r="CF690" t="n">
        <v>20</v>
      </c>
      <c r="CG690" t="n">
        <v>456</v>
      </c>
      <c r="CH690" t="n">
        <v>9576</v>
      </c>
      <c r="CI690" t="n">
        <v>-8664</v>
      </c>
      <c r="CJ690" t="n">
        <v>529.4865889814179</v>
      </c>
      <c r="CK690" t="n">
        <v>536.3845181076108</v>
      </c>
      <c r="CL690" t="n">
        <v>516.5591474648699</v>
      </c>
      <c r="CM690" t="n">
        <v>523.9375271452311</v>
      </c>
      <c r="EH690" t="n">
        <v>526.592</v>
      </c>
      <c r="ES690" t="n">
        <v>15.48</v>
      </c>
      <c r="FD690" t="n">
        <v>1.38</v>
      </c>
      <c r="FF690" t="n">
        <v>20</v>
      </c>
      <c r="FG690" t="n">
        <v>75</v>
      </c>
      <c r="FH690" t="n">
        <v>1575</v>
      </c>
      <c r="FI690" t="n">
        <v>-1425</v>
      </c>
      <c r="FJ690" t="n">
        <v>81.46490675852124</v>
      </c>
      <c r="FK690" t="n">
        <v>81.61534803770405</v>
      </c>
      <c r="FL690" t="n">
        <v>82.01685674007854</v>
      </c>
      <c r="FM690" t="n">
        <v>82.08019227181072</v>
      </c>
      <c r="HH690" t="n">
        <v>81.794</v>
      </c>
      <c r="HS690" t="n">
        <v>9.06</v>
      </c>
      <c r="ID690" t="n">
        <v>0.32</v>
      </c>
      <c r="IF690" t="n">
        <v>20</v>
      </c>
      <c r="IG690" t="n">
        <v>251</v>
      </c>
      <c r="IH690" t="n">
        <v>5271</v>
      </c>
      <c r="II690" t="n">
        <v>-4769</v>
      </c>
      <c r="IJ690" t="n">
        <v>266.1870004420344</v>
      </c>
      <c r="IK690" t="n">
        <v>265.6946707257798</v>
      </c>
      <c r="IL690" t="n">
        <v>259.603686975304</v>
      </c>
      <c r="IM690" t="n">
        <v>260.325166831856</v>
      </c>
      <c r="KH690" t="n">
        <v>262.953</v>
      </c>
      <c r="KS690" t="n">
        <v>4.76</v>
      </c>
      <c r="LD690" t="n">
        <v>1.14</v>
      </c>
    </row>
    <row r="691">
      <c r="A691" t="inlineStr">
        <is>
          <t>2026-04-08</t>
        </is>
      </c>
      <c r="B691" t="inlineStr">
        <is>
          <t>Core Chem 13</t>
        </is>
      </c>
      <c r="C691" t="inlineStr">
        <is>
          <t>00200000126040801</t>
        </is>
      </c>
      <c r="D691" t="inlineStr">
        <is>
          <t>ALT</t>
        </is>
      </c>
      <c r="F691" t="n">
        <v>15</v>
      </c>
      <c r="G691" t="n">
        <v>28</v>
      </c>
      <c r="H691" t="n">
        <v>448</v>
      </c>
      <c r="I691" t="n">
        <v>-392</v>
      </c>
      <c r="J691" t="n">
        <v>30.38685738386885</v>
      </c>
      <c r="K691" t="n">
        <v>27.90972582143003</v>
      </c>
      <c r="L691" t="n">
        <v>21.83593885189423</v>
      </c>
      <c r="M691" t="n">
        <v>27.40795049869374</v>
      </c>
      <c r="BH691" t="n">
        <v>26.885</v>
      </c>
      <c r="BS691" t="n">
        <v>-3.98</v>
      </c>
      <c r="CD691" t="n">
        <v>11.63</v>
      </c>
      <c r="CF691" t="n">
        <v>15</v>
      </c>
      <c r="CG691" t="n">
        <v>115</v>
      </c>
      <c r="CH691" t="n">
        <v>1840</v>
      </c>
      <c r="CI691" t="n">
        <v>-1610</v>
      </c>
      <c r="CJ691" t="n">
        <v>117.7133405642126</v>
      </c>
      <c r="CK691" t="n">
        <v>118.0650912616819</v>
      </c>
      <c r="CL691" t="n">
        <v>118.5586345237057</v>
      </c>
      <c r="CM691" t="n">
        <v>115.3342623487172</v>
      </c>
      <c r="EH691" t="n">
        <v>117.418</v>
      </c>
      <c r="ES691" t="n">
        <v>2.1</v>
      </c>
      <c r="FD691" t="n">
        <v>1.06</v>
      </c>
      <c r="FF691" t="n">
        <v>15</v>
      </c>
      <c r="FG691" t="n">
        <v>26</v>
      </c>
      <c r="FH691" t="n">
        <v>416</v>
      </c>
      <c r="FI691" t="n">
        <v>-364</v>
      </c>
      <c r="FJ691" t="n">
        <v>23.51217195631022</v>
      </c>
      <c r="FK691" t="n">
        <v>22.84843213557242</v>
      </c>
      <c r="FL691" t="n">
        <v>19.41234546422709</v>
      </c>
      <c r="FM691" t="n">
        <v>21.51286213593493</v>
      </c>
      <c r="HH691" t="n">
        <v>21.821</v>
      </c>
      <c r="HS691" t="n">
        <v>-16.07</v>
      </c>
      <c r="ID691" t="n">
        <v>7.18</v>
      </c>
      <c r="IF691" t="n">
        <v>15</v>
      </c>
      <c r="IG691" t="n">
        <v>217</v>
      </c>
      <c r="IH691" t="n">
        <v>3472</v>
      </c>
      <c r="II691" t="n">
        <v>-3038</v>
      </c>
      <c r="IJ691" t="n">
        <v>210.5001483155941</v>
      </c>
      <c r="IK691" t="n">
        <v>213.2202811100885</v>
      </c>
      <c r="IL691" t="n">
        <v>209.4555057588428</v>
      </c>
      <c r="IM691" t="n">
        <v>211.4656925348233</v>
      </c>
      <c r="KH691" t="n">
        <v>211.16</v>
      </c>
      <c r="KS691" t="n">
        <v>-2.69</v>
      </c>
      <c r="LD691" t="n">
        <v>0.66</v>
      </c>
    </row>
    <row r="692">
      <c r="A692" t="inlineStr">
        <is>
          <t>2026-04-08</t>
        </is>
      </c>
      <c r="B692" t="inlineStr">
        <is>
          <t>Core Chem 13</t>
        </is>
      </c>
      <c r="C692" t="inlineStr">
        <is>
          <t>00200000126040801</t>
        </is>
      </c>
      <c r="D692" t="inlineStr">
        <is>
          <t>BUN</t>
        </is>
      </c>
      <c r="F692" t="n">
        <v>9</v>
      </c>
      <c r="G692" t="n">
        <v>14.8</v>
      </c>
      <c r="H692" t="n">
        <v>148</v>
      </c>
      <c r="I692" t="n">
        <v>-118.4</v>
      </c>
      <c r="J692" t="n">
        <v>15.22939733394522</v>
      </c>
      <c r="K692" t="n">
        <v>15.49730314270896</v>
      </c>
      <c r="L692" t="n">
        <v>15.03139687616458</v>
      </c>
      <c r="M692" t="n">
        <v>15.2627271894397</v>
      </c>
      <c r="BH692" t="n">
        <v>15.255</v>
      </c>
      <c r="BS692" t="n">
        <v>3.08</v>
      </c>
      <c r="CD692" t="n">
        <v>1.08</v>
      </c>
      <c r="CF692" t="n">
        <v>9</v>
      </c>
      <c r="CG692" t="n">
        <v>44.7</v>
      </c>
      <c r="CH692" t="n">
        <v>447</v>
      </c>
      <c r="CI692" t="n">
        <v>-357.6</v>
      </c>
      <c r="CJ692" t="n">
        <v>46.79626235847546</v>
      </c>
      <c r="CK692" t="n">
        <v>48.75397435673181</v>
      </c>
      <c r="CL692" t="n">
        <v>46.29638518341699</v>
      </c>
      <c r="CM692" t="n">
        <v>47.5289282446258</v>
      </c>
      <c r="EH692" t="n">
        <v>47.344</v>
      </c>
      <c r="ES692" t="n">
        <v>5.91</v>
      </c>
      <c r="FD692" t="n">
        <v>1.95</v>
      </c>
      <c r="FF692" t="n">
        <v>9</v>
      </c>
      <c r="FG692" t="n">
        <v>14.7</v>
      </c>
      <c r="FH692" t="n">
        <v>147</v>
      </c>
      <c r="FI692" t="n">
        <v>-117.6</v>
      </c>
      <c r="FJ692" t="n">
        <v>15.34194699842252</v>
      </c>
      <c r="FK692" t="n">
        <v>15.45700516817639</v>
      </c>
      <c r="FL692" t="n">
        <v>15.37623874967131</v>
      </c>
      <c r="FM692" t="n">
        <v>15.40218357588449</v>
      </c>
      <c r="HH692" t="n">
        <v>15.394</v>
      </c>
      <c r="HS692" t="n">
        <v>4.72</v>
      </c>
      <c r="ID692" t="n">
        <v>0.27</v>
      </c>
      <c r="IF692" t="n">
        <v>9</v>
      </c>
      <c r="IG692" t="n">
        <v>65.7</v>
      </c>
      <c r="IH692" t="n">
        <v>657</v>
      </c>
      <c r="II692" t="n">
        <v>-525.6</v>
      </c>
      <c r="IJ692" t="n">
        <v>69.28518466158873</v>
      </c>
      <c r="IK692" t="n">
        <v>68.52066383382471</v>
      </c>
      <c r="IL692" t="n">
        <v>69.56211581923544</v>
      </c>
      <c r="IM692" t="n">
        <v>67.73946203750515</v>
      </c>
      <c r="KH692" t="n">
        <v>68.777</v>
      </c>
      <c r="KS692" t="n">
        <v>4.68</v>
      </c>
      <c r="LD692" t="n">
        <v>1.03</v>
      </c>
    </row>
    <row r="693">
      <c r="A693" t="inlineStr">
        <is>
          <t>2026-04-08</t>
        </is>
      </c>
      <c r="B693" t="inlineStr">
        <is>
          <t>Core Chem 13</t>
        </is>
      </c>
      <c r="C693" t="inlineStr">
        <is>
          <t>00200000126040801</t>
        </is>
      </c>
      <c r="D693" t="inlineStr">
        <is>
          <t>CREA</t>
        </is>
      </c>
      <c r="F693" t="n">
        <v>10</v>
      </c>
      <c r="G693" t="n">
        <v>1.5</v>
      </c>
      <c r="H693" t="n">
        <v>16.5</v>
      </c>
      <c r="I693" t="n">
        <v>-13.5</v>
      </c>
      <c r="J693" t="n">
        <v>1.324183762716931</v>
      </c>
      <c r="K693" t="n">
        <v>1.302796082867516</v>
      </c>
      <c r="L693" t="n">
        <v>1.320805324934312</v>
      </c>
      <c r="M693" t="n">
        <v>1.355361247192725</v>
      </c>
      <c r="BH693" t="n">
        <v>1.326</v>
      </c>
      <c r="BS693" t="n">
        <v>-11.61</v>
      </c>
      <c r="CD693" t="n">
        <v>1.43</v>
      </c>
      <c r="CF693" t="n">
        <v>10</v>
      </c>
      <c r="CG693" t="n">
        <v>5.55</v>
      </c>
      <c r="CH693" t="n">
        <v>61.05</v>
      </c>
      <c r="CI693" t="n">
        <v>-49.95</v>
      </c>
      <c r="CJ693" t="n">
        <v>4.690874702530479</v>
      </c>
      <c r="CK693" t="n">
        <v>4.645581582032806</v>
      </c>
      <c r="CL693" t="n">
        <v>4.661512257149903</v>
      </c>
      <c r="CM693" t="n">
        <v>4.74692814782928</v>
      </c>
      <c r="EH693" t="n">
        <v>4.686</v>
      </c>
      <c r="ES693" t="n">
        <v>-15.56</v>
      </c>
      <c r="FD693" t="n">
        <v>0.82</v>
      </c>
      <c r="FF693" t="n">
        <v>10</v>
      </c>
      <c r="FG693" t="n">
        <v>0.97</v>
      </c>
      <c r="FH693" t="n">
        <v>10.67</v>
      </c>
      <c r="FI693" t="n">
        <v>-8.73</v>
      </c>
      <c r="FJ693" t="n">
        <v>0.704880070537072</v>
      </c>
      <c r="FK693" t="n">
        <v>0.7275573726654364</v>
      </c>
      <c r="FL693" t="n">
        <v>0.7125412220339292</v>
      </c>
      <c r="FM693" t="n">
        <v>0.7653547067331533</v>
      </c>
      <c r="HH693" t="n">
        <v>0.728</v>
      </c>
      <c r="HS693" t="n">
        <v>-24.99</v>
      </c>
      <c r="ID693" t="n">
        <v>3.2</v>
      </c>
      <c r="IF693" t="n">
        <v>10</v>
      </c>
      <c r="IG693" t="n">
        <v>5.95</v>
      </c>
      <c r="IH693" t="n">
        <v>65.45</v>
      </c>
      <c r="II693" t="n">
        <v>-53.55</v>
      </c>
      <c r="IJ693" t="n">
        <v>5.432783688944472</v>
      </c>
      <c r="IK693" t="n">
        <v>5.511224319340196</v>
      </c>
      <c r="IL693" t="n">
        <v>5.483899328994116</v>
      </c>
      <c r="IM693" t="n">
        <v>5.595294783926772</v>
      </c>
      <c r="KH693" t="n">
        <v>5.506</v>
      </c>
      <c r="KS693" t="n">
        <v>-7.47</v>
      </c>
      <c r="LD693" t="n">
        <v>1.07</v>
      </c>
    </row>
    <row r="694">
      <c r="A694" t="inlineStr">
        <is>
          <t>2026-04-08</t>
        </is>
      </c>
      <c r="B694" t="inlineStr">
        <is>
          <t>Core Chem 13</t>
        </is>
      </c>
      <c r="C694" t="inlineStr">
        <is>
          <t>00200000126040801</t>
        </is>
      </c>
      <c r="D694" t="inlineStr">
        <is>
          <t>GLU</t>
        </is>
      </c>
      <c r="F694" t="n">
        <v>8</v>
      </c>
      <c r="G694" t="n">
        <v>90.16</v>
      </c>
      <c r="H694" t="n">
        <v>811.4399999999999</v>
      </c>
      <c r="I694" t="n">
        <v>-631.12</v>
      </c>
      <c r="J694" t="n">
        <v>89.40875448917193</v>
      </c>
      <c r="K694" t="n">
        <v>90.22550804050465</v>
      </c>
      <c r="L694" t="n">
        <v>90.2120785075321</v>
      </c>
      <c r="M694" t="n">
        <v>93.86742854043079</v>
      </c>
      <c r="BH694" t="n">
        <v>90.928</v>
      </c>
      <c r="BS694" t="n">
        <v>0.85</v>
      </c>
      <c r="CD694" t="n">
        <v>1.9</v>
      </c>
      <c r="CF694" t="n">
        <v>8</v>
      </c>
      <c r="CG694" t="n">
        <v>293.02</v>
      </c>
      <c r="CH694" t="n">
        <v>2637.18</v>
      </c>
      <c r="CI694" t="n">
        <v>-2051.14</v>
      </c>
      <c r="CJ694" t="n">
        <v>293.7554567502597</v>
      </c>
      <c r="CK694" t="n">
        <v>300.2998451963956</v>
      </c>
      <c r="CL694" t="n">
        <v>292.3228188819277</v>
      </c>
      <c r="CM694" t="n">
        <v>294.3634349178586</v>
      </c>
      <c r="EH694" t="n">
        <v>295.185</v>
      </c>
      <c r="ES694" t="n">
        <v>0.74</v>
      </c>
      <c r="FD694" t="n">
        <v>1.03</v>
      </c>
      <c r="FF694" t="n">
        <v>8</v>
      </c>
      <c r="FG694" t="n">
        <v>65.66</v>
      </c>
      <c r="FH694" t="n">
        <v>590.9399999999999</v>
      </c>
      <c r="FI694" t="n">
        <v>-459.62</v>
      </c>
      <c r="FJ694" t="n">
        <v>65.24061562486408</v>
      </c>
      <c r="FK694" t="n">
        <v>64.44003742325026</v>
      </c>
      <c r="FL694" t="n">
        <v>65.33174410125658</v>
      </c>
      <c r="FM694" t="n">
        <v>65.67598770448753</v>
      </c>
      <c r="HH694" t="n">
        <v>65.172</v>
      </c>
      <c r="HS694" t="n">
        <v>-0.74</v>
      </c>
      <c r="ID694" t="n">
        <v>0.6899999999999999</v>
      </c>
      <c r="IF694" t="n">
        <v>8</v>
      </c>
      <c r="IG694" t="n">
        <v>359.66</v>
      </c>
      <c r="IH694" t="n">
        <v>3236.94</v>
      </c>
      <c r="II694" t="n">
        <v>-2517.62</v>
      </c>
      <c r="IJ694" t="n">
        <v>356.1175711529801</v>
      </c>
      <c r="IK694" t="n">
        <v>354.5233367882211</v>
      </c>
      <c r="IL694" t="n">
        <v>356.8209431687442</v>
      </c>
      <c r="IM694" t="n">
        <v>354.5628579361788</v>
      </c>
      <c r="KH694" t="n">
        <v>355.506</v>
      </c>
      <c r="KS694" t="n">
        <v>-1.15</v>
      </c>
      <c r="LD694" t="n">
        <v>0.28</v>
      </c>
    </row>
    <row r="695">
      <c r="A695" t="inlineStr">
        <is>
          <t>2026-04-08</t>
        </is>
      </c>
      <c r="B695" t="inlineStr">
        <is>
          <t>Core Chem 13</t>
        </is>
      </c>
      <c r="C695" t="inlineStr">
        <is>
          <t>00200000126040801</t>
        </is>
      </c>
      <c r="D695" t="inlineStr">
        <is>
          <t>TP</t>
        </is>
      </c>
      <c r="F695" t="n">
        <v>8</v>
      </c>
      <c r="G695" t="n">
        <v>6.4</v>
      </c>
      <c r="H695" t="n">
        <v>57.6</v>
      </c>
      <c r="I695" t="n">
        <v>-44.8</v>
      </c>
      <c r="J695" t="n">
        <v>6.439968438780409</v>
      </c>
      <c r="K695" t="n">
        <v>6.548393198087965</v>
      </c>
      <c r="L695" t="n">
        <v>6.370050624967491</v>
      </c>
      <c r="M695" t="n">
        <v>6.451227302042811</v>
      </c>
      <c r="BH695" t="n">
        <v>6.452</v>
      </c>
      <c r="BS695" t="n">
        <v>0.82</v>
      </c>
      <c r="CD695" t="n">
        <v>0.98</v>
      </c>
      <c r="CF695" t="n">
        <v>8</v>
      </c>
      <c r="CG695" t="n">
        <v>4.1</v>
      </c>
      <c r="CH695" t="n">
        <v>36.9</v>
      </c>
      <c r="CI695" t="n">
        <v>-28.7</v>
      </c>
      <c r="CJ695" t="n">
        <v>4.217906406041937</v>
      </c>
      <c r="CK695" t="n">
        <v>4.357341721681991</v>
      </c>
      <c r="CL695" t="n">
        <v>4.197541140039664</v>
      </c>
      <c r="CM695" t="n">
        <v>4.282115919673055</v>
      </c>
      <c r="EH695" t="n">
        <v>4.264</v>
      </c>
      <c r="ES695" t="n">
        <v>3.99</v>
      </c>
      <c r="FD695" t="n">
        <v>1.46</v>
      </c>
      <c r="FF695" t="n">
        <v>8</v>
      </c>
      <c r="FG695" t="n">
        <v>4.2</v>
      </c>
      <c r="FH695" t="n">
        <v>37.8</v>
      </c>
      <c r="FI695" t="n">
        <v>-29.4</v>
      </c>
      <c r="FJ695" t="n">
        <v>3.942626203054997</v>
      </c>
      <c r="FK695" t="n">
        <v>4.08539769050283</v>
      </c>
      <c r="FL695" t="n">
        <v>4.007580171326507</v>
      </c>
      <c r="FM695" t="n">
        <v>4.030869907044253</v>
      </c>
      <c r="HH695" t="n">
        <v>4.017</v>
      </c>
      <c r="HS695" t="n">
        <v>-4.37</v>
      </c>
      <c r="ID695" t="n">
        <v>1.27</v>
      </c>
      <c r="IF695" t="n">
        <v>8</v>
      </c>
      <c r="IG695" t="n">
        <v>7.5</v>
      </c>
      <c r="IH695" t="n">
        <v>67.5</v>
      </c>
      <c r="II695" t="n">
        <v>-52.5</v>
      </c>
      <c r="IJ695" t="n">
        <v>7.45347395163821</v>
      </c>
      <c r="IK695" t="n">
        <v>7.427814330402616</v>
      </c>
      <c r="IL695" t="n">
        <v>7.364961155781566</v>
      </c>
      <c r="IM695" t="n">
        <v>7.414081447313293</v>
      </c>
      <c r="KH695" t="n">
        <v>7.415</v>
      </c>
      <c r="KS695" t="n">
        <v>-1.13</v>
      </c>
      <c r="LD695" t="n">
        <v>0.43</v>
      </c>
    </row>
    <row r="696">
      <c r="A696" t="inlineStr">
        <is>
          <t>2026-04-07</t>
        </is>
      </c>
      <c r="B696" t="inlineStr">
        <is>
          <t>Avian &amp; Reptile 26</t>
        </is>
      </c>
      <c r="C696" t="inlineStr">
        <is>
          <t>00206306426040701</t>
        </is>
      </c>
      <c r="D696" t="inlineStr">
        <is>
          <t>ALP</t>
        </is>
      </c>
      <c r="F696" t="n">
        <v>20</v>
      </c>
      <c r="G696" t="n">
        <v>136</v>
      </c>
      <c r="H696" t="n">
        <v>2856</v>
      </c>
      <c r="I696" t="n">
        <v>-2584</v>
      </c>
      <c r="J696" t="n">
        <v>137.9812507879332</v>
      </c>
      <c r="K696" t="n">
        <v>135.5137390025657</v>
      </c>
      <c r="L696" t="n">
        <v>135.9937351629606</v>
      </c>
      <c r="M696" t="n">
        <v>134.6561682721574</v>
      </c>
      <c r="BH696" t="n">
        <v>136.036</v>
      </c>
      <c r="BS696" t="n">
        <v>0.03</v>
      </c>
      <c r="CD696" t="n">
        <v>0.9</v>
      </c>
      <c r="CF696" t="n">
        <v>20</v>
      </c>
      <c r="CG696" t="n">
        <v>456</v>
      </c>
      <c r="CH696" t="n">
        <v>9576</v>
      </c>
      <c r="CI696" t="n">
        <v>-8664</v>
      </c>
      <c r="CJ696" t="n">
        <v>418.9361373341414</v>
      </c>
      <c r="CK696" t="n">
        <v>420.9983486282675</v>
      </c>
      <c r="CL696" t="n">
        <v>414.1305962460157</v>
      </c>
      <c r="CM696" t="n">
        <v>418.6850190971559</v>
      </c>
      <c r="EH696" t="n">
        <v>418.188</v>
      </c>
      <c r="ES696" t="n">
        <v>-8.289999999999999</v>
      </c>
      <c r="FD696" t="n">
        <v>0.6</v>
      </c>
      <c r="FF696" t="n">
        <v>20</v>
      </c>
      <c r="FG696" t="n">
        <v>75</v>
      </c>
      <c r="FH696" t="n">
        <v>1575</v>
      </c>
      <c r="FI696" t="n">
        <v>-1425</v>
      </c>
      <c r="FJ696" t="n">
        <v>77.13237009253712</v>
      </c>
      <c r="FK696" t="n">
        <v>78.47405268392819</v>
      </c>
      <c r="FL696" t="n">
        <v>77.77719194363455</v>
      </c>
      <c r="FM696" t="n">
        <v>77.43922940184706</v>
      </c>
      <c r="HH696" t="n">
        <v>77.706</v>
      </c>
      <c r="HS696" t="n">
        <v>3.61</v>
      </c>
      <c r="ID696" t="n">
        <v>0.64</v>
      </c>
      <c r="IF696" t="n">
        <v>20</v>
      </c>
      <c r="IG696" t="n">
        <v>251</v>
      </c>
      <c r="IH696" t="n">
        <v>5271</v>
      </c>
      <c r="II696" t="n">
        <v>-4769</v>
      </c>
      <c r="IJ696" t="n">
        <v>211.2840118761027</v>
      </c>
      <c r="IK696" t="n">
        <v>209.7868571908457</v>
      </c>
      <c r="IL696" t="n">
        <v>212.0967274392489</v>
      </c>
      <c r="IM696" t="n">
        <v>210.3000986699183</v>
      </c>
      <c r="KH696" t="n">
        <v>210.867</v>
      </c>
      <c r="KS696" t="n">
        <v>-15.99</v>
      </c>
      <c r="LD696" t="n">
        <v>0.42</v>
      </c>
    </row>
    <row r="697">
      <c r="A697" t="inlineStr">
        <is>
          <t>2026-04-07</t>
        </is>
      </c>
      <c r="B697" t="inlineStr">
        <is>
          <t>Avian &amp; Reptile 26</t>
        </is>
      </c>
      <c r="C697" t="inlineStr">
        <is>
          <t>00206306426040701</t>
        </is>
      </c>
      <c r="D697" t="inlineStr">
        <is>
          <t>BA</t>
        </is>
      </c>
      <c r="J697" t="n">
        <v>1.633364890142855</v>
      </c>
      <c r="K697" t="n">
        <v>1.279739002367514</v>
      </c>
      <c r="L697" t="n">
        <v>1.821902874970561</v>
      </c>
      <c r="M697" t="n">
        <v>1.497678754035115</v>
      </c>
      <c r="BH697" t="n">
        <v>1.558</v>
      </c>
      <c r="CD697" t="n">
        <v>12.69</v>
      </c>
      <c r="CJ697" t="n">
        <v>1.007051789460694</v>
      </c>
      <c r="CK697" t="n">
        <v>0.74132991708949</v>
      </c>
      <c r="CL697" t="n">
        <v>1.635850934103115</v>
      </c>
      <c r="CM697" t="n">
        <v>1.069696685805666</v>
      </c>
      <c r="EH697" t="n">
        <v>1.113</v>
      </c>
      <c r="FD697" t="n">
        <v>29.26</v>
      </c>
      <c r="FJ697" t="n">
        <v>10.74274983326918</v>
      </c>
      <c r="FK697" t="n">
        <v>10.43329836867694</v>
      </c>
      <c r="FL697" t="n">
        <v>10.54240876811275</v>
      </c>
      <c r="FM697" t="n">
        <v>10.87258566911397</v>
      </c>
      <c r="HH697" t="n">
        <v>10.648</v>
      </c>
      <c r="ID697" t="n">
        <v>1.6</v>
      </c>
      <c r="IJ697" t="n">
        <v>9.506412407879061</v>
      </c>
      <c r="IK697" t="n">
        <v>9.114728608409024</v>
      </c>
      <c r="IL697" t="n">
        <v>9.126062062722163</v>
      </c>
      <c r="IM697" t="n">
        <v>9.20550595315558</v>
      </c>
      <c r="KH697" t="n">
        <v>9.238</v>
      </c>
      <c r="LD697" t="n">
        <v>1.72</v>
      </c>
    </row>
    <row r="698">
      <c r="A698" t="inlineStr">
        <is>
          <t>2026-04-07</t>
        </is>
      </c>
      <c r="B698" t="inlineStr">
        <is>
          <t>Avian &amp; Reptile 26</t>
        </is>
      </c>
      <c r="C698" t="inlineStr">
        <is>
          <t>00206306426040701</t>
        </is>
      </c>
      <c r="D698" t="inlineStr">
        <is>
          <t>BUN</t>
        </is>
      </c>
      <c r="F698" t="n">
        <v>9</v>
      </c>
      <c r="G698" t="n">
        <v>14.8</v>
      </c>
      <c r="H698" t="n">
        <v>148</v>
      </c>
      <c r="I698" t="n">
        <v>-118.4</v>
      </c>
      <c r="J698" t="n">
        <v>14.76477147497076</v>
      </c>
      <c r="K698" t="n">
        <v>14.91015397592757</v>
      </c>
      <c r="L698" t="n">
        <v>14.86182842010175</v>
      </c>
      <c r="M698" t="n">
        <v>14.96560872634154</v>
      </c>
      <c r="BH698" t="n">
        <v>14.876</v>
      </c>
      <c r="BS698" t="n">
        <v>0.51</v>
      </c>
      <c r="CD698" t="n">
        <v>0.5</v>
      </c>
      <c r="CF698" t="n">
        <v>9</v>
      </c>
      <c r="CG698" t="n">
        <v>44.7</v>
      </c>
      <c r="CH698" t="n">
        <v>447</v>
      </c>
      <c r="CI698" t="n">
        <v>-357.6</v>
      </c>
      <c r="CJ698" t="n">
        <v>45.27348022941332</v>
      </c>
      <c r="CK698" t="n">
        <v>45.78530721170358</v>
      </c>
      <c r="CL698" t="n">
        <v>47.12098796482223</v>
      </c>
      <c r="CM698" t="n">
        <v>46.16028612094288</v>
      </c>
      <c r="EH698" t="n">
        <v>46.085</v>
      </c>
      <c r="ES698" t="n">
        <v>3.1</v>
      </c>
      <c r="FD698" t="n">
        <v>1.47</v>
      </c>
      <c r="FF698" t="n">
        <v>9</v>
      </c>
      <c r="FG698" t="n">
        <v>14.7</v>
      </c>
      <c r="FH698" t="n">
        <v>147</v>
      </c>
      <c r="FI698" t="n">
        <v>-117.6</v>
      </c>
      <c r="FJ698" t="n">
        <v>14.87786453728054</v>
      </c>
      <c r="FK698" t="n">
        <v>15.39198987255571</v>
      </c>
      <c r="FL698" t="n">
        <v>15.26875242338464</v>
      </c>
      <c r="FM698" t="n">
        <v>15.18399005649256</v>
      </c>
      <c r="HH698" t="n">
        <v>15.181</v>
      </c>
      <c r="HS698" t="n">
        <v>3.27</v>
      </c>
      <c r="ID698" t="n">
        <v>1.25</v>
      </c>
      <c r="IF698" t="n">
        <v>9</v>
      </c>
      <c r="IG698" t="n">
        <v>65.7</v>
      </c>
      <c r="IH698" t="n">
        <v>657</v>
      </c>
      <c r="II698" t="n">
        <v>-525.6</v>
      </c>
      <c r="IJ698" t="n">
        <v>67.16832552357423</v>
      </c>
      <c r="IK698" t="n">
        <v>66.45550762468895</v>
      </c>
      <c r="IL698" t="n">
        <v>67.1568218176797</v>
      </c>
      <c r="IM698" t="n">
        <v>67.0738081697009</v>
      </c>
      <c r="KH698" t="n">
        <v>66.964</v>
      </c>
      <c r="KS698" t="n">
        <v>1.92</v>
      </c>
      <c r="LD698" t="n">
        <v>0.44</v>
      </c>
    </row>
    <row r="699">
      <c r="A699" t="inlineStr">
        <is>
          <t>2026-04-07</t>
        </is>
      </c>
      <c r="B699" t="inlineStr">
        <is>
          <t>Avian &amp; Reptile 26</t>
        </is>
      </c>
      <c r="C699" t="inlineStr">
        <is>
          <t>00206306426040701</t>
        </is>
      </c>
      <c r="D699" t="inlineStr">
        <is>
          <t>CHOL</t>
        </is>
      </c>
      <c r="F699" t="n">
        <v>10</v>
      </c>
      <c r="G699" t="n">
        <v>228</v>
      </c>
      <c r="H699" t="n">
        <v>2508</v>
      </c>
      <c r="I699" t="n">
        <v>-2052</v>
      </c>
      <c r="J699" t="n">
        <v>223.6196811128254</v>
      </c>
      <c r="K699" t="n">
        <v>230.6942606607607</v>
      </c>
      <c r="L699" t="n">
        <v>229.0641976055832</v>
      </c>
      <c r="M699" t="n">
        <v>226.0611707516401</v>
      </c>
      <c r="BH699" t="n">
        <v>227.36</v>
      </c>
      <c r="BS699" t="n">
        <v>-0.28</v>
      </c>
      <c r="CD699" t="n">
        <v>1.2</v>
      </c>
      <c r="CF699" t="n">
        <v>10</v>
      </c>
      <c r="CG699" t="n">
        <v>99</v>
      </c>
      <c r="CH699" t="n">
        <v>1089</v>
      </c>
      <c r="CI699" t="n">
        <v>-891</v>
      </c>
      <c r="CJ699" t="n">
        <v>98.71499786019864</v>
      </c>
      <c r="CK699" t="n">
        <v>98.96904673552193</v>
      </c>
      <c r="CL699" t="n">
        <v>98.91261319735298</v>
      </c>
      <c r="CM699" t="n">
        <v>99.34379545743074</v>
      </c>
      <c r="EH699" t="n">
        <v>98.985</v>
      </c>
      <c r="ES699" t="n">
        <v>-0.02</v>
      </c>
      <c r="FD699" t="n">
        <v>0.23</v>
      </c>
      <c r="FF699" t="n">
        <v>10</v>
      </c>
      <c r="FG699" t="n">
        <v>115</v>
      </c>
      <c r="FH699" t="n">
        <v>1265</v>
      </c>
      <c r="FI699" t="n">
        <v>-1035</v>
      </c>
      <c r="FJ699" t="n">
        <v>109.9696885572581</v>
      </c>
      <c r="FK699" t="n">
        <v>113.809562732132</v>
      </c>
      <c r="FL699" t="n">
        <v>112.3690366936548</v>
      </c>
      <c r="FM699" t="n">
        <v>113.6182805033509</v>
      </c>
      <c r="HH699" t="n">
        <v>112.442</v>
      </c>
      <c r="HS699" t="n">
        <v>-2.22</v>
      </c>
      <c r="ID699" t="n">
        <v>1.36</v>
      </c>
      <c r="IF699" t="n">
        <v>10</v>
      </c>
      <c r="IG699" t="n">
        <v>269</v>
      </c>
      <c r="IH699" t="n">
        <v>2959</v>
      </c>
      <c r="II699" t="n">
        <v>-2421</v>
      </c>
      <c r="IJ699" t="n">
        <v>258.8112222016908</v>
      </c>
      <c r="IK699" t="n">
        <v>258.3336324125505</v>
      </c>
      <c r="IL699" t="n">
        <v>259.4768053230342</v>
      </c>
      <c r="IM699" t="n">
        <v>261.368648690597</v>
      </c>
      <c r="KH699" t="n">
        <v>259.498</v>
      </c>
      <c r="KS699" t="n">
        <v>-3.53</v>
      </c>
      <c r="LD699" t="n">
        <v>0.44</v>
      </c>
    </row>
    <row r="700">
      <c r="A700" t="inlineStr">
        <is>
          <t>2026-04-07</t>
        </is>
      </c>
      <c r="B700" t="inlineStr">
        <is>
          <t>Avian &amp; Reptile 26</t>
        </is>
      </c>
      <c r="C700" t="inlineStr">
        <is>
          <t>00206306426040701</t>
        </is>
      </c>
      <c r="D700" t="inlineStr">
        <is>
          <t>GGT</t>
        </is>
      </c>
      <c r="F700" t="n">
        <v>15</v>
      </c>
      <c r="G700" t="n">
        <v>57</v>
      </c>
      <c r="H700" t="n">
        <v>912</v>
      </c>
      <c r="I700" t="n">
        <v>-798</v>
      </c>
      <c r="J700" t="n">
        <v>56.67898572640879</v>
      </c>
      <c r="K700" t="n">
        <v>59.22949450298626</v>
      </c>
      <c r="L700" t="n">
        <v>58.65107785341846</v>
      </c>
      <c r="M700" t="n">
        <v>56.00015693217041</v>
      </c>
      <c r="BH700" t="n">
        <v>57.64</v>
      </c>
      <c r="BS700" t="n">
        <v>1.12</v>
      </c>
      <c r="CD700" t="n">
        <v>2.32</v>
      </c>
      <c r="CF700" t="n">
        <v>15</v>
      </c>
      <c r="CG700" t="n">
        <v>164</v>
      </c>
      <c r="CH700" t="n">
        <v>2624</v>
      </c>
      <c r="CI700" t="n">
        <v>-2296</v>
      </c>
      <c r="CJ700" t="n">
        <v>171.1597299146592</v>
      </c>
      <c r="CK700" t="n">
        <v>166.8187681503715</v>
      </c>
      <c r="CL700" t="n">
        <v>169.0981194330818</v>
      </c>
      <c r="CM700" t="n">
        <v>169.9310395122533</v>
      </c>
      <c r="EH700" t="n">
        <v>169.252</v>
      </c>
      <c r="ES700" t="n">
        <v>3.2</v>
      </c>
      <c r="FD700" t="n">
        <v>0.9399999999999999</v>
      </c>
      <c r="FF700" t="n">
        <v>15</v>
      </c>
      <c r="FG700" t="n">
        <v>23</v>
      </c>
      <c r="FH700" t="n">
        <v>368</v>
      </c>
      <c r="FI700" t="n">
        <v>-322</v>
      </c>
      <c r="FJ700" t="n">
        <v>22.50219459207758</v>
      </c>
      <c r="FK700" t="n">
        <v>23.14538192957539</v>
      </c>
      <c r="FL700" t="n">
        <v>23.13501868198782</v>
      </c>
      <c r="FM700" t="n">
        <v>22.14866766100372</v>
      </c>
      <c r="HH700" t="n">
        <v>22.733</v>
      </c>
      <c r="HS700" t="n">
        <v>-1.16</v>
      </c>
      <c r="ID700" t="n">
        <v>1.87</v>
      </c>
      <c r="IF700" t="n">
        <v>15</v>
      </c>
      <c r="IG700" t="n">
        <v>126</v>
      </c>
      <c r="IH700" t="n">
        <v>2016</v>
      </c>
      <c r="II700" t="n">
        <v>-1764</v>
      </c>
      <c r="IJ700" t="n">
        <v>127.1332191939284</v>
      </c>
      <c r="IK700" t="n">
        <v>123.9216404400042</v>
      </c>
      <c r="IL700" t="n">
        <v>129.139354533331</v>
      </c>
      <c r="IM700" t="n">
        <v>130.9238523983817</v>
      </c>
      <c r="KH700" t="n">
        <v>127.78</v>
      </c>
      <c r="KS700" t="n">
        <v>1.41</v>
      </c>
      <c r="LD700" t="n">
        <v>2.03</v>
      </c>
    </row>
    <row r="701">
      <c r="A701" t="inlineStr">
        <is>
          <t>2026-04-07</t>
        </is>
      </c>
      <c r="B701" t="inlineStr">
        <is>
          <t>Avian &amp; Reptile 26</t>
        </is>
      </c>
      <c r="C701" t="inlineStr">
        <is>
          <t>00206306426040701</t>
        </is>
      </c>
      <c r="D701" t="inlineStr">
        <is>
          <t>K</t>
        </is>
      </c>
      <c r="G701" t="n">
        <v>3.9</v>
      </c>
      <c r="J701" t="n">
        <v>3.570562838583339</v>
      </c>
      <c r="K701" t="n">
        <v>3.712990170783963</v>
      </c>
      <c r="L701" t="n">
        <v>3.522050876592095</v>
      </c>
      <c r="M701" t="n">
        <v>3.713415643266291</v>
      </c>
      <c r="BH701" t="n">
        <v>3.63</v>
      </c>
      <c r="BS701" t="n">
        <v>-6.93</v>
      </c>
      <c r="CD701" t="n">
        <v>2.35</v>
      </c>
      <c r="CG701" t="n">
        <v>6</v>
      </c>
      <c r="CJ701" t="n">
        <v>5.968622515447944</v>
      </c>
      <c r="CK701" t="n">
        <v>6.004479533169391</v>
      </c>
      <c r="CL701" t="n">
        <v>6.021371229425428</v>
      </c>
      <c r="CM701" t="n">
        <v>6.115811564792093</v>
      </c>
      <c r="EH701" t="n">
        <v>6.028</v>
      </c>
      <c r="ES701" t="n">
        <v>0.46</v>
      </c>
      <c r="FD701" t="n">
        <v>0.9</v>
      </c>
      <c r="FG701" t="n">
        <v>2.2</v>
      </c>
      <c r="FJ701" t="n">
        <v>2.193741693237295</v>
      </c>
      <c r="FK701" t="n">
        <v>2.30835197041801</v>
      </c>
      <c r="FL701" t="n">
        <v>2.209934337549521</v>
      </c>
      <c r="FM701" t="n">
        <v>2.120641456210388</v>
      </c>
      <c r="HH701" t="n">
        <v>2.208</v>
      </c>
      <c r="HS701" t="n">
        <v>0.37</v>
      </c>
      <c r="ID701" t="n">
        <v>3.03</v>
      </c>
      <c r="IG701" t="n">
        <v>8.4</v>
      </c>
      <c r="IJ701" t="n">
        <v>7.862756670655582</v>
      </c>
      <c r="IK701" t="n">
        <v>7.943497339780285</v>
      </c>
      <c r="IL701" t="n">
        <v>8.253763901420916</v>
      </c>
      <c r="IM701" t="n">
        <v>8.039628242574176</v>
      </c>
      <c r="KH701" t="n">
        <v>8.025</v>
      </c>
      <c r="KS701" t="n">
        <v>-4.47</v>
      </c>
      <c r="LD701" t="n">
        <v>1.82</v>
      </c>
    </row>
    <row r="702">
      <c r="A702" t="inlineStr">
        <is>
          <t>2026-04-07</t>
        </is>
      </c>
      <c r="B702" t="inlineStr">
        <is>
          <t>Avian &amp; Reptile 26</t>
        </is>
      </c>
      <c r="C702" t="inlineStr">
        <is>
          <t>00206306426040701</t>
        </is>
      </c>
      <c r="D702" t="inlineStr">
        <is>
          <t>LDH</t>
        </is>
      </c>
      <c r="F702" t="n">
        <v>15</v>
      </c>
      <c r="J702" t="n">
        <v>318.0644186805774</v>
      </c>
      <c r="K702" t="n">
        <v>316.5936352699333</v>
      </c>
      <c r="L702" t="n">
        <v>312.2933866044361</v>
      </c>
      <c r="M702" t="n">
        <v>306.3994749120488</v>
      </c>
      <c r="BH702" t="n">
        <v>313.338</v>
      </c>
      <c r="CD702" t="n">
        <v>1.45</v>
      </c>
      <c r="CF702" t="n">
        <v>15</v>
      </c>
      <c r="CJ702" t="n">
        <v>659.7975485306264</v>
      </c>
      <c r="CK702" t="n">
        <v>662.5932812172184</v>
      </c>
      <c r="CL702" t="n">
        <v>644.3709256551763</v>
      </c>
      <c r="CM702" t="n">
        <v>654.402041624758</v>
      </c>
      <c r="EH702" t="n">
        <v>655.2910000000001</v>
      </c>
      <c r="FD702" t="n">
        <v>1.06</v>
      </c>
      <c r="FF702" t="n">
        <v>15</v>
      </c>
      <c r="FJ702" t="n">
        <v>200.0286957221561</v>
      </c>
      <c r="FK702" t="n">
        <v>211.6752314148108</v>
      </c>
      <c r="FL702" t="n">
        <v>195.438541977839</v>
      </c>
      <c r="FM702" t="n">
        <v>200.3404957339575</v>
      </c>
      <c r="HH702" t="n">
        <v>201.871</v>
      </c>
      <c r="ID702" t="n">
        <v>2.96</v>
      </c>
      <c r="IF702" t="n">
        <v>15</v>
      </c>
      <c r="IJ702" t="n">
        <v>788.507701701627</v>
      </c>
      <c r="IK702" t="n">
        <v>781.9524576997874</v>
      </c>
      <c r="IL702" t="n">
        <v>776.5233547365475</v>
      </c>
      <c r="IM702" t="n">
        <v>793.0327704573413</v>
      </c>
      <c r="KH702" t="n">
        <v>785.004</v>
      </c>
      <c r="LD702" t="n">
        <v>0.8</v>
      </c>
    </row>
    <row r="703">
      <c r="A703" t="inlineStr">
        <is>
          <t>2026-04-07</t>
        </is>
      </c>
      <c r="B703" t="inlineStr">
        <is>
          <t>Avian &amp; Reptile 26</t>
        </is>
      </c>
      <c r="C703" t="inlineStr">
        <is>
          <t>00206306426040701</t>
        </is>
      </c>
      <c r="D703" t="inlineStr">
        <is>
          <t>Na</t>
        </is>
      </c>
      <c r="G703" t="n">
        <v>141</v>
      </c>
      <c r="J703" t="n">
        <v>143.6591170010931</v>
      </c>
      <c r="K703" t="n">
        <v>143.4847897775639</v>
      </c>
      <c r="L703" t="n">
        <v>143.4622342897922</v>
      </c>
      <c r="M703" t="n">
        <v>139.8558507967696</v>
      </c>
      <c r="BH703" t="n">
        <v>142.615</v>
      </c>
      <c r="BS703" t="n">
        <v>1.15</v>
      </c>
      <c r="CD703" t="n">
        <v>1.12</v>
      </c>
      <c r="CG703" t="n">
        <v>129</v>
      </c>
      <c r="CJ703" t="n">
        <v>132.5964043091582</v>
      </c>
      <c r="CK703" t="n">
        <v>132.4646357203807</v>
      </c>
      <c r="CL703" t="n">
        <v>132.5247904536582</v>
      </c>
      <c r="CM703" t="n">
        <v>131.7993191674784</v>
      </c>
      <c r="EH703" t="n">
        <v>132.346</v>
      </c>
      <c r="ES703" t="n">
        <v>2.59</v>
      </c>
      <c r="FD703" t="n">
        <v>0.24</v>
      </c>
      <c r="FG703" t="n">
        <v>118</v>
      </c>
      <c r="FJ703" t="n">
        <v>120.4969568109571</v>
      </c>
      <c r="FK703" t="n">
        <v>123.4479944648211</v>
      </c>
      <c r="FL703" t="n">
        <v>122.2214966160219</v>
      </c>
      <c r="FM703" t="n">
        <v>121.5302478587872</v>
      </c>
      <c r="HH703" t="n">
        <v>121.924</v>
      </c>
      <c r="HS703" t="n">
        <v>3.33</v>
      </c>
      <c r="ID703" t="n">
        <v>0.88</v>
      </c>
      <c r="IG703" t="n">
        <v>166</v>
      </c>
      <c r="IJ703" t="n">
        <v>161.329014357596</v>
      </c>
      <c r="IK703" t="n">
        <v>154.9780460761062</v>
      </c>
      <c r="IL703" t="n">
        <v>157.0659830444528</v>
      </c>
      <c r="IM703" t="n">
        <v>157.319843529497</v>
      </c>
      <c r="KH703" t="n">
        <v>157.673</v>
      </c>
      <c r="KS703" t="n">
        <v>-5.02</v>
      </c>
      <c r="LD703" t="n">
        <v>1.46</v>
      </c>
    </row>
    <row r="704">
      <c r="A704" t="inlineStr">
        <is>
          <t>2026-04-07</t>
        </is>
      </c>
      <c r="B704" t="inlineStr">
        <is>
          <t>Liver 11</t>
        </is>
      </c>
      <c r="C704" t="inlineStr">
        <is>
          <t>00200000226040701</t>
        </is>
      </c>
      <c r="D704" t="inlineStr">
        <is>
          <t>ALB</t>
        </is>
      </c>
      <c r="F704" t="n">
        <v>8</v>
      </c>
      <c r="G704" t="n">
        <v>4.2</v>
      </c>
      <c r="H704" t="n">
        <v>37.8</v>
      </c>
      <c r="I704" t="n">
        <v>-29.4</v>
      </c>
      <c r="J704" t="n">
        <v>4.042142792644026</v>
      </c>
      <c r="K704" t="n">
        <v>4.147296759778019</v>
      </c>
      <c r="L704" t="n">
        <v>4.071290373205427</v>
      </c>
      <c r="BH704" t="n">
        <v>4.087</v>
      </c>
      <c r="BS704" t="n">
        <v>-2.69</v>
      </c>
      <c r="CD704" t="n">
        <v>1.08</v>
      </c>
      <c r="CF704" t="n">
        <v>8</v>
      </c>
      <c r="CG704" t="n">
        <v>2.7</v>
      </c>
      <c r="CH704" t="n">
        <v>24.3</v>
      </c>
      <c r="CI704" t="n">
        <v>-18.9</v>
      </c>
      <c r="CJ704" t="n">
        <v>2.758653629625239</v>
      </c>
      <c r="CK704" t="n">
        <v>2.736909227048879</v>
      </c>
      <c r="CL704" t="n">
        <v>2.720945723929589</v>
      </c>
      <c r="EH704" t="n">
        <v>2.739</v>
      </c>
      <c r="ES704" t="n">
        <v>1.44</v>
      </c>
      <c r="FD704" t="n">
        <v>0.5600000000000001</v>
      </c>
      <c r="FF704" t="n">
        <v>8</v>
      </c>
      <c r="FG704" t="n">
        <v>2.6</v>
      </c>
      <c r="FH704" t="n">
        <v>23.4</v>
      </c>
      <c r="FI704" t="n">
        <v>-18.2</v>
      </c>
      <c r="IF704" t="n">
        <v>8</v>
      </c>
      <c r="IG704" t="n">
        <v>4.2</v>
      </c>
      <c r="IH704" t="n">
        <v>37.8</v>
      </c>
      <c r="II704" t="n">
        <v>-29.4</v>
      </c>
      <c r="IJ704" t="n">
        <v>4.282556658044751</v>
      </c>
      <c r="KH704" t="n">
        <v>4.283</v>
      </c>
      <c r="KS704" t="n">
        <v>1.97</v>
      </c>
    </row>
    <row r="705">
      <c r="A705" t="inlineStr">
        <is>
          <t>2026-04-07</t>
        </is>
      </c>
      <c r="B705" t="inlineStr">
        <is>
          <t>Liver 11</t>
        </is>
      </c>
      <c r="C705" t="inlineStr">
        <is>
          <t>00200000226040701</t>
        </is>
      </c>
      <c r="D705" t="inlineStr">
        <is>
          <t>ALP</t>
        </is>
      </c>
      <c r="F705" t="n">
        <v>20</v>
      </c>
      <c r="G705" t="n">
        <v>136</v>
      </c>
      <c r="H705" t="n">
        <v>2856</v>
      </c>
      <c r="I705" t="n">
        <v>-2584</v>
      </c>
      <c r="J705" t="n">
        <v>142.6225443608398</v>
      </c>
      <c r="K705" t="n">
        <v>143.1464150247726</v>
      </c>
      <c r="L705" t="n">
        <v>142.8512788796735</v>
      </c>
      <c r="BH705" t="n">
        <v>142.873</v>
      </c>
      <c r="BS705" t="n">
        <v>5.05</v>
      </c>
      <c r="CD705" t="n">
        <v>0.15</v>
      </c>
      <c r="CF705" t="n">
        <v>20</v>
      </c>
      <c r="CG705" t="n">
        <v>456</v>
      </c>
      <c r="CH705" t="n">
        <v>9576</v>
      </c>
      <c r="CI705" t="n">
        <v>-8664</v>
      </c>
      <c r="CJ705" t="n">
        <v>465.5084857033473</v>
      </c>
      <c r="CK705" t="n">
        <v>456.1932771842375</v>
      </c>
      <c r="CL705" t="n">
        <v>467.6423278938624</v>
      </c>
      <c r="EH705" t="n">
        <v>463.115</v>
      </c>
      <c r="ES705" t="n">
        <v>1.56</v>
      </c>
      <c r="FD705" t="n">
        <v>1.07</v>
      </c>
      <c r="FF705" t="n">
        <v>20</v>
      </c>
      <c r="FG705" t="n">
        <v>75</v>
      </c>
      <c r="FH705" t="n">
        <v>1575</v>
      </c>
      <c r="FI705" t="n">
        <v>-1425</v>
      </c>
      <c r="IF705" t="n">
        <v>20</v>
      </c>
      <c r="IG705" t="n">
        <v>251</v>
      </c>
      <c r="IH705" t="n">
        <v>5271</v>
      </c>
      <c r="II705" t="n">
        <v>-4769</v>
      </c>
      <c r="IJ705" t="n">
        <v>229.6237533725221</v>
      </c>
      <c r="KH705" t="n">
        <v>229.624</v>
      </c>
      <c r="KS705" t="n">
        <v>-8.52</v>
      </c>
    </row>
    <row r="706">
      <c r="A706" t="inlineStr">
        <is>
          <t>2026-04-07</t>
        </is>
      </c>
      <c r="B706" t="inlineStr">
        <is>
          <t>Liver 11</t>
        </is>
      </c>
      <c r="C706" t="inlineStr">
        <is>
          <t>00200000226040701</t>
        </is>
      </c>
      <c r="D706" t="inlineStr">
        <is>
          <t>ALT</t>
        </is>
      </c>
      <c r="F706" t="n">
        <v>15</v>
      </c>
      <c r="G706" t="n">
        <v>28</v>
      </c>
      <c r="H706" t="n">
        <v>448</v>
      </c>
      <c r="I706" t="n">
        <v>-392</v>
      </c>
      <c r="J706" t="n">
        <v>22.32329245816005</v>
      </c>
      <c r="K706" t="n">
        <v>24.55882725588937</v>
      </c>
      <c r="L706" t="n">
        <v>33.56019952226111</v>
      </c>
      <c r="BH706" t="n">
        <v>26.814</v>
      </c>
      <c r="BS706" t="n">
        <v>-4.24</v>
      </c>
      <c r="CD706" t="n">
        <v>18.11</v>
      </c>
      <c r="CF706" t="n">
        <v>15</v>
      </c>
      <c r="CG706" t="n">
        <v>115</v>
      </c>
      <c r="CH706" t="n">
        <v>1840</v>
      </c>
      <c r="CI706" t="n">
        <v>-1610</v>
      </c>
      <c r="CJ706" t="n">
        <v>137.4248857074576</v>
      </c>
      <c r="CK706" t="n">
        <v>129.6146783435731</v>
      </c>
      <c r="CL706" t="n">
        <v>137.5761898246147</v>
      </c>
      <c r="EH706" t="n">
        <v>134.872</v>
      </c>
      <c r="ES706" t="n">
        <v>17.28</v>
      </c>
      <c r="FD706" t="n">
        <v>2.76</v>
      </c>
      <c r="FF706" t="n">
        <v>15</v>
      </c>
      <c r="FG706" t="n">
        <v>26</v>
      </c>
      <c r="FH706" t="n">
        <v>416</v>
      </c>
      <c r="FI706" t="n">
        <v>-364</v>
      </c>
      <c r="IF706" t="n">
        <v>15</v>
      </c>
      <c r="IG706" t="n">
        <v>217</v>
      </c>
      <c r="IH706" t="n">
        <v>3472</v>
      </c>
      <c r="II706" t="n">
        <v>-3038</v>
      </c>
      <c r="IJ706" t="n">
        <v>225.7745357832674</v>
      </c>
      <c r="KH706" t="n">
        <v>225.775</v>
      </c>
      <c r="KS706" t="n">
        <v>4.04</v>
      </c>
    </row>
    <row r="707">
      <c r="A707" t="inlineStr">
        <is>
          <t>2026-04-07</t>
        </is>
      </c>
      <c r="B707" t="inlineStr">
        <is>
          <t>Liver 11</t>
        </is>
      </c>
      <c r="C707" t="inlineStr">
        <is>
          <t>00200000226040701</t>
        </is>
      </c>
      <c r="D707" t="inlineStr">
        <is>
          <t>AST</t>
        </is>
      </c>
      <c r="F707" t="n">
        <v>15</v>
      </c>
      <c r="G707" t="n">
        <v>44</v>
      </c>
      <c r="H707" t="n">
        <v>704</v>
      </c>
      <c r="I707" t="n">
        <v>-616</v>
      </c>
      <c r="J707" t="n">
        <v>41.47988539744409</v>
      </c>
      <c r="K707" t="n">
        <v>43.18755376430361</v>
      </c>
      <c r="L707" t="n">
        <v>42.56129926305395</v>
      </c>
      <c r="BH707" t="n">
        <v>42.41</v>
      </c>
      <c r="BS707" t="n">
        <v>-3.61</v>
      </c>
      <c r="CD707" t="n">
        <v>1.66</v>
      </c>
      <c r="CF707" t="n">
        <v>15</v>
      </c>
      <c r="CG707" t="n">
        <v>221</v>
      </c>
      <c r="CH707" t="n">
        <v>3536</v>
      </c>
      <c r="CI707" t="n">
        <v>-3094</v>
      </c>
      <c r="CJ707" t="n">
        <v>228.4220722486957</v>
      </c>
      <c r="CK707" t="n">
        <v>228.9847461688642</v>
      </c>
      <c r="CL707" t="n">
        <v>233.9968714217166</v>
      </c>
      <c r="EH707" t="n">
        <v>230.468</v>
      </c>
      <c r="ES707" t="n">
        <v>4.28</v>
      </c>
      <c r="FD707" t="n">
        <v>1.09</v>
      </c>
      <c r="FF707" t="n">
        <v>15</v>
      </c>
      <c r="FG707" t="n">
        <v>45</v>
      </c>
      <c r="FH707" t="n">
        <v>720</v>
      </c>
      <c r="FI707" t="n">
        <v>-630</v>
      </c>
      <c r="IF707" t="n">
        <v>15</v>
      </c>
      <c r="IG707" t="n">
        <v>282</v>
      </c>
      <c r="IH707" t="n">
        <v>4512</v>
      </c>
      <c r="II707" t="n">
        <v>-3948</v>
      </c>
      <c r="IJ707" t="n">
        <v>281.5959760454939</v>
      </c>
      <c r="KH707" t="n">
        <v>281.596</v>
      </c>
      <c r="KS707" t="n">
        <v>-0.14</v>
      </c>
    </row>
    <row r="708">
      <c r="A708" t="inlineStr">
        <is>
          <t>2026-04-07</t>
        </is>
      </c>
      <c r="B708" t="inlineStr">
        <is>
          <t>Liver 11</t>
        </is>
      </c>
      <c r="C708" t="inlineStr">
        <is>
          <t>00200000226040701</t>
        </is>
      </c>
      <c r="D708" t="inlineStr">
        <is>
          <t>BA</t>
        </is>
      </c>
      <c r="J708" t="n">
        <v>2.55141384294119</v>
      </c>
      <c r="K708" t="n">
        <v>3.391673064182133</v>
      </c>
      <c r="L708" t="n">
        <v>3.139144095390664</v>
      </c>
      <c r="BH708" t="n">
        <v>3.027</v>
      </c>
      <c r="CD708" t="n">
        <v>11.63</v>
      </c>
      <c r="CJ708" t="n">
        <v>2.719162673542834</v>
      </c>
      <c r="CK708" t="n">
        <v>3.424115060743892</v>
      </c>
      <c r="CL708" t="n">
        <v>2.882799090756597</v>
      </c>
      <c r="EH708" t="n">
        <v>3.009</v>
      </c>
      <c r="FD708" t="n">
        <v>10.01</v>
      </c>
      <c r="IJ708" t="n">
        <v>12.05361414578651</v>
      </c>
      <c r="KH708" t="n">
        <v>12.054</v>
      </c>
    </row>
    <row r="709">
      <c r="A709" t="inlineStr">
        <is>
          <t>2026-04-07</t>
        </is>
      </c>
      <c r="B709" t="inlineStr">
        <is>
          <t>Liver 11</t>
        </is>
      </c>
      <c r="C709" t="inlineStr">
        <is>
          <t>00200000226040701</t>
        </is>
      </c>
      <c r="D709" t="inlineStr">
        <is>
          <t>GGT</t>
        </is>
      </c>
      <c r="F709" t="n">
        <v>15</v>
      </c>
      <c r="G709" t="n">
        <v>57</v>
      </c>
      <c r="H709" t="n">
        <v>912</v>
      </c>
      <c r="I709" t="n">
        <v>-798</v>
      </c>
      <c r="J709" t="n">
        <v>57.90905572276451</v>
      </c>
      <c r="K709" t="n">
        <v>58.09629042051843</v>
      </c>
      <c r="L709" t="n">
        <v>57.30729464947028</v>
      </c>
      <c r="BH709" t="n">
        <v>57.771</v>
      </c>
      <c r="BS709" t="n">
        <v>1.35</v>
      </c>
      <c r="CD709" t="n">
        <v>0.58</v>
      </c>
      <c r="CF709" t="n">
        <v>15</v>
      </c>
      <c r="CG709" t="n">
        <v>164</v>
      </c>
      <c r="CH709" t="n">
        <v>2624</v>
      </c>
      <c r="CI709" t="n">
        <v>-2296</v>
      </c>
      <c r="CJ709" t="n">
        <v>177.2954852899707</v>
      </c>
      <c r="CK709" t="n">
        <v>174.9307229905827</v>
      </c>
      <c r="CL709" t="n">
        <v>179.5396084431528</v>
      </c>
      <c r="EH709" t="n">
        <v>177.255</v>
      </c>
      <c r="ES709" t="n">
        <v>8.08</v>
      </c>
      <c r="FD709" t="n">
        <v>1.06</v>
      </c>
      <c r="FF709" t="n">
        <v>15</v>
      </c>
      <c r="FG709" t="n">
        <v>23</v>
      </c>
      <c r="FH709" t="n">
        <v>368</v>
      </c>
      <c r="FI709" t="n">
        <v>-322</v>
      </c>
      <c r="IF709" t="n">
        <v>15</v>
      </c>
      <c r="IG709" t="n">
        <v>126</v>
      </c>
      <c r="IH709" t="n">
        <v>2016</v>
      </c>
      <c r="II709" t="n">
        <v>-1764</v>
      </c>
      <c r="IJ709" t="n">
        <v>136.0030553226856</v>
      </c>
      <c r="KH709" t="n">
        <v>136.003</v>
      </c>
      <c r="KS709" t="n">
        <v>7.94</v>
      </c>
    </row>
    <row r="710">
      <c r="A710" t="inlineStr">
        <is>
          <t>2026-04-07</t>
        </is>
      </c>
      <c r="B710" t="inlineStr">
        <is>
          <t>Liver 11</t>
        </is>
      </c>
      <c r="C710" t="inlineStr">
        <is>
          <t>00200000226040701</t>
        </is>
      </c>
      <c r="D710" t="inlineStr">
        <is>
          <t>GLU</t>
        </is>
      </c>
      <c r="F710" t="n">
        <v>8</v>
      </c>
      <c r="G710" t="n">
        <v>90.16</v>
      </c>
      <c r="H710" t="n">
        <v>811.4399999999999</v>
      </c>
      <c r="I710" t="n">
        <v>-631.12</v>
      </c>
      <c r="J710" t="n">
        <v>89.13350003161436</v>
      </c>
      <c r="K710" t="n">
        <v>89.0752158148007</v>
      </c>
      <c r="L710" t="n">
        <v>88.27971846968498</v>
      </c>
      <c r="BH710" t="n">
        <v>88.82899999999999</v>
      </c>
      <c r="BS710" t="n">
        <v>-1.48</v>
      </c>
      <c r="CD710" t="n">
        <v>0.44</v>
      </c>
      <c r="CF710" t="n">
        <v>8</v>
      </c>
      <c r="CG710" t="n">
        <v>293.02</v>
      </c>
      <c r="CH710" t="n">
        <v>2637.18</v>
      </c>
      <c r="CI710" t="n">
        <v>-2051.14</v>
      </c>
      <c r="CJ710" t="n">
        <v>304.9778248315371</v>
      </c>
      <c r="CK710" t="n">
        <v>302.4343202389596</v>
      </c>
      <c r="CL710" t="n">
        <v>303.566504113374</v>
      </c>
      <c r="EH710" t="n">
        <v>303.66</v>
      </c>
      <c r="ES710" t="n">
        <v>3.63</v>
      </c>
      <c r="FD710" t="n">
        <v>0.34</v>
      </c>
      <c r="FF710" t="n">
        <v>8</v>
      </c>
      <c r="FG710" t="n">
        <v>65.66</v>
      </c>
      <c r="FH710" t="n">
        <v>590.9399999999999</v>
      </c>
      <c r="FI710" t="n">
        <v>-459.62</v>
      </c>
      <c r="IF710" t="n">
        <v>8</v>
      </c>
      <c r="IG710" t="n">
        <v>359.66</v>
      </c>
      <c r="IH710" t="n">
        <v>3236.94</v>
      </c>
      <c r="II710" t="n">
        <v>-2517.62</v>
      </c>
      <c r="IJ710" t="n">
        <v>362.478119980367</v>
      </c>
      <c r="KH710" t="n">
        <v>362.478</v>
      </c>
      <c r="KS710" t="n">
        <v>0.78</v>
      </c>
    </row>
    <row r="711">
      <c r="A711" t="inlineStr">
        <is>
          <t>2026-04-07</t>
        </is>
      </c>
      <c r="B711" t="inlineStr">
        <is>
          <t>Liver 11</t>
        </is>
      </c>
      <c r="C711" t="inlineStr">
        <is>
          <t>00200000226040701</t>
        </is>
      </c>
      <c r="D711" t="inlineStr">
        <is>
          <t>TBIL</t>
        </is>
      </c>
      <c r="F711" t="n">
        <v>20</v>
      </c>
      <c r="G711" t="n">
        <v>1.1</v>
      </c>
      <c r="H711" t="n">
        <v>23.1</v>
      </c>
      <c r="I711" t="n">
        <v>-20.9</v>
      </c>
      <c r="J711" t="n">
        <v>1.395345385814228</v>
      </c>
      <c r="K711" t="n">
        <v>1.348699945728875</v>
      </c>
      <c r="L711" t="n">
        <v>1.371151220127723</v>
      </c>
      <c r="BH711" t="n">
        <v>1.372</v>
      </c>
      <c r="BS711" t="n">
        <v>24.7</v>
      </c>
      <c r="CD711" t="n">
        <v>1.39</v>
      </c>
      <c r="CF711" t="n">
        <v>20</v>
      </c>
      <c r="CG711" t="n">
        <v>5.1</v>
      </c>
      <c r="CH711" t="n">
        <v>107.1</v>
      </c>
      <c r="CI711" t="n">
        <v>-96.89999999999999</v>
      </c>
      <c r="CJ711" t="n">
        <v>5.706031885949328</v>
      </c>
      <c r="CK711" t="n">
        <v>5.598122615678183</v>
      </c>
      <c r="CL711" t="n">
        <v>5.631794042202801</v>
      </c>
      <c r="EH711" t="n">
        <v>5.645</v>
      </c>
      <c r="ES711" t="n">
        <v>10.69</v>
      </c>
      <c r="FD711" t="n">
        <v>0.8</v>
      </c>
      <c r="FF711" t="n">
        <v>20</v>
      </c>
      <c r="FG711" t="n">
        <v>0.8</v>
      </c>
      <c r="FH711" t="n">
        <v>16.8</v>
      </c>
      <c r="FI711" t="n">
        <v>-15.2</v>
      </c>
      <c r="IF711" t="n">
        <v>20</v>
      </c>
      <c r="IG711" t="n">
        <v>8.4</v>
      </c>
      <c r="IH711" t="n">
        <v>176.4</v>
      </c>
      <c r="II711" t="n">
        <v>-159.6</v>
      </c>
      <c r="IJ711" t="n">
        <v>8.379939134352927</v>
      </c>
      <c r="KH711" t="n">
        <v>8.380000000000001</v>
      </c>
      <c r="KS711" t="n">
        <v>-0.24</v>
      </c>
    </row>
    <row r="712">
      <c r="A712" t="inlineStr">
        <is>
          <t>2026-04-07</t>
        </is>
      </c>
      <c r="B712" t="inlineStr">
        <is>
          <t>Avian &amp; Reptile 26</t>
        </is>
      </c>
      <c r="C712" t="inlineStr">
        <is>
          <t>00106306426040701</t>
        </is>
      </c>
      <c r="D712" t="inlineStr">
        <is>
          <t>ALB</t>
        </is>
      </c>
      <c r="F712" t="n">
        <v>8</v>
      </c>
      <c r="G712" t="n">
        <v>4.2</v>
      </c>
      <c r="H712" t="n">
        <v>37.8</v>
      </c>
      <c r="I712" t="n">
        <v>-29.4</v>
      </c>
      <c r="J712" t="n">
        <v>4.256889646588379</v>
      </c>
      <c r="K712" t="n">
        <v>4.288444506810713</v>
      </c>
      <c r="L712" t="n">
        <v>4.241823834014607</v>
      </c>
      <c r="M712" t="n">
        <v>4.194039760992228</v>
      </c>
      <c r="N712" t="n">
        <v>4.239651833452893</v>
      </c>
      <c r="O712" t="n">
        <v>4.195805360770741</v>
      </c>
      <c r="P712" t="n">
        <v>4.255392940942428</v>
      </c>
      <c r="Q712" t="n">
        <v>4.224510444819633</v>
      </c>
      <c r="BH712" t="n">
        <v>4.237</v>
      </c>
      <c r="BS712" t="n">
        <v>0.88</v>
      </c>
      <c r="CD712" t="n">
        <v>0.7</v>
      </c>
      <c r="CF712" t="n">
        <v>8</v>
      </c>
      <c r="CG712" t="n">
        <v>2.7</v>
      </c>
      <c r="CH712" t="n">
        <v>24.3</v>
      </c>
      <c r="CI712" t="n">
        <v>-18.9</v>
      </c>
      <c r="CJ712" t="n">
        <v>2.778812452586417</v>
      </c>
      <c r="CK712" t="n">
        <v>2.809014936558793</v>
      </c>
      <c r="CL712" t="n">
        <v>2.794987908157559</v>
      </c>
      <c r="CM712" t="n">
        <v>2.75674419441382</v>
      </c>
      <c r="CN712" t="n">
        <v>2.797190306014044</v>
      </c>
      <c r="CO712" t="n">
        <v>2.768276156411871</v>
      </c>
      <c r="CP712" t="n">
        <v>-0.710405336000312</v>
      </c>
      <c r="CQ712" t="n">
        <v>2.771185254984713</v>
      </c>
      <c r="EH712" t="n">
        <v>2.346</v>
      </c>
      <c r="ES712" t="n">
        <v>-13.12</v>
      </c>
      <c r="FD712" t="n">
        <v>49.25</v>
      </c>
      <c r="FF712" t="n">
        <v>8</v>
      </c>
      <c r="FG712" t="n">
        <v>2.6</v>
      </c>
      <c r="FH712" t="n">
        <v>23.4</v>
      </c>
      <c r="FI712" t="n">
        <v>-18.2</v>
      </c>
      <c r="FJ712" t="n">
        <v>2.619152066903879</v>
      </c>
      <c r="FK712" t="n">
        <v>2.71227319447778</v>
      </c>
      <c r="FL712" t="n">
        <v>2.63056982812848</v>
      </c>
      <c r="FM712" t="n">
        <v>2.641149324489581</v>
      </c>
      <c r="HH712" t="n">
        <v>2.651</v>
      </c>
      <c r="HS712" t="n">
        <v>1.95</v>
      </c>
      <c r="ID712" t="n">
        <v>1.37</v>
      </c>
      <c r="IF712" t="n">
        <v>8</v>
      </c>
      <c r="IG712" t="n">
        <v>4.2</v>
      </c>
      <c r="IH712" t="n">
        <v>37.8</v>
      </c>
      <c r="II712" t="n">
        <v>-29.4</v>
      </c>
      <c r="IJ712" t="n">
        <v>4.156541884271258</v>
      </c>
      <c r="IK712" t="n">
        <v>4.167389521435709</v>
      </c>
      <c r="IL712" t="n">
        <v>4.198831050754799</v>
      </c>
      <c r="IM712" t="n">
        <v>4.245432392032886</v>
      </c>
      <c r="KH712" t="n">
        <v>4.192</v>
      </c>
      <c r="KS712" t="n">
        <v>-0.19</v>
      </c>
      <c r="LD712" t="n">
        <v>0.82</v>
      </c>
    </row>
    <row r="713">
      <c r="A713" t="inlineStr">
        <is>
          <t>2026-04-07</t>
        </is>
      </c>
      <c r="B713" t="inlineStr">
        <is>
          <t>Avian &amp; Reptile 26</t>
        </is>
      </c>
      <c r="C713" t="inlineStr">
        <is>
          <t>00106306426040701</t>
        </is>
      </c>
      <c r="D713" t="inlineStr">
        <is>
          <t>AST</t>
        </is>
      </c>
      <c r="F713" t="n">
        <v>15</v>
      </c>
      <c r="G713" t="n">
        <v>44</v>
      </c>
      <c r="H713" t="n">
        <v>704</v>
      </c>
      <c r="I713" t="n">
        <v>-616</v>
      </c>
      <c r="J713" t="n">
        <v>41.20403721859659</v>
      </c>
      <c r="K713" t="n">
        <v>40.6878803010949</v>
      </c>
      <c r="L713" t="n">
        <v>43.6975094207782</v>
      </c>
      <c r="M713" t="n">
        <v>41.55695850080892</v>
      </c>
      <c r="N713" t="n">
        <v>43.63986806736396</v>
      </c>
      <c r="O713" t="n">
        <v>40.87855545159699</v>
      </c>
      <c r="P713" t="n">
        <v>44.36844608263299</v>
      </c>
      <c r="Q713" t="n">
        <v>42.24255379250216</v>
      </c>
      <c r="BH713" t="n">
        <v>42.284</v>
      </c>
      <c r="BS713" t="n">
        <v>-3.9</v>
      </c>
      <c r="CD713" t="n">
        <v>3.17</v>
      </c>
      <c r="CF713" t="n">
        <v>15</v>
      </c>
      <c r="CG713" t="n">
        <v>221</v>
      </c>
      <c r="CH713" t="n">
        <v>3536</v>
      </c>
      <c r="CI713" t="n">
        <v>-3094</v>
      </c>
      <c r="CJ713" t="n">
        <v>227.6347514954153</v>
      </c>
      <c r="CK713" t="n">
        <v>228.1299234840988</v>
      </c>
      <c r="CL713" t="n">
        <v>227.03388463203</v>
      </c>
      <c r="CM713" t="n">
        <v>229.5610413519184</v>
      </c>
      <c r="CN713" t="n">
        <v>224.4110752663958</v>
      </c>
      <c r="CO713" t="n">
        <v>-9.398587942426609</v>
      </c>
      <c r="CP713" t="n">
        <v>-5.292339590813135</v>
      </c>
      <c r="CQ713" t="n">
        <v>229.4988156299516</v>
      </c>
      <c r="EH713" t="n">
        <v>168.947</v>
      </c>
      <c r="ES713" t="n">
        <v>-23.55</v>
      </c>
      <c r="FD713" t="n">
        <v>60.25</v>
      </c>
      <c r="FF713" t="n">
        <v>15</v>
      </c>
      <c r="FG713" t="n">
        <v>45</v>
      </c>
      <c r="FH713" t="n">
        <v>720</v>
      </c>
      <c r="FI713" t="n">
        <v>-630</v>
      </c>
      <c r="FJ713" t="n">
        <v>44.35626667270513</v>
      </c>
      <c r="FK713" t="n">
        <v>44.06218829865204</v>
      </c>
      <c r="FL713" t="n">
        <v>43.33393064428623</v>
      </c>
      <c r="FM713" t="n">
        <v>44.77007100871612</v>
      </c>
      <c r="HH713" t="n">
        <v>44.131</v>
      </c>
      <c r="HS713" t="n">
        <v>-1.93</v>
      </c>
      <c r="ID713" t="n">
        <v>1.19</v>
      </c>
      <c r="IF713" t="n">
        <v>15</v>
      </c>
      <c r="IG713" t="n">
        <v>282</v>
      </c>
      <c r="IH713" t="n">
        <v>4512</v>
      </c>
      <c r="II713" t="n">
        <v>-3948</v>
      </c>
      <c r="IJ713" t="n">
        <v>263.5154498841706</v>
      </c>
      <c r="IK713" t="n">
        <v>267.4371576616448</v>
      </c>
      <c r="IL713" t="n">
        <v>268.5148231458498</v>
      </c>
      <c r="IM713" t="n">
        <v>277.2726055579586</v>
      </c>
      <c r="KH713" t="n">
        <v>269.185</v>
      </c>
      <c r="KS713" t="n">
        <v>-4.54</v>
      </c>
      <c r="LD713" t="n">
        <v>1.87</v>
      </c>
    </row>
    <row r="714">
      <c r="A714" t="inlineStr">
        <is>
          <t>2026-04-07</t>
        </is>
      </c>
      <c r="B714" t="inlineStr">
        <is>
          <t>Avian &amp; Reptile 26</t>
        </is>
      </c>
      <c r="C714" t="inlineStr">
        <is>
          <t>00106306426040701</t>
        </is>
      </c>
      <c r="D714" t="inlineStr">
        <is>
          <t>CK</t>
        </is>
      </c>
      <c r="F714" t="n">
        <v>20</v>
      </c>
      <c r="J714" t="n">
        <v>140.5819928539415</v>
      </c>
      <c r="K714" t="n">
        <v>145.2056472430053</v>
      </c>
      <c r="L714" t="n">
        <v>141.6340092132582</v>
      </c>
      <c r="M714" t="n">
        <v>131.6651726202378</v>
      </c>
      <c r="N714" t="n">
        <v>140.7682663195978</v>
      </c>
      <c r="O714" t="n">
        <v>134.9561172272749</v>
      </c>
      <c r="P714" t="n">
        <v>134.6010402763752</v>
      </c>
      <c r="Q714" t="n">
        <v>128.3090982754619</v>
      </c>
      <c r="BH714" t="n">
        <v>137.215</v>
      </c>
      <c r="CD714" t="n">
        <v>3.9</v>
      </c>
      <c r="CF714" t="n">
        <v>20</v>
      </c>
      <c r="CJ714" t="n">
        <v>475.5269164054673</v>
      </c>
      <c r="CK714" t="n">
        <v>496.5457946138162</v>
      </c>
      <c r="CL714" t="n">
        <v>492.0811622990448</v>
      </c>
      <c r="CM714" t="n">
        <v>482.2335412455602</v>
      </c>
      <c r="CN714" t="n">
        <v>498.272436865436</v>
      </c>
      <c r="CO714" t="n">
        <v>492.1615206664436</v>
      </c>
      <c r="CP714" t="n">
        <v>3.096247331839688</v>
      </c>
      <c r="CQ714" t="n">
        <v>478.4925638166576</v>
      </c>
      <c r="EH714" t="n">
        <v>427.301</v>
      </c>
      <c r="FD714" t="n">
        <v>37.57</v>
      </c>
      <c r="FF714" t="n">
        <v>20</v>
      </c>
      <c r="FJ714" t="n">
        <v>70.69407469983251</v>
      </c>
      <c r="FK714" t="n">
        <v>86.5160833744892</v>
      </c>
      <c r="FL714" t="n">
        <v>70.62662437261258</v>
      </c>
      <c r="FM714" t="n">
        <v>62.67523613826731</v>
      </c>
      <c r="HH714" t="n">
        <v>72.628</v>
      </c>
      <c r="ID714" t="n">
        <v>11.92</v>
      </c>
      <c r="IF714" t="n">
        <v>20</v>
      </c>
      <c r="IJ714" t="n">
        <v>540.414183987041</v>
      </c>
      <c r="IK714" t="n">
        <v>560.3037444656333</v>
      </c>
      <c r="IL714" t="n">
        <v>541.0095704147238</v>
      </c>
      <c r="IM714" t="n">
        <v>558.010236203812</v>
      </c>
      <c r="KH714" t="n">
        <v>549.934</v>
      </c>
      <c r="LD714" t="n">
        <v>1.68</v>
      </c>
    </row>
    <row r="715">
      <c r="A715" t="inlineStr">
        <is>
          <t>2026-04-07</t>
        </is>
      </c>
      <c r="B715" t="inlineStr">
        <is>
          <t>Avian &amp; Reptile 26</t>
        </is>
      </c>
      <c r="C715" t="inlineStr">
        <is>
          <t>00106306426040701</t>
        </is>
      </c>
      <c r="D715" t="inlineStr">
        <is>
          <t>Ca</t>
        </is>
      </c>
      <c r="G715" t="n">
        <v>9.1</v>
      </c>
      <c r="J715" t="n">
        <v>9.627144806013604</v>
      </c>
      <c r="K715" t="n">
        <v>9.873757485510144</v>
      </c>
      <c r="L715" t="n">
        <v>9.661303448152431</v>
      </c>
      <c r="M715" t="n">
        <v>9.65412776544369</v>
      </c>
      <c r="N715" t="n">
        <v>9.836385396717702</v>
      </c>
      <c r="O715" t="n">
        <v>9.602598334354422</v>
      </c>
      <c r="P715" t="n">
        <v>9.690920319878547</v>
      </c>
      <c r="Q715" t="n">
        <v>9.788903534471061</v>
      </c>
      <c r="BH715" t="n">
        <v>9.717000000000001</v>
      </c>
      <c r="BS715" t="n">
        <v>6.78</v>
      </c>
      <c r="CD715" t="n">
        <v>0.98</v>
      </c>
      <c r="CG715" t="n">
        <v>12.4</v>
      </c>
      <c r="CJ715" t="n">
        <v>12.88804334195337</v>
      </c>
      <c r="CK715" t="n">
        <v>12.59229180218044</v>
      </c>
      <c r="CL715" t="n">
        <v>12.70345562668293</v>
      </c>
      <c r="CM715" t="n">
        <v>12.85397135400085</v>
      </c>
      <c r="CN715" t="n">
        <v>12.90390339034698</v>
      </c>
      <c r="CO715" t="n">
        <v>12.72883507334955</v>
      </c>
      <c r="CP715" t="n">
        <v>-1.690686677665854</v>
      </c>
      <c r="CQ715" t="n">
        <v>12.65979513434891</v>
      </c>
      <c r="EH715" t="n">
        <v>10.955</v>
      </c>
      <c r="ES715" t="n">
        <v>-11.65</v>
      </c>
      <c r="FD715" t="n">
        <v>43.64</v>
      </c>
      <c r="FG715" t="n">
        <v>5.9</v>
      </c>
      <c r="FJ715" t="n">
        <v>6.117194290394747</v>
      </c>
      <c r="FK715" t="n">
        <v>6.148567808760409</v>
      </c>
      <c r="FL715" t="n">
        <v>6.138308124198761</v>
      </c>
      <c r="FM715" t="n">
        <v>5.792742772267945</v>
      </c>
      <c r="HH715" t="n">
        <v>6.049</v>
      </c>
      <c r="HS715" t="n">
        <v>2.53</v>
      </c>
      <c r="ID715" t="n">
        <v>2.45</v>
      </c>
      <c r="IG715" t="n">
        <v>12.7</v>
      </c>
      <c r="IJ715" t="n">
        <v>12.47385329135651</v>
      </c>
      <c r="IK715" t="n">
        <v>12.73338627272076</v>
      </c>
      <c r="IL715" t="n">
        <v>12.66763389721629</v>
      </c>
      <c r="IM715" t="n">
        <v>12.86254740903104</v>
      </c>
      <c r="KH715" t="n">
        <v>12.684</v>
      </c>
      <c r="KS715" t="n">
        <v>-0.12</v>
      </c>
      <c r="LD715" t="n">
        <v>1.11</v>
      </c>
    </row>
    <row r="716">
      <c r="A716" t="inlineStr">
        <is>
          <t>2026-04-07</t>
        </is>
      </c>
      <c r="B716" t="inlineStr">
        <is>
          <t>Avian &amp; Reptile 26</t>
        </is>
      </c>
      <c r="C716" t="inlineStr">
        <is>
          <t>00106306426040701</t>
        </is>
      </c>
      <c r="D716" t="inlineStr">
        <is>
          <t>GLU</t>
        </is>
      </c>
      <c r="F716" t="n">
        <v>8</v>
      </c>
      <c r="G716" t="n">
        <v>90.16</v>
      </c>
      <c r="H716" t="n">
        <v>811.4399999999999</v>
      </c>
      <c r="I716" t="n">
        <v>-631.12</v>
      </c>
      <c r="J716" t="n">
        <v>90.81711226294992</v>
      </c>
      <c r="K716" t="n">
        <v>90.85212672897617</v>
      </c>
      <c r="L716" t="n">
        <v>90.43756010408254</v>
      </c>
      <c r="M716" t="n">
        <v>90.25002678727064</v>
      </c>
      <c r="N716" t="n">
        <v>89.89336471369774</v>
      </c>
      <c r="O716" t="n">
        <v>90.54770671287717</v>
      </c>
      <c r="P716" t="n">
        <v>92.24065602794172</v>
      </c>
      <c r="Q716" t="n">
        <v>90.14173184097629</v>
      </c>
      <c r="BH716" t="n">
        <v>90.648</v>
      </c>
      <c r="BS716" t="n">
        <v>0.54</v>
      </c>
      <c r="CD716" t="n">
        <v>0.74</v>
      </c>
      <c r="CF716" t="n">
        <v>8</v>
      </c>
      <c r="CG716" t="n">
        <v>293.02</v>
      </c>
      <c r="CH716" t="n">
        <v>2637.18</v>
      </c>
      <c r="CI716" t="n">
        <v>-2051.14</v>
      </c>
      <c r="CJ716" t="n">
        <v>300.3267560678178</v>
      </c>
      <c r="CK716" t="n">
        <v>304.7669375394716</v>
      </c>
      <c r="CL716" t="n">
        <v>304.0788584765653</v>
      </c>
      <c r="CM716" t="n">
        <v>300.2818658552874</v>
      </c>
      <c r="CN716" t="n">
        <v>306.9102845159937</v>
      </c>
      <c r="CO716" t="n">
        <v>303.8794102642914</v>
      </c>
      <c r="CP716" t="n">
        <v>6.510577784692073</v>
      </c>
      <c r="CQ716" t="n">
        <v>303.8426959446326</v>
      </c>
      <c r="EH716" t="n">
        <v>266.325</v>
      </c>
      <c r="ES716" t="n">
        <v>-9.109999999999999</v>
      </c>
      <c r="FD716" t="n">
        <v>36.88</v>
      </c>
      <c r="FF716" t="n">
        <v>8</v>
      </c>
      <c r="FG716" t="n">
        <v>65.66</v>
      </c>
      <c r="FH716" t="n">
        <v>590.9399999999999</v>
      </c>
      <c r="FI716" t="n">
        <v>-459.62</v>
      </c>
      <c r="FJ716" t="n">
        <v>65.0702999997597</v>
      </c>
      <c r="FK716" t="n">
        <v>66.19109066652939</v>
      </c>
      <c r="FL716" t="n">
        <v>64.69149342357436</v>
      </c>
      <c r="FM716" t="n">
        <v>64.44377520015507</v>
      </c>
      <c r="HH716" t="n">
        <v>65.099</v>
      </c>
      <c r="HS716" t="n">
        <v>-0.85</v>
      </c>
      <c r="ID716" t="n">
        <v>1.03</v>
      </c>
      <c r="IF716" t="n">
        <v>8</v>
      </c>
      <c r="IG716" t="n">
        <v>359.66</v>
      </c>
      <c r="IH716" t="n">
        <v>3236.94</v>
      </c>
      <c r="II716" t="n">
        <v>-2517.62</v>
      </c>
      <c r="IJ716" t="n">
        <v>349.4455783455632</v>
      </c>
      <c r="IK716" t="n">
        <v>353.3272340575823</v>
      </c>
      <c r="IL716" t="n">
        <v>353.8019802966161</v>
      </c>
      <c r="IM716" t="n">
        <v>357.0008573646421</v>
      </c>
      <c r="KH716" t="n">
        <v>353.394</v>
      </c>
      <c r="KS716" t="n">
        <v>-1.74</v>
      </c>
      <c r="LD716" t="n">
        <v>0.76</v>
      </c>
    </row>
    <row r="717">
      <c r="A717" t="inlineStr">
        <is>
          <t>2026-04-07</t>
        </is>
      </c>
      <c r="B717" t="inlineStr">
        <is>
          <t>Avian &amp; Reptile 26</t>
        </is>
      </c>
      <c r="C717" t="inlineStr">
        <is>
          <t>00106306426040701</t>
        </is>
      </c>
      <c r="D717" t="inlineStr">
        <is>
          <t>PHOS</t>
        </is>
      </c>
      <c r="F717" t="n">
        <v>10</v>
      </c>
      <c r="G717" t="n">
        <v>3.3</v>
      </c>
      <c r="H717" t="n">
        <v>36.3</v>
      </c>
      <c r="I717" t="n">
        <v>-29.7</v>
      </c>
      <c r="J717" t="n">
        <v>3.223560063560969</v>
      </c>
      <c r="K717" t="n">
        <v>3.241249237281003</v>
      </c>
      <c r="L717" t="n">
        <v>3.36554402174649</v>
      </c>
      <c r="M717" t="n">
        <v>3.118857644107841</v>
      </c>
      <c r="N717" t="n">
        <v>3.201810957760836</v>
      </c>
      <c r="O717" t="n">
        <v>3.198803675839956</v>
      </c>
      <c r="P717" t="n">
        <v>3.248078284232919</v>
      </c>
      <c r="Q717" t="n">
        <v>3.178886999378439</v>
      </c>
      <c r="BH717" t="n">
        <v>3.222</v>
      </c>
      <c r="BS717" t="n">
        <v>-2.36</v>
      </c>
      <c r="CD717" t="n">
        <v>2.06</v>
      </c>
      <c r="CF717" t="n">
        <v>10</v>
      </c>
      <c r="CG717" t="n">
        <v>7.2</v>
      </c>
      <c r="CH717" t="n">
        <v>79.2</v>
      </c>
      <c r="CI717" t="n">
        <v>-64.8</v>
      </c>
      <c r="CJ717" t="n">
        <v>7.01672519776823</v>
      </c>
      <c r="CK717" t="n">
        <v>7.089319863429531</v>
      </c>
      <c r="CL717" t="n">
        <v>7.093186510332311</v>
      </c>
      <c r="CM717" t="n">
        <v>6.95194215990318</v>
      </c>
      <c r="CN717" t="n">
        <v>7.134295153191818</v>
      </c>
      <c r="CO717" t="n">
        <v>7.008228934444351</v>
      </c>
      <c r="CP717" t="n">
        <v>-0.1367574359802911</v>
      </c>
      <c r="CQ717" t="n">
        <v>6.986592434620967</v>
      </c>
      <c r="EH717" t="n">
        <v>6.143</v>
      </c>
      <c r="ES717" t="n">
        <v>-14.68</v>
      </c>
      <c r="FD717" t="n">
        <v>38.65</v>
      </c>
      <c r="FF717" t="n">
        <v>10</v>
      </c>
      <c r="FG717" t="n">
        <v>1.9</v>
      </c>
      <c r="FH717" t="n">
        <v>20.9</v>
      </c>
      <c r="FI717" t="n">
        <v>-17.1</v>
      </c>
      <c r="FJ717" t="n">
        <v>1.879389787458534</v>
      </c>
      <c r="FK717" t="n">
        <v>1.980930276085382</v>
      </c>
      <c r="FL717" t="n">
        <v>1.890639553456801</v>
      </c>
      <c r="FM717" t="n">
        <v>1.927109143796712</v>
      </c>
      <c r="HH717" t="n">
        <v>1.92</v>
      </c>
      <c r="HS717" t="n">
        <v>1.03</v>
      </c>
      <c r="ID717" t="n">
        <v>2.06</v>
      </c>
      <c r="IF717" t="n">
        <v>10</v>
      </c>
      <c r="IG717" t="n">
        <v>7.2</v>
      </c>
      <c r="IH717" t="n">
        <v>79.2</v>
      </c>
      <c r="II717" t="n">
        <v>-64.8</v>
      </c>
      <c r="IJ717" t="n">
        <v>6.8701500487243</v>
      </c>
      <c r="IK717" t="n">
        <v>7.058741847904267</v>
      </c>
      <c r="IL717" t="n">
        <v>7.009097093175218</v>
      </c>
      <c r="IM717" t="n">
        <v>7.036004475379985</v>
      </c>
      <c r="KH717" t="n">
        <v>6.993</v>
      </c>
      <c r="KS717" t="n">
        <v>-2.87</v>
      </c>
      <c r="LD717" t="n">
        <v>1.05</v>
      </c>
    </row>
    <row r="718">
      <c r="A718" t="inlineStr">
        <is>
          <t>2026-04-07</t>
        </is>
      </c>
      <c r="B718" t="inlineStr">
        <is>
          <t>Avian &amp; Reptile 26</t>
        </is>
      </c>
      <c r="C718" t="inlineStr">
        <is>
          <t>00106306426040701</t>
        </is>
      </c>
      <c r="D718" t="inlineStr">
        <is>
          <t>TP</t>
        </is>
      </c>
      <c r="F718" t="n">
        <v>8</v>
      </c>
      <c r="G718" t="n">
        <v>6.4</v>
      </c>
      <c r="H718" t="n">
        <v>57.6</v>
      </c>
      <c r="I718" t="n">
        <v>-44.8</v>
      </c>
      <c r="J718" t="n">
        <v>6.456832706150801</v>
      </c>
      <c r="K718" t="n">
        <v>6.581933483703582</v>
      </c>
      <c r="L718" t="n">
        <v>6.493307931563053</v>
      </c>
      <c r="M718" t="n">
        <v>6.406520800251827</v>
      </c>
      <c r="N718" t="n">
        <v>6.474921345621669</v>
      </c>
      <c r="O718" t="n">
        <v>6.373247704614905</v>
      </c>
      <c r="P718" t="n">
        <v>6.528292252482816</v>
      </c>
      <c r="Q718" t="n">
        <v>6.426044712377863</v>
      </c>
      <c r="BH718" t="n">
        <v>6.468</v>
      </c>
      <c r="BS718" t="n">
        <v>1.06</v>
      </c>
      <c r="CD718" t="n">
        <v>0.98</v>
      </c>
      <c r="CF718" t="n">
        <v>8</v>
      </c>
      <c r="CG718" t="n">
        <v>4.1</v>
      </c>
      <c r="CH718" t="n">
        <v>36.9</v>
      </c>
      <c r="CI718" t="n">
        <v>-28.7</v>
      </c>
      <c r="CJ718" t="n">
        <v>4.259347138290687</v>
      </c>
      <c r="CK718" t="n">
        <v>4.359956908756885</v>
      </c>
      <c r="CL718" t="n">
        <v>4.281522735159088</v>
      </c>
      <c r="CM718" t="n">
        <v>4.244441351058302</v>
      </c>
      <c r="CN718" t="n">
        <v>4.175433767837625</v>
      </c>
      <c r="CO718" t="n">
        <v>4.260756294762617</v>
      </c>
      <c r="CP718" t="n">
        <v>-0.6127079278730214</v>
      </c>
      <c r="CQ718" t="n">
        <v>4.26383642206212</v>
      </c>
      <c r="EH718" t="n">
        <v>3.654</v>
      </c>
      <c r="ES718" t="n">
        <v>-10.88</v>
      </c>
      <c r="FD718" t="n">
        <v>44.15</v>
      </c>
      <c r="FF718" t="n">
        <v>8</v>
      </c>
      <c r="FG718" t="n">
        <v>4.2</v>
      </c>
      <c r="FH718" t="n">
        <v>37.8</v>
      </c>
      <c r="FI718" t="n">
        <v>-29.4</v>
      </c>
      <c r="FJ718" t="n">
        <v>3.932209734504126</v>
      </c>
      <c r="FK718" t="n">
        <v>4.13076513724907</v>
      </c>
      <c r="FL718" t="n">
        <v>3.960401186342339</v>
      </c>
      <c r="FM718" t="n">
        <v>3.934004293265676</v>
      </c>
      <c r="HH718" t="n">
        <v>3.989</v>
      </c>
      <c r="HS718" t="n">
        <v>-5.02</v>
      </c>
      <c r="ID718" t="n">
        <v>2.07</v>
      </c>
      <c r="IF718" t="n">
        <v>8</v>
      </c>
      <c r="IG718" t="n">
        <v>7.5</v>
      </c>
      <c r="IH718" t="n">
        <v>67.5</v>
      </c>
      <c r="II718" t="n">
        <v>-52.5</v>
      </c>
      <c r="IJ718" t="n">
        <v>7.154227972274112</v>
      </c>
      <c r="IK718" t="n">
        <v>7.181961999602298</v>
      </c>
      <c r="IL718" t="n">
        <v>7.153516565444</v>
      </c>
      <c r="IM718" t="n">
        <v>7.276532256881134</v>
      </c>
      <c r="KH718" t="n">
        <v>7.192</v>
      </c>
      <c r="KS718" t="n">
        <v>-4.11</v>
      </c>
      <c r="LD718" t="n">
        <v>0.7</v>
      </c>
    </row>
    <row r="719">
      <c r="A719" t="inlineStr">
        <is>
          <t>2026-04-07</t>
        </is>
      </c>
      <c r="B719" t="inlineStr">
        <is>
          <t>Avian &amp; Reptile 26</t>
        </is>
      </c>
      <c r="C719" t="inlineStr">
        <is>
          <t>00106306426040701</t>
        </is>
      </c>
      <c r="D719" t="inlineStr">
        <is>
          <t>URIC</t>
        </is>
      </c>
      <c r="F719" t="n">
        <v>10</v>
      </c>
      <c r="G719" t="n">
        <v>4.561200670000002</v>
      </c>
      <c r="H719" t="n">
        <v>50.17320737000001</v>
      </c>
      <c r="I719" t="n">
        <v>-41.05080603000002</v>
      </c>
      <c r="J719" t="n">
        <v>4.268180189631977</v>
      </c>
      <c r="K719" t="n">
        <v>4.357943482464513</v>
      </c>
      <c r="L719" t="n">
        <v>4.255631453818237</v>
      </c>
      <c r="M719" t="n">
        <v>4.296810248752696</v>
      </c>
      <c r="N719" t="n">
        <v>4.320999860201524</v>
      </c>
      <c r="O719" t="n">
        <v>4.285621603663469</v>
      </c>
      <c r="P719" t="n">
        <v>4.350999446558411</v>
      </c>
      <c r="Q719" t="n">
        <v>4.282356722631008</v>
      </c>
      <c r="BH719" t="n">
        <v>4.302</v>
      </c>
      <c r="BS719" t="n">
        <v>-5.68</v>
      </c>
      <c r="CD719" t="n">
        <v>0.82</v>
      </c>
      <c r="CF719" t="n">
        <v>10</v>
      </c>
      <c r="CG719" t="n">
        <v>9.699999999999999</v>
      </c>
      <c r="CH719" t="n">
        <v>106.7</v>
      </c>
      <c r="CI719" t="n">
        <v>-87.3</v>
      </c>
      <c r="CJ719" t="n">
        <v>9.140461382264482</v>
      </c>
      <c r="CK719" t="n">
        <v>9.282842887355692</v>
      </c>
      <c r="CL719" t="n">
        <v>8.94120732283819</v>
      </c>
      <c r="CM719" t="n">
        <v>9.22241179251418</v>
      </c>
      <c r="CN719" t="n">
        <v>9.224142148478956</v>
      </c>
      <c r="CO719" t="n">
        <v>9.24111438812481</v>
      </c>
      <c r="CP719" t="n">
        <v>-0.4338868661845724</v>
      </c>
      <c r="CQ719" t="n">
        <v>9.16753476796732</v>
      </c>
      <c r="EH719" t="n">
        <v>7.973</v>
      </c>
      <c r="ES719" t="n">
        <v>-17.8</v>
      </c>
      <c r="FD719" t="n">
        <v>39.87</v>
      </c>
      <c r="FF719" t="n">
        <v>10</v>
      </c>
      <c r="FG719" t="n">
        <v>2.7</v>
      </c>
      <c r="FH719" t="n">
        <v>29.7</v>
      </c>
      <c r="FI719" t="n">
        <v>-24.3</v>
      </c>
      <c r="FJ719" t="n">
        <v>2.645179865413216</v>
      </c>
      <c r="FK719" t="n">
        <v>2.637420630012223</v>
      </c>
      <c r="FL719" t="n">
        <v>2.673238240759851</v>
      </c>
      <c r="FM719" t="n">
        <v>2.588780110853023</v>
      </c>
      <c r="HH719" t="n">
        <v>2.636</v>
      </c>
      <c r="HS719" t="n">
        <v>-2.36</v>
      </c>
      <c r="ID719" t="n">
        <v>1.15</v>
      </c>
      <c r="IF719" t="n">
        <v>10</v>
      </c>
      <c r="IG719" t="n">
        <v>9.300000000000001</v>
      </c>
      <c r="IH719" t="n">
        <v>102.3</v>
      </c>
      <c r="II719" t="n">
        <v>-83.7</v>
      </c>
      <c r="IJ719" t="n">
        <v>9.119470788239461</v>
      </c>
      <c r="IK719" t="n">
        <v>9.101650341425305</v>
      </c>
      <c r="IL719" t="n">
        <v>9.066854408948139</v>
      </c>
      <c r="IM719" t="n">
        <v>9.095639374385721</v>
      </c>
      <c r="KH719" t="n">
        <v>9.096</v>
      </c>
      <c r="KS719" t="n">
        <v>-2.19</v>
      </c>
      <c r="LD719" t="n">
        <v>0.21</v>
      </c>
    </row>
    <row r="720">
      <c r="A720" t="inlineStr">
        <is>
          <t>2026-04-07</t>
        </is>
      </c>
      <c r="B720" t="inlineStr">
        <is>
          <t>Large Animal 25</t>
        </is>
      </c>
      <c r="C720" t="inlineStr">
        <is>
          <t>00106106226040701</t>
        </is>
      </c>
      <c r="D720" t="inlineStr">
        <is>
          <t>ALP</t>
        </is>
      </c>
      <c r="F720" t="n">
        <v>20</v>
      </c>
      <c r="G720" t="n">
        <v>136</v>
      </c>
      <c r="H720" t="n">
        <v>2856</v>
      </c>
      <c r="I720" t="n">
        <v>-2584</v>
      </c>
      <c r="J720" t="n">
        <v>144.5097237878892</v>
      </c>
      <c r="K720" t="n">
        <v>143.6474072127628</v>
      </c>
      <c r="L720" t="n">
        <v>145.3937941669843</v>
      </c>
      <c r="BH720" t="n">
        <v>144.517</v>
      </c>
      <c r="BS720" t="n">
        <v>6.26</v>
      </c>
      <c r="CD720" t="n">
        <v>0.49</v>
      </c>
      <c r="CF720" t="n">
        <v>20</v>
      </c>
      <c r="CG720" t="n">
        <v>456</v>
      </c>
      <c r="CH720" t="n">
        <v>9576</v>
      </c>
      <c r="CI720" t="n">
        <v>-8664</v>
      </c>
      <c r="CJ720" t="n">
        <v>465.3475334613388</v>
      </c>
      <c r="CK720" t="n">
        <v>462.8247138951823</v>
      </c>
      <c r="CL720" t="n">
        <v>464.5009541832143</v>
      </c>
      <c r="EH720" t="n">
        <v>464.224</v>
      </c>
      <c r="ES720" t="n">
        <v>1.8</v>
      </c>
      <c r="FD720" t="n">
        <v>0.23</v>
      </c>
      <c r="FF720" t="n">
        <v>20</v>
      </c>
      <c r="FG720" t="n">
        <v>75</v>
      </c>
      <c r="FH720" t="n">
        <v>1575</v>
      </c>
      <c r="FI720" t="n">
        <v>-1425</v>
      </c>
      <c r="FJ720" t="n">
        <v>76.20533691199381</v>
      </c>
      <c r="FK720" t="n">
        <v>76.93376630549974</v>
      </c>
      <c r="FL720" t="n">
        <v>76.2440155705407</v>
      </c>
      <c r="HH720" t="n">
        <v>76.461</v>
      </c>
      <c r="HS720" t="n">
        <v>1.95</v>
      </c>
      <c r="ID720" t="n">
        <v>0.44</v>
      </c>
      <c r="IF720" t="n">
        <v>20</v>
      </c>
      <c r="IG720" t="n">
        <v>251</v>
      </c>
      <c r="IH720" t="n">
        <v>5271</v>
      </c>
      <c r="II720" t="n">
        <v>-4769</v>
      </c>
      <c r="IJ720" t="n">
        <v>230.4320708354681</v>
      </c>
      <c r="IK720" t="n">
        <v>233.0317147416</v>
      </c>
      <c r="IL720" t="n">
        <v>232.523690661466</v>
      </c>
      <c r="IM720" t="n">
        <v>232.0741147551914</v>
      </c>
      <c r="KH720" t="n">
        <v>232.015</v>
      </c>
      <c r="KS720" t="n">
        <v>-7.56</v>
      </c>
      <c r="LD720" t="n">
        <v>0.42</v>
      </c>
    </row>
    <row r="721">
      <c r="A721" t="inlineStr">
        <is>
          <t>2026-04-07</t>
        </is>
      </c>
      <c r="B721" t="inlineStr">
        <is>
          <t>Large Animal 25</t>
        </is>
      </c>
      <c r="C721" t="inlineStr">
        <is>
          <t>00106106226040701</t>
        </is>
      </c>
      <c r="D721" t="inlineStr">
        <is>
          <t>Ca</t>
        </is>
      </c>
      <c r="G721" t="n">
        <v>9.1</v>
      </c>
      <c r="J721" t="n">
        <v>9.78789315597929</v>
      </c>
      <c r="K721" t="n">
        <v>9.81484716590268</v>
      </c>
      <c r="L721" t="n">
        <v>9.710567173442396</v>
      </c>
      <c r="BH721" t="n">
        <v>9.771000000000001</v>
      </c>
      <c r="BS721" t="n">
        <v>7.37</v>
      </c>
      <c r="CD721" t="n">
        <v>0.45</v>
      </c>
      <c r="CG721" t="n">
        <v>12.4</v>
      </c>
      <c r="CJ721" t="n">
        <v>12.54898276849378</v>
      </c>
      <c r="CK721" t="n">
        <v>12.91238551869225</v>
      </c>
      <c r="CL721" t="n">
        <v>12.61211067197302</v>
      </c>
      <c r="EH721" t="n">
        <v>12.691</v>
      </c>
      <c r="ES721" t="n">
        <v>2.35</v>
      </c>
      <c r="FD721" t="n">
        <v>1.25</v>
      </c>
      <c r="FG721" t="n">
        <v>5.9</v>
      </c>
      <c r="FJ721" t="n">
        <v>5.885021161773797</v>
      </c>
      <c r="FK721" t="n">
        <v>5.989056598972666</v>
      </c>
      <c r="FL721" t="n">
        <v>5.788214451244678</v>
      </c>
      <c r="HH721" t="n">
        <v>5.887</v>
      </c>
      <c r="HS721" t="n">
        <v>-0.21</v>
      </c>
      <c r="ID721" t="n">
        <v>1.39</v>
      </c>
      <c r="IG721" t="n">
        <v>12.7</v>
      </c>
      <c r="IJ721" t="n">
        <v>12.79259153344897</v>
      </c>
      <c r="IK721" t="n">
        <v>12.83182676283621</v>
      </c>
      <c r="IL721" t="n">
        <v>12.9456151632969</v>
      </c>
      <c r="IM721" t="n">
        <v>12.8803877561571</v>
      </c>
      <c r="KH721" t="n">
        <v>12.863</v>
      </c>
      <c r="KS721" t="n">
        <v>1.28</v>
      </c>
      <c r="LD721" t="n">
        <v>0.44</v>
      </c>
    </row>
    <row r="722">
      <c r="A722" t="inlineStr">
        <is>
          <t>2026-04-07</t>
        </is>
      </c>
      <c r="B722" t="inlineStr">
        <is>
          <t>Large Animal 25</t>
        </is>
      </c>
      <c r="C722" t="inlineStr">
        <is>
          <t>00106106226040701</t>
        </is>
      </c>
      <c r="D722" t="inlineStr">
        <is>
          <t>Cl</t>
        </is>
      </c>
      <c r="F722" t="n">
        <v>5</v>
      </c>
      <c r="G722" t="n">
        <v>90</v>
      </c>
      <c r="H722" t="n">
        <v>540</v>
      </c>
      <c r="I722" t="n">
        <v>-360</v>
      </c>
      <c r="J722" t="n">
        <v>94.95230300469839</v>
      </c>
      <c r="K722" t="n">
        <v>92.06475495005429</v>
      </c>
      <c r="L722" t="n">
        <v>97.0656188130294</v>
      </c>
      <c r="BH722" t="n">
        <v>94.694</v>
      </c>
      <c r="BS722" t="n">
        <v>5.22</v>
      </c>
      <c r="CD722" t="n">
        <v>2.16</v>
      </c>
      <c r="CF722" t="n">
        <v>5</v>
      </c>
      <c r="CG722" t="n">
        <v>91</v>
      </c>
      <c r="CH722" t="n">
        <v>546</v>
      </c>
      <c r="CI722" t="n">
        <v>-364</v>
      </c>
      <c r="CJ722" t="n">
        <v>88.47922385434916</v>
      </c>
      <c r="CK722" t="n">
        <v>85.99948326473566</v>
      </c>
      <c r="CL722" t="n">
        <v>86.83402175347285</v>
      </c>
      <c r="EH722" t="n">
        <v>87.104</v>
      </c>
      <c r="ES722" t="n">
        <v>-4.28</v>
      </c>
      <c r="FD722" t="n">
        <v>1.18</v>
      </c>
      <c r="FF722" t="n">
        <v>5</v>
      </c>
      <c r="FG722" t="n">
        <v>77</v>
      </c>
      <c r="FH722" t="n">
        <v>462</v>
      </c>
      <c r="FI722" t="n">
        <v>-308</v>
      </c>
      <c r="FJ722" t="n">
        <v>76.07548945254811</v>
      </c>
      <c r="FK722" t="n">
        <v>78.33309575683217</v>
      </c>
      <c r="FL722" t="n">
        <v>76.73021842296828</v>
      </c>
      <c r="HH722" t="n">
        <v>77.04600000000001</v>
      </c>
      <c r="HS722" t="n">
        <v>0.06</v>
      </c>
      <c r="ID722" t="n">
        <v>1.23</v>
      </c>
      <c r="IF722" t="n">
        <v>5</v>
      </c>
      <c r="IG722" t="n">
        <v>118</v>
      </c>
      <c r="IH722" t="n">
        <v>708</v>
      </c>
      <c r="II722" t="n">
        <v>-472</v>
      </c>
      <c r="IJ722" t="n">
        <v>113.2430415386698</v>
      </c>
      <c r="IK722" t="n">
        <v>121.515035322951</v>
      </c>
      <c r="IL722" t="n">
        <v>115.8970537615469</v>
      </c>
      <c r="IM722" t="n">
        <v>114.8428366699367</v>
      </c>
      <c r="KH722" t="n">
        <v>116.374</v>
      </c>
      <c r="KS722" t="n">
        <v>-1.38</v>
      </c>
      <c r="LD722" t="n">
        <v>2.68</v>
      </c>
    </row>
    <row r="723">
      <c r="A723" t="inlineStr">
        <is>
          <t>2026-04-07</t>
        </is>
      </c>
      <c r="B723" t="inlineStr">
        <is>
          <t>Large Animal 25</t>
        </is>
      </c>
      <c r="C723" t="inlineStr">
        <is>
          <t>00106106226040701</t>
        </is>
      </c>
      <c r="D723" t="inlineStr">
        <is>
          <t>K</t>
        </is>
      </c>
      <c r="G723" t="n">
        <v>3.9</v>
      </c>
      <c r="J723" t="n">
        <v>3.921553943157784</v>
      </c>
      <c r="K723" t="n">
        <v>3.814414702886488</v>
      </c>
      <c r="L723" t="n">
        <v>3.734001434570569</v>
      </c>
      <c r="BH723" t="n">
        <v>3.823</v>
      </c>
      <c r="BS723" t="n">
        <v>-1.97</v>
      </c>
      <c r="CD723" t="n">
        <v>2.01</v>
      </c>
      <c r="CG723" t="n">
        <v>6</v>
      </c>
      <c r="CJ723" t="n">
        <v>6.361224566194737</v>
      </c>
      <c r="CK723" t="n">
        <v>6.195634666566066</v>
      </c>
      <c r="CL723" t="n">
        <v>6.178326303887332</v>
      </c>
      <c r="EH723" t="n">
        <v>6.245</v>
      </c>
      <c r="ES723" t="n">
        <v>4.08</v>
      </c>
      <c r="FD723" t="n">
        <v>1.32</v>
      </c>
      <c r="FG723" t="n">
        <v>2.2</v>
      </c>
      <c r="FJ723" t="n">
        <v>2.435373605460231</v>
      </c>
      <c r="FK723" t="n">
        <v>2.490294787295099</v>
      </c>
      <c r="FL723" t="n">
        <v>2.308229087550784</v>
      </c>
      <c r="HH723" t="n">
        <v>2.411</v>
      </c>
      <c r="HS723" t="n">
        <v>9.6</v>
      </c>
      <c r="ID723" t="n">
        <v>3.16</v>
      </c>
      <c r="IG723" t="n">
        <v>8.4</v>
      </c>
      <c r="IJ723" t="n">
        <v>8.114795160537797</v>
      </c>
      <c r="IK723" t="n">
        <v>8.338467759281256</v>
      </c>
      <c r="IL723" t="n">
        <v>8.475593838787923</v>
      </c>
      <c r="IM723" t="n">
        <v>8.596325878195834</v>
      </c>
      <c r="KH723" t="n">
        <v>8.381</v>
      </c>
      <c r="KS723" t="n">
        <v>-0.22</v>
      </c>
      <c r="LD723" t="n">
        <v>2.13</v>
      </c>
    </row>
    <row r="724">
      <c r="A724" t="inlineStr">
        <is>
          <t>2026-04-07</t>
        </is>
      </c>
      <c r="B724" t="inlineStr">
        <is>
          <t>Large Animal 25</t>
        </is>
      </c>
      <c r="C724" t="inlineStr">
        <is>
          <t>00106106226040701</t>
        </is>
      </c>
      <c r="D724" t="inlineStr">
        <is>
          <t>Mg</t>
        </is>
      </c>
      <c r="F724" t="n">
        <v>15</v>
      </c>
      <c r="G724" t="n">
        <v>2.4</v>
      </c>
      <c r="H724" t="n">
        <v>38.4</v>
      </c>
      <c r="I724" t="n">
        <v>-33.6</v>
      </c>
      <c r="J724" t="n">
        <v>2.253418084331697</v>
      </c>
      <c r="K724" t="n">
        <v>2.343824977981884</v>
      </c>
      <c r="L724" t="n">
        <v>2.345005029717871</v>
      </c>
      <c r="BH724" t="n">
        <v>2.314</v>
      </c>
      <c r="BS724" t="n">
        <v>-3.58</v>
      </c>
      <c r="CD724" t="n">
        <v>1.85</v>
      </c>
      <c r="CF724" t="n">
        <v>15</v>
      </c>
      <c r="CG724" t="n">
        <v>4.4</v>
      </c>
      <c r="CH724" t="n">
        <v>70.40000000000001</v>
      </c>
      <c r="CI724" t="n">
        <v>-61.60000000000001</v>
      </c>
      <c r="CJ724" t="n">
        <v>4.632608394854974</v>
      </c>
      <c r="CK724" t="n">
        <v>4.642560206690233</v>
      </c>
      <c r="CL724" t="n">
        <v>4.725421111044899</v>
      </c>
      <c r="EH724" t="n">
        <v>4.667</v>
      </c>
      <c r="ES724" t="n">
        <v>6.07</v>
      </c>
      <c r="FD724" t="n">
        <v>0.89</v>
      </c>
      <c r="FF724" t="n">
        <v>15</v>
      </c>
      <c r="FG724" t="n">
        <v>1</v>
      </c>
      <c r="FH724" t="n">
        <v>16</v>
      </c>
      <c r="FI724" t="n">
        <v>-14</v>
      </c>
      <c r="FJ724" t="n">
        <v>1.149074908302204</v>
      </c>
      <c r="FK724" t="n">
        <v>1.204429390366228</v>
      </c>
      <c r="FL724" t="n">
        <v>1.149366111151258</v>
      </c>
      <c r="HH724" t="n">
        <v>1.168</v>
      </c>
      <c r="HS724" t="n">
        <v>16.76</v>
      </c>
      <c r="ID724" t="n">
        <v>2.23</v>
      </c>
      <c r="IF724" t="n">
        <v>15</v>
      </c>
      <c r="IG724" t="n">
        <v>4</v>
      </c>
      <c r="IH724" t="n">
        <v>64</v>
      </c>
      <c r="II724" t="n">
        <v>-56</v>
      </c>
      <c r="IJ724" t="n">
        <v>3.668628002632029</v>
      </c>
      <c r="IK724" t="n">
        <v>3.782800371554745</v>
      </c>
      <c r="IL724" t="n">
        <v>3.829530253468374</v>
      </c>
      <c r="IM724" t="n">
        <v>3.898257617005232</v>
      </c>
      <c r="KH724" t="n">
        <v>3.795</v>
      </c>
      <c r="KS724" t="n">
        <v>-5.13</v>
      </c>
      <c r="LD724" t="n">
        <v>2.2</v>
      </c>
    </row>
    <row r="725">
      <c r="A725" t="inlineStr">
        <is>
          <t>2026-04-07</t>
        </is>
      </c>
      <c r="B725" t="inlineStr">
        <is>
          <t>Large Animal 25</t>
        </is>
      </c>
      <c r="C725" t="inlineStr">
        <is>
          <t>00106106226040701</t>
        </is>
      </c>
      <c r="D725" t="inlineStr">
        <is>
          <t>Na</t>
        </is>
      </c>
      <c r="G725" t="n">
        <v>141</v>
      </c>
      <c r="J725" t="n">
        <v>144.359430762694</v>
      </c>
      <c r="K725" t="n">
        <v>143.2190840467235</v>
      </c>
      <c r="L725" t="n">
        <v>143.1180208416233</v>
      </c>
      <c r="BH725" t="n">
        <v>143.566</v>
      </c>
      <c r="BS725" t="n">
        <v>1.82</v>
      </c>
      <c r="CD725" t="n">
        <v>0.39</v>
      </c>
      <c r="CG725" t="n">
        <v>129</v>
      </c>
      <c r="CJ725" t="n">
        <v>134.7087200040056</v>
      </c>
      <c r="CK725" t="n">
        <v>133.6800767202617</v>
      </c>
      <c r="CL725" t="n">
        <v>132.3425695281258</v>
      </c>
      <c r="EH725" t="n">
        <v>133.577</v>
      </c>
      <c r="ES725" t="n">
        <v>3.55</v>
      </c>
      <c r="FD725" t="n">
        <v>0.73</v>
      </c>
      <c r="FG725" t="n">
        <v>118</v>
      </c>
      <c r="FJ725" t="n">
        <v>122.9316169896506</v>
      </c>
      <c r="FK725" t="n">
        <v>122.84970476222</v>
      </c>
      <c r="FL725" t="n">
        <v>121.5317675255983</v>
      </c>
      <c r="HH725" t="n">
        <v>122.438</v>
      </c>
      <c r="HS725" t="n">
        <v>3.76</v>
      </c>
      <c r="ID725" t="n">
        <v>0.52</v>
      </c>
      <c r="IG725" t="n">
        <v>166</v>
      </c>
      <c r="IJ725" t="n">
        <v>157.0230021274803</v>
      </c>
      <c r="IK725" t="n">
        <v>160.1422680461278</v>
      </c>
      <c r="IL725" t="n">
        <v>161.8135724501908</v>
      </c>
      <c r="IM725" t="n">
        <v>163.1556154556676</v>
      </c>
      <c r="KH725" t="n">
        <v>160.534</v>
      </c>
      <c r="KS725" t="n">
        <v>-3.29</v>
      </c>
      <c r="LD725" t="n">
        <v>1.43</v>
      </c>
    </row>
    <row r="726">
      <c r="A726" t="inlineStr">
        <is>
          <t>2026-04-07</t>
        </is>
      </c>
      <c r="B726" t="inlineStr">
        <is>
          <t>Large Animal 25</t>
        </is>
      </c>
      <c r="C726" t="inlineStr">
        <is>
          <t>00106106226040701</t>
        </is>
      </c>
      <c r="D726" t="inlineStr">
        <is>
          <t>PHOS</t>
        </is>
      </c>
      <c r="F726" t="n">
        <v>10</v>
      </c>
      <c r="G726" t="n">
        <v>3.3</v>
      </c>
      <c r="H726" t="n">
        <v>36.3</v>
      </c>
      <c r="I726" t="n">
        <v>-29.7</v>
      </c>
      <c r="J726" t="n">
        <v>3.1555753109053</v>
      </c>
      <c r="K726" t="n">
        <v>3.215576015682992</v>
      </c>
      <c r="L726" t="n">
        <v>3.258102847816897</v>
      </c>
      <c r="BH726" t="n">
        <v>3.21</v>
      </c>
      <c r="BS726" t="n">
        <v>-2.73</v>
      </c>
      <c r="CD726" t="n">
        <v>1.31</v>
      </c>
      <c r="CF726" t="n">
        <v>10</v>
      </c>
      <c r="CG726" t="n">
        <v>7.2</v>
      </c>
      <c r="CH726" t="n">
        <v>79.2</v>
      </c>
      <c r="CI726" t="n">
        <v>-64.8</v>
      </c>
      <c r="CJ726" t="n">
        <v>7.096310420008442</v>
      </c>
      <c r="CK726" t="n">
        <v>7.147332550030324</v>
      </c>
      <c r="CL726" t="n">
        <v>7.093080477430543</v>
      </c>
      <c r="EH726" t="n">
        <v>7.112</v>
      </c>
      <c r="ES726" t="n">
        <v>-1.22</v>
      </c>
      <c r="FD726" t="n">
        <v>0.35</v>
      </c>
      <c r="FF726" t="n">
        <v>10</v>
      </c>
      <c r="FG726" t="n">
        <v>1.9</v>
      </c>
      <c r="FH726" t="n">
        <v>20.9</v>
      </c>
      <c r="FI726" t="n">
        <v>-17.1</v>
      </c>
      <c r="FJ726" t="n">
        <v>1.947895821066143</v>
      </c>
      <c r="FK726" t="n">
        <v>1.949654575189822</v>
      </c>
      <c r="FL726" t="n">
        <v>1.946819147419228</v>
      </c>
      <c r="HH726" t="n">
        <v>1.948</v>
      </c>
      <c r="HS726" t="n">
        <v>2.53</v>
      </c>
      <c r="ID726" t="n">
        <v>0.06</v>
      </c>
      <c r="IF726" t="n">
        <v>10</v>
      </c>
      <c r="IG726" t="n">
        <v>7.2</v>
      </c>
      <c r="IH726" t="n">
        <v>79.2</v>
      </c>
      <c r="II726" t="n">
        <v>-64.8</v>
      </c>
      <c r="IJ726" t="n">
        <v>7.066222916729846</v>
      </c>
      <c r="IK726" t="n">
        <v>7.158426935535839</v>
      </c>
      <c r="IL726" t="n">
        <v>7.183940992003168</v>
      </c>
      <c r="IM726" t="n">
        <v>7.131059234048984</v>
      </c>
      <c r="KH726" t="n">
        <v>7.135</v>
      </c>
      <c r="KS726" t="n">
        <v>-0.9</v>
      </c>
      <c r="LD726" t="n">
        <v>0.61</v>
      </c>
    </row>
    <row r="727">
      <c r="A727" t="inlineStr">
        <is>
          <t>2026-04-07</t>
        </is>
      </c>
      <c r="B727" t="inlineStr">
        <is>
          <t>Liver 11</t>
        </is>
      </c>
      <c r="C727" t="inlineStr">
        <is>
          <t>00100000226040701</t>
        </is>
      </c>
      <c r="D727" t="inlineStr">
        <is>
          <t>ALB</t>
        </is>
      </c>
      <c r="F727" t="n">
        <v>8</v>
      </c>
      <c r="G727" t="n">
        <v>4.2</v>
      </c>
      <c r="H727" t="n">
        <v>37.8</v>
      </c>
      <c r="I727" t="n">
        <v>-29.4</v>
      </c>
      <c r="J727" t="n">
        <v>4.180317591463848</v>
      </c>
      <c r="K727" t="n">
        <v>4.116595376157924</v>
      </c>
      <c r="L727" t="n">
        <v>4.137862424294644</v>
      </c>
      <c r="M727" t="n">
        <v>4.22376589031975</v>
      </c>
      <c r="N727" t="n">
        <v>4.163403638937255</v>
      </c>
      <c r="BH727" t="n">
        <v>4.164</v>
      </c>
      <c r="BS727" t="n">
        <v>-0.85</v>
      </c>
      <c r="CD727" t="n">
        <v>0.88</v>
      </c>
      <c r="CF727" t="n">
        <v>8</v>
      </c>
      <c r="CG727" t="n">
        <v>2.7</v>
      </c>
      <c r="CH727" t="n">
        <v>24.3</v>
      </c>
      <c r="CI727" t="n">
        <v>-18.9</v>
      </c>
      <c r="CJ727" t="n">
        <v>2.7796270893342</v>
      </c>
      <c r="EH727" t="n">
        <v>2.78</v>
      </c>
      <c r="ES727" t="n">
        <v>2.95</v>
      </c>
      <c r="FF727" t="n">
        <v>8</v>
      </c>
      <c r="FG727" t="n">
        <v>2.6</v>
      </c>
      <c r="FH727" t="n">
        <v>23.4</v>
      </c>
      <c r="FI727" t="n">
        <v>-18.2</v>
      </c>
      <c r="FJ727" t="n">
        <v>2.637821494725796</v>
      </c>
      <c r="FK727" t="n">
        <v>2.581920642925008</v>
      </c>
      <c r="FL727" t="n">
        <v>2.577740038133749</v>
      </c>
      <c r="FM727" t="n">
        <v>2.547484712440663</v>
      </c>
      <c r="HH727" t="n">
        <v>2.586</v>
      </c>
      <c r="HS727" t="n">
        <v>-0.53</v>
      </c>
      <c r="ID727" t="n">
        <v>1.26</v>
      </c>
      <c r="IF727" t="n">
        <v>8</v>
      </c>
      <c r="IG727" t="n">
        <v>4.2</v>
      </c>
      <c r="IH727" t="n">
        <v>37.8</v>
      </c>
      <c r="II727" t="n">
        <v>-29.4</v>
      </c>
      <c r="IJ727" t="n">
        <v>4.11768751600789</v>
      </c>
      <c r="IK727" t="n">
        <v>4.242516773010206</v>
      </c>
      <c r="IL727" t="n">
        <v>4.181747896473476</v>
      </c>
      <c r="KH727" t="n">
        <v>4.181</v>
      </c>
      <c r="KS727" t="n">
        <v>-0.46</v>
      </c>
      <c r="LD727" t="n">
        <v>1.22</v>
      </c>
    </row>
    <row r="728">
      <c r="A728" t="inlineStr">
        <is>
          <t>2026-04-07</t>
        </is>
      </c>
      <c r="B728" t="inlineStr">
        <is>
          <t>Liver 11</t>
        </is>
      </c>
      <c r="C728" t="inlineStr">
        <is>
          <t>00100000226040701</t>
        </is>
      </c>
      <c r="D728" t="inlineStr">
        <is>
          <t>ALP</t>
        </is>
      </c>
      <c r="F728" t="n">
        <v>20</v>
      </c>
      <c r="G728" t="n">
        <v>136</v>
      </c>
      <c r="H728" t="n">
        <v>2856</v>
      </c>
      <c r="I728" t="n">
        <v>-2584</v>
      </c>
      <c r="J728" t="n">
        <v>141.7765903820111</v>
      </c>
      <c r="K728" t="n">
        <v>144.0645937724592</v>
      </c>
      <c r="L728" t="n">
        <v>144.4863494198839</v>
      </c>
      <c r="M728" t="n">
        <v>144.2436046389586</v>
      </c>
      <c r="N728" t="n">
        <v>145.0614781806333</v>
      </c>
      <c r="BH728" t="n">
        <v>143.927</v>
      </c>
      <c r="BS728" t="n">
        <v>5.83</v>
      </c>
      <c r="CD728" t="n">
        <v>0.78</v>
      </c>
      <c r="CF728" t="n">
        <v>20</v>
      </c>
      <c r="CG728" t="n">
        <v>456</v>
      </c>
      <c r="CH728" t="n">
        <v>9576</v>
      </c>
      <c r="CI728" t="n">
        <v>-8664</v>
      </c>
      <c r="CJ728" t="n">
        <v>467.1811360257752</v>
      </c>
      <c r="EH728" t="n">
        <v>467.181</v>
      </c>
      <c r="ES728" t="n">
        <v>2.45</v>
      </c>
      <c r="FF728" t="n">
        <v>20</v>
      </c>
      <c r="FG728" t="n">
        <v>75</v>
      </c>
      <c r="FH728" t="n">
        <v>1575</v>
      </c>
      <c r="FI728" t="n">
        <v>-1425</v>
      </c>
      <c r="FJ728" t="n">
        <v>78.91290230990235</v>
      </c>
      <c r="FK728" t="n">
        <v>79.39960932087375</v>
      </c>
      <c r="FL728" t="n">
        <v>79.6287829678719</v>
      </c>
      <c r="FM728" t="n">
        <v>79.33332973351784</v>
      </c>
      <c r="HH728" t="n">
        <v>79.319</v>
      </c>
      <c r="HS728" t="n">
        <v>5.76</v>
      </c>
      <c r="ID728" t="n">
        <v>0.33</v>
      </c>
      <c r="IF728" t="n">
        <v>20</v>
      </c>
      <c r="IG728" t="n">
        <v>251</v>
      </c>
      <c r="IH728" t="n">
        <v>5271</v>
      </c>
      <c r="II728" t="n">
        <v>-4769</v>
      </c>
      <c r="IJ728" t="n">
        <v>226.0070858476124</v>
      </c>
      <c r="IK728" t="n">
        <v>226.140566965413</v>
      </c>
      <c r="IL728" t="n">
        <v>231.2783995480985</v>
      </c>
      <c r="KH728" t="n">
        <v>227.809</v>
      </c>
      <c r="KS728" t="n">
        <v>-9.24</v>
      </c>
      <c r="LD728" t="n">
        <v>1.08</v>
      </c>
    </row>
    <row r="729">
      <c r="A729" t="inlineStr">
        <is>
          <t>2026-04-07</t>
        </is>
      </c>
      <c r="B729" t="inlineStr">
        <is>
          <t>Liver 11</t>
        </is>
      </c>
      <c r="C729" t="inlineStr">
        <is>
          <t>00100000226040701</t>
        </is>
      </c>
      <c r="D729" t="inlineStr">
        <is>
          <t>ALT</t>
        </is>
      </c>
      <c r="F729" t="n">
        <v>15</v>
      </c>
      <c r="G729" t="n">
        <v>28</v>
      </c>
      <c r="H729" t="n">
        <v>448</v>
      </c>
      <c r="I729" t="n">
        <v>-392</v>
      </c>
      <c r="J729" t="n">
        <v>43.77158489519625</v>
      </c>
      <c r="K729" t="n">
        <v>0.2244410881851508</v>
      </c>
      <c r="L729" t="n">
        <v>31.38642520781461</v>
      </c>
      <c r="M729" t="n">
        <v>39.29116864681647</v>
      </c>
      <c r="N729" t="n">
        <v>33.43454568667381</v>
      </c>
      <c r="BH729" t="n">
        <v>29.622</v>
      </c>
      <c r="BS729" t="n">
        <v>5.79</v>
      </c>
      <c r="CD729" t="n">
        <v>51.76</v>
      </c>
      <c r="CF729" t="n">
        <v>15</v>
      </c>
      <c r="CG729" t="n">
        <v>115</v>
      </c>
      <c r="CH729" t="n">
        <v>1840</v>
      </c>
      <c r="CI729" t="n">
        <v>-1610</v>
      </c>
      <c r="CJ729" t="n">
        <v>138.2821825910795</v>
      </c>
      <c r="EH729" t="n">
        <v>138.282</v>
      </c>
      <c r="ES729" t="n">
        <v>20.25</v>
      </c>
      <c r="FF729" t="n">
        <v>15</v>
      </c>
      <c r="FG729" t="n">
        <v>26</v>
      </c>
      <c r="FH729" t="n">
        <v>416</v>
      </c>
      <c r="FI729" t="n">
        <v>-364</v>
      </c>
      <c r="FJ729" t="n">
        <v>17.80802221159484</v>
      </c>
      <c r="FK729" t="n">
        <v>24.65603020336815</v>
      </c>
      <c r="FL729" t="n">
        <v>31.05705746091113</v>
      </c>
      <c r="FM729" t="n">
        <v>24.50374397941576</v>
      </c>
      <c r="HH729" t="n">
        <v>24.506</v>
      </c>
      <c r="HS729" t="n">
        <v>-5.75</v>
      </c>
      <c r="ID729" t="n">
        <v>19.12</v>
      </c>
      <c r="IF729" t="n">
        <v>15</v>
      </c>
      <c r="IG729" t="n">
        <v>217</v>
      </c>
      <c r="IH729" t="n">
        <v>3472</v>
      </c>
      <c r="II729" t="n">
        <v>-3038</v>
      </c>
      <c r="IJ729" t="n">
        <v>214.2009497410197</v>
      </c>
      <c r="IK729" t="n">
        <v>222.3444657703275</v>
      </c>
      <c r="IL729" t="n">
        <v>220.0615653283058</v>
      </c>
      <c r="KH729" t="n">
        <v>218.869</v>
      </c>
      <c r="KS729" t="n">
        <v>0.86</v>
      </c>
      <c r="LD729" t="n">
        <v>1.57</v>
      </c>
    </row>
    <row r="730">
      <c r="A730" t="inlineStr">
        <is>
          <t>2026-04-07</t>
        </is>
      </c>
      <c r="B730" t="inlineStr">
        <is>
          <t>Liver 11</t>
        </is>
      </c>
      <c r="C730" t="inlineStr">
        <is>
          <t>00100000226040701</t>
        </is>
      </c>
      <c r="D730" t="inlineStr">
        <is>
          <t>AST</t>
        </is>
      </c>
      <c r="F730" t="n">
        <v>15</v>
      </c>
      <c r="G730" t="n">
        <v>44</v>
      </c>
      <c r="H730" t="n">
        <v>704</v>
      </c>
      <c r="I730" t="n">
        <v>-616</v>
      </c>
      <c r="J730" t="n">
        <v>41.54150081553172</v>
      </c>
      <c r="K730" t="n">
        <v>42.9814789488666</v>
      </c>
      <c r="L730" t="n">
        <v>42.78024672160952</v>
      </c>
      <c r="M730" t="n">
        <v>44.19544783794913</v>
      </c>
      <c r="N730" t="n">
        <v>45.20877163242589</v>
      </c>
      <c r="BH730" t="n">
        <v>43.341</v>
      </c>
      <c r="BS730" t="n">
        <v>-1.5</v>
      </c>
      <c r="CD730" t="n">
        <v>2.9</v>
      </c>
      <c r="CF730" t="n">
        <v>15</v>
      </c>
      <c r="CG730" t="n">
        <v>221</v>
      </c>
      <c r="CH730" t="n">
        <v>3536</v>
      </c>
      <c r="CI730" t="n">
        <v>-3094</v>
      </c>
      <c r="CJ730" t="n">
        <v>222.3831584791843</v>
      </c>
      <c r="EH730" t="n">
        <v>222.383</v>
      </c>
      <c r="ES730" t="n">
        <v>0.63</v>
      </c>
      <c r="FF730" t="n">
        <v>15</v>
      </c>
      <c r="FG730" t="n">
        <v>45</v>
      </c>
      <c r="FH730" t="n">
        <v>720</v>
      </c>
      <c r="FI730" t="n">
        <v>-630</v>
      </c>
      <c r="FJ730" t="n">
        <v>46.17910590462615</v>
      </c>
      <c r="FK730" t="n">
        <v>45.15408500065984</v>
      </c>
      <c r="FL730" t="n">
        <v>44.65967007242202</v>
      </c>
      <c r="FM730" t="n">
        <v>45.95838062269909</v>
      </c>
      <c r="HH730" t="n">
        <v>45.488</v>
      </c>
      <c r="HS730" t="n">
        <v>1.08</v>
      </c>
      <c r="ID730" t="n">
        <v>1.34</v>
      </c>
      <c r="IF730" t="n">
        <v>15</v>
      </c>
      <c r="IG730" t="n">
        <v>282</v>
      </c>
      <c r="IH730" t="n">
        <v>4512</v>
      </c>
      <c r="II730" t="n">
        <v>-3948</v>
      </c>
      <c r="IJ730" t="n">
        <v>276.3819049259543</v>
      </c>
      <c r="IK730" t="n">
        <v>281.7461322219126</v>
      </c>
      <c r="IL730" t="n">
        <v>286.1995332791781</v>
      </c>
      <c r="KH730" t="n">
        <v>281.443</v>
      </c>
      <c r="KS730" t="n">
        <v>-0.2</v>
      </c>
      <c r="LD730" t="n">
        <v>1.43</v>
      </c>
    </row>
    <row r="731">
      <c r="A731" t="inlineStr">
        <is>
          <t>2026-04-07</t>
        </is>
      </c>
      <c r="B731" t="inlineStr">
        <is>
          <t>Liver 11</t>
        </is>
      </c>
      <c r="C731" t="inlineStr">
        <is>
          <t>00100000226040701</t>
        </is>
      </c>
      <c r="D731" t="inlineStr">
        <is>
          <t>BA</t>
        </is>
      </c>
      <c r="J731" t="n">
        <v>2.93236161001511</v>
      </c>
      <c r="K731" t="n">
        <v>2.906655026329367</v>
      </c>
      <c r="L731" t="n">
        <v>3.250020537222674</v>
      </c>
      <c r="M731" t="n">
        <v>3.104723148333824</v>
      </c>
      <c r="N731" t="n">
        <v>3.331625869649245</v>
      </c>
      <c r="BH731" t="n">
        <v>3.105</v>
      </c>
      <c r="CD731" t="n">
        <v>5.42</v>
      </c>
      <c r="CJ731" t="n">
        <v>2.940064199506202</v>
      </c>
      <c r="EH731" t="n">
        <v>2.94</v>
      </c>
      <c r="FJ731" t="n">
        <v>12.2724907175606</v>
      </c>
      <c r="FK731" t="n">
        <v>12.6435497293384</v>
      </c>
      <c r="FL731" t="n">
        <v>12.59747087140176</v>
      </c>
      <c r="FM731" t="n">
        <v>12.2842986204776</v>
      </c>
      <c r="HH731" t="n">
        <v>12.449</v>
      </c>
      <c r="ID731" t="n">
        <v>1.38</v>
      </c>
      <c r="IJ731" t="n">
        <v>11.71758523075943</v>
      </c>
      <c r="IK731" t="n">
        <v>11.16858039593097</v>
      </c>
      <c r="IL731" t="n">
        <v>11.99713512815963</v>
      </c>
      <c r="KH731" t="n">
        <v>11.628</v>
      </c>
      <c r="LD731" t="n">
        <v>2.96</v>
      </c>
    </row>
    <row r="732">
      <c r="A732" t="inlineStr">
        <is>
          <t>2026-04-07</t>
        </is>
      </c>
      <c r="B732" t="inlineStr">
        <is>
          <t>Liver 11</t>
        </is>
      </c>
      <c r="C732" t="inlineStr">
        <is>
          <t>00100000226040701</t>
        </is>
      </c>
      <c r="D732" t="inlineStr">
        <is>
          <t>GGT</t>
        </is>
      </c>
      <c r="F732" t="n">
        <v>15</v>
      </c>
      <c r="G732" t="n">
        <v>57</v>
      </c>
      <c r="H732" t="n">
        <v>912</v>
      </c>
      <c r="I732" t="n">
        <v>-798</v>
      </c>
      <c r="J732" t="n">
        <v>59.25729394581383</v>
      </c>
      <c r="K732" t="n">
        <v>61.56328809249426</v>
      </c>
      <c r="L732" t="n">
        <v>61.47122453016964</v>
      </c>
      <c r="M732" t="n">
        <v>63.33845909733881</v>
      </c>
      <c r="N732" t="n">
        <v>62.38054682294812</v>
      </c>
      <c r="BH732" t="n">
        <v>61.602</v>
      </c>
      <c r="BS732" t="n">
        <v>8.07</v>
      </c>
      <c r="CD732" t="n">
        <v>2.19</v>
      </c>
      <c r="CF732" t="n">
        <v>15</v>
      </c>
      <c r="CG732" t="n">
        <v>164</v>
      </c>
      <c r="CH732" t="n">
        <v>2624</v>
      </c>
      <c r="CI732" t="n">
        <v>-2296</v>
      </c>
      <c r="CJ732" t="n">
        <v>174.2829938045597</v>
      </c>
      <c r="EH732" t="n">
        <v>174.283</v>
      </c>
      <c r="ES732" t="n">
        <v>6.27</v>
      </c>
      <c r="FF732" t="n">
        <v>15</v>
      </c>
      <c r="FG732" t="n">
        <v>23</v>
      </c>
      <c r="FH732" t="n">
        <v>368</v>
      </c>
      <c r="FI732" t="n">
        <v>-322</v>
      </c>
      <c r="FJ732" t="n">
        <v>25.76264051254331</v>
      </c>
      <c r="FK732" t="n">
        <v>27.25930372079493</v>
      </c>
      <c r="FL732" t="n">
        <v>27.23004824110249</v>
      </c>
      <c r="FM732" t="n">
        <v>24.67478725756315</v>
      </c>
      <c r="HH732" t="n">
        <v>26.232</v>
      </c>
      <c r="HS732" t="n">
        <v>14.05</v>
      </c>
      <c r="ID732" t="n">
        <v>4.13</v>
      </c>
      <c r="IF732" t="n">
        <v>15</v>
      </c>
      <c r="IG732" t="n">
        <v>126</v>
      </c>
      <c r="IH732" t="n">
        <v>2016</v>
      </c>
      <c r="II732" t="n">
        <v>-1764</v>
      </c>
      <c r="IJ732" t="n">
        <v>135.711891179772</v>
      </c>
      <c r="IK732" t="n">
        <v>135.7932600345306</v>
      </c>
      <c r="IL732" t="n">
        <v>136.6869048989555</v>
      </c>
      <c r="KH732" t="n">
        <v>136.064</v>
      </c>
      <c r="KS732" t="n">
        <v>7.99</v>
      </c>
      <c r="LD732" t="n">
        <v>0.32</v>
      </c>
    </row>
    <row r="733">
      <c r="A733" t="inlineStr">
        <is>
          <t>2026-04-07</t>
        </is>
      </c>
      <c r="B733" t="inlineStr">
        <is>
          <t>Liver 11</t>
        </is>
      </c>
      <c r="C733" t="inlineStr">
        <is>
          <t>00100000226040701</t>
        </is>
      </c>
      <c r="D733" t="inlineStr">
        <is>
          <t>GLU</t>
        </is>
      </c>
      <c r="F733" t="n">
        <v>8</v>
      </c>
      <c r="G733" t="n">
        <v>90.16</v>
      </c>
      <c r="H733" t="n">
        <v>811.4399999999999</v>
      </c>
      <c r="I733" t="n">
        <v>-631.12</v>
      </c>
      <c r="J733" t="n">
        <v>89.50895610388933</v>
      </c>
      <c r="K733" t="n">
        <v>89.75566715100911</v>
      </c>
      <c r="L733" t="n">
        <v>90.2716388726195</v>
      </c>
      <c r="M733" t="n">
        <v>90.68578286622024</v>
      </c>
      <c r="N733" t="n">
        <v>90.52482192722383</v>
      </c>
      <c r="BH733" t="n">
        <v>90.149</v>
      </c>
      <c r="BS733" t="n">
        <v>-0.01</v>
      </c>
      <c r="CD733" t="n">
        <v>0.5</v>
      </c>
      <c r="CF733" t="n">
        <v>8</v>
      </c>
      <c r="CG733" t="n">
        <v>293.02</v>
      </c>
      <c r="CH733" t="n">
        <v>2637.18</v>
      </c>
      <c r="CI733" t="n">
        <v>-2051.14</v>
      </c>
      <c r="CJ733" t="n">
        <v>304.4938816894818</v>
      </c>
      <c r="EH733" t="n">
        <v>304.494</v>
      </c>
      <c r="ES733" t="n">
        <v>3.92</v>
      </c>
      <c r="FF733" t="n">
        <v>8</v>
      </c>
      <c r="FG733" t="n">
        <v>65.66</v>
      </c>
      <c r="FH733" t="n">
        <v>590.9399999999999</v>
      </c>
      <c r="FI733" t="n">
        <v>-459.62</v>
      </c>
      <c r="FJ733" t="n">
        <v>65.26099172604088</v>
      </c>
      <c r="FK733" t="n">
        <v>65.39876488335588</v>
      </c>
      <c r="FL733" t="n">
        <v>64.78177431200328</v>
      </c>
      <c r="FM733" t="n">
        <v>65.60872336512487</v>
      </c>
      <c r="HH733" t="n">
        <v>65.26300000000001</v>
      </c>
      <c r="HS733" t="n">
        <v>-0.61</v>
      </c>
      <c r="ID733" t="n">
        <v>0.47</v>
      </c>
      <c r="IF733" t="n">
        <v>8</v>
      </c>
      <c r="IG733" t="n">
        <v>359.66</v>
      </c>
      <c r="IH733" t="n">
        <v>3236.94</v>
      </c>
      <c r="II733" t="n">
        <v>-2517.62</v>
      </c>
      <c r="IJ733" t="n">
        <v>355.5092707059415</v>
      </c>
      <c r="IK733" t="n">
        <v>362.7427417509897</v>
      </c>
      <c r="IL733" t="n">
        <v>360.251417600167</v>
      </c>
      <c r="KH733" t="n">
        <v>359.501</v>
      </c>
      <c r="KS733" t="n">
        <v>-0.04</v>
      </c>
      <c r="LD733" t="n">
        <v>0.83</v>
      </c>
    </row>
    <row r="734">
      <c r="A734" t="inlineStr">
        <is>
          <t>2026-04-07</t>
        </is>
      </c>
      <c r="B734" t="inlineStr">
        <is>
          <t>Liver 11</t>
        </is>
      </c>
      <c r="C734" t="inlineStr">
        <is>
          <t>00100000226040701</t>
        </is>
      </c>
      <c r="D734" t="inlineStr">
        <is>
          <t>TBIL</t>
        </is>
      </c>
      <c r="F734" t="n">
        <v>20</v>
      </c>
      <c r="G734" t="n">
        <v>1.1</v>
      </c>
      <c r="H734" t="n">
        <v>23.1</v>
      </c>
      <c r="I734" t="n">
        <v>-20.9</v>
      </c>
      <c r="J734" t="n">
        <v>1.368746652531912</v>
      </c>
      <c r="K734" t="n">
        <v>1.425335808055357</v>
      </c>
      <c r="L734" t="n">
        <v>1.388305942359335</v>
      </c>
      <c r="M734" t="n">
        <v>1.441888477261496</v>
      </c>
      <c r="N734" t="n">
        <v>1.394051872526868</v>
      </c>
      <c r="BH734" t="n">
        <v>1.404</v>
      </c>
      <c r="BS734" t="n">
        <v>27.61</v>
      </c>
      <c r="CD734" t="n">
        <v>1.88</v>
      </c>
      <c r="CF734" t="n">
        <v>20</v>
      </c>
      <c r="CG734" t="n">
        <v>5.1</v>
      </c>
      <c r="CH734" t="n">
        <v>107.1</v>
      </c>
      <c r="CI734" t="n">
        <v>-96.89999999999999</v>
      </c>
      <c r="CJ734" t="n">
        <v>5.589070715795526</v>
      </c>
      <c r="EH734" t="n">
        <v>5.589</v>
      </c>
      <c r="ES734" t="n">
        <v>9.59</v>
      </c>
      <c r="FF734" t="n">
        <v>20</v>
      </c>
      <c r="FG734" t="n">
        <v>0.8</v>
      </c>
      <c r="FH734" t="n">
        <v>16.8</v>
      </c>
      <c r="FI734" t="n">
        <v>-15.2</v>
      </c>
      <c r="FJ734" t="n">
        <v>0.7631597667915724</v>
      </c>
      <c r="FK734" t="n">
        <v>0.7366308108762825</v>
      </c>
      <c r="FL734" t="n">
        <v>0.7384702674640069</v>
      </c>
      <c r="FM734" t="n">
        <v>0.7026079339301576</v>
      </c>
      <c r="HH734" t="n">
        <v>0.735</v>
      </c>
      <c r="HS734" t="n">
        <v>-8.1</v>
      </c>
      <c r="ID734" t="n">
        <v>2.93</v>
      </c>
      <c r="IF734" t="n">
        <v>20</v>
      </c>
      <c r="IG734" t="n">
        <v>8.4</v>
      </c>
      <c r="IH734" t="n">
        <v>176.4</v>
      </c>
      <c r="II734" t="n">
        <v>-159.6</v>
      </c>
      <c r="IJ734" t="n">
        <v>8.339579749775016</v>
      </c>
      <c r="IK734" t="n">
        <v>8.416979399513494</v>
      </c>
      <c r="IL734" t="n">
        <v>8.32708119427814</v>
      </c>
      <c r="KH734" t="n">
        <v>8.361000000000001</v>
      </c>
      <c r="KS734" t="n">
        <v>-0.46</v>
      </c>
      <c r="LD734" t="n">
        <v>0.48</v>
      </c>
    </row>
    <row r="735">
      <c r="A735" t="inlineStr">
        <is>
          <t>2026-04-02</t>
        </is>
      </c>
      <c r="B735" t="inlineStr">
        <is>
          <t>Optimum Wellness 37</t>
        </is>
      </c>
      <c r="C735" t="inlineStr">
        <is>
          <t>00291929326040201</t>
        </is>
      </c>
      <c r="D735" t="inlineStr">
        <is>
          <t>BA</t>
        </is>
      </c>
      <c r="J735" t="n">
        <v>3.907034844776858</v>
      </c>
      <c r="K735" t="n">
        <v>3.917913032096183</v>
      </c>
      <c r="L735" t="n">
        <v>4.082848462029654</v>
      </c>
      <c r="M735" t="n">
        <v>3.946964789137074</v>
      </c>
      <c r="BH735" t="n">
        <v>3.964</v>
      </c>
      <c r="CD735" t="n">
        <v>1.77</v>
      </c>
      <c r="CJ735" t="n">
        <v>3.256578589023361</v>
      </c>
      <c r="CK735" t="n">
        <v>4.176043229303669</v>
      </c>
      <c r="CL735" t="n">
        <v>3.14944235202551</v>
      </c>
      <c r="CM735" t="n">
        <v>3.325705304113131</v>
      </c>
      <c r="EH735" t="n">
        <v>3.477</v>
      </c>
      <c r="FD735" t="n">
        <v>11.75</v>
      </c>
      <c r="FJ735" t="n">
        <v>12.54867588621114</v>
      </c>
      <c r="FK735" t="n">
        <v>13.00796874182135</v>
      </c>
      <c r="FL735" t="n">
        <v>12.97492923065913</v>
      </c>
      <c r="FM735" t="n">
        <v>12.20635950369708</v>
      </c>
      <c r="HH735" t="n">
        <v>12.684</v>
      </c>
      <c r="ID735" t="n">
        <v>2.6</v>
      </c>
      <c r="IJ735" t="n">
        <v>11.91042977914531</v>
      </c>
      <c r="IK735" t="n">
        <v>11.67144564765351</v>
      </c>
      <c r="IL735" t="n">
        <v>11.69278154474241</v>
      </c>
      <c r="IM735" t="n">
        <v>11.85814349415418</v>
      </c>
      <c r="KH735" t="n">
        <v>11.783</v>
      </c>
      <c r="LD735" t="n">
        <v>0.87</v>
      </c>
    </row>
    <row r="736">
      <c r="A736" t="inlineStr">
        <is>
          <t>2026-04-02</t>
        </is>
      </c>
      <c r="B736" t="inlineStr">
        <is>
          <t>Optimum Wellness 37</t>
        </is>
      </c>
      <c r="C736" t="inlineStr">
        <is>
          <t>00291929326040201</t>
        </is>
      </c>
      <c r="D736" t="inlineStr">
        <is>
          <t>Cl</t>
        </is>
      </c>
      <c r="F736" t="n">
        <v>5</v>
      </c>
      <c r="G736" t="n">
        <v>90</v>
      </c>
      <c r="H736" t="n">
        <v>540</v>
      </c>
      <c r="I736" t="n">
        <v>-360</v>
      </c>
      <c r="J736" t="n">
        <v>93.81829953186214</v>
      </c>
      <c r="K736" t="n">
        <v>94.21670785048717</v>
      </c>
      <c r="L736" t="n">
        <v>92.11933688862423</v>
      </c>
      <c r="M736" t="n">
        <v>93.74272314926232</v>
      </c>
      <c r="BH736" t="n">
        <v>93.474</v>
      </c>
      <c r="BS736" t="n">
        <v>3.86</v>
      </c>
      <c r="CD736" t="n">
        <v>0.86</v>
      </c>
      <c r="CF736" t="n">
        <v>5</v>
      </c>
      <c r="CG736" t="n">
        <v>91</v>
      </c>
      <c r="CH736" t="n">
        <v>546</v>
      </c>
      <c r="CI736" t="n">
        <v>-364</v>
      </c>
      <c r="CJ736" t="n">
        <v>87.08016149011463</v>
      </c>
      <c r="CK736" t="n">
        <v>86.63041155065817</v>
      </c>
      <c r="CL736" t="n">
        <v>88.34586327115676</v>
      </c>
      <c r="CM736" t="n">
        <v>87.50366234959225</v>
      </c>
      <c r="EH736" t="n">
        <v>87.39</v>
      </c>
      <c r="ES736" t="n">
        <v>-3.97</v>
      </c>
      <c r="FD736" t="n">
        <v>0.72</v>
      </c>
      <c r="FF736" t="n">
        <v>5</v>
      </c>
      <c r="FG736" t="n">
        <v>77</v>
      </c>
      <c r="FH736" t="n">
        <v>462</v>
      </c>
      <c r="FI736" t="n">
        <v>-308</v>
      </c>
      <c r="FJ736" t="n">
        <v>78.93760174527679</v>
      </c>
      <c r="FK736" t="n">
        <v>75.15848002949043</v>
      </c>
      <c r="FL736" t="n">
        <v>75.5916498635533</v>
      </c>
      <c r="FM736" t="n">
        <v>77.90539565876239</v>
      </c>
      <c r="HH736" t="n">
        <v>76.898</v>
      </c>
      <c r="HS736" t="n">
        <v>-0.13</v>
      </c>
      <c r="ID736" t="n">
        <v>2.05</v>
      </c>
      <c r="IF736" t="n">
        <v>5</v>
      </c>
      <c r="IG736" t="n">
        <v>118</v>
      </c>
      <c r="IH736" t="n">
        <v>708</v>
      </c>
      <c r="II736" t="n">
        <v>-472</v>
      </c>
      <c r="IJ736" t="n">
        <v>119.4830570548407</v>
      </c>
      <c r="IK736" t="n">
        <v>119.155802844741</v>
      </c>
      <c r="IL736" t="n">
        <v>121.8769250991412</v>
      </c>
      <c r="IM736" t="n">
        <v>121.376925273262</v>
      </c>
      <c r="KH736" t="n">
        <v>120.473</v>
      </c>
      <c r="KS736" t="n">
        <v>2.1</v>
      </c>
      <c r="LD736" t="n">
        <v>0.97</v>
      </c>
    </row>
    <row r="737">
      <c r="A737" t="inlineStr">
        <is>
          <t>2026-04-02</t>
        </is>
      </c>
      <c r="B737" t="inlineStr">
        <is>
          <t>Optimum Wellness 37</t>
        </is>
      </c>
      <c r="C737" t="inlineStr">
        <is>
          <t>00291929326040201</t>
        </is>
      </c>
      <c r="D737" t="inlineStr">
        <is>
          <t>K</t>
        </is>
      </c>
      <c r="G737" t="n">
        <v>3.9</v>
      </c>
      <c r="J737" t="n">
        <v>3.987857657395635</v>
      </c>
      <c r="K737" t="n">
        <v>3.992868032104234</v>
      </c>
      <c r="L737" t="n">
        <v>3.977981940917115</v>
      </c>
      <c r="M737" t="n">
        <v>3.878710350509436</v>
      </c>
      <c r="BH737" t="n">
        <v>3.959</v>
      </c>
      <c r="BS737" t="n">
        <v>1.52</v>
      </c>
      <c r="CD737" t="n">
        <v>1.18</v>
      </c>
      <c r="CG737" t="n">
        <v>6</v>
      </c>
      <c r="CJ737" t="n">
        <v>6.43060413866516</v>
      </c>
      <c r="CK737" t="n">
        <v>6.374763975546019</v>
      </c>
      <c r="CL737" t="n">
        <v>6.015180549499883</v>
      </c>
      <c r="CM737" t="n">
        <v>6.30201475177528</v>
      </c>
      <c r="EH737" t="n">
        <v>6.281</v>
      </c>
      <c r="ES737" t="n">
        <v>4.68</v>
      </c>
      <c r="FD737" t="n">
        <v>2.55</v>
      </c>
      <c r="FG737" t="n">
        <v>2.2</v>
      </c>
      <c r="FJ737" t="n">
        <v>2.655850987374251</v>
      </c>
      <c r="FK737" t="n">
        <v>2.647838450471159</v>
      </c>
      <c r="FL737" t="n">
        <v>2.429384181847124</v>
      </c>
      <c r="FM737" t="n">
        <v>2.409251565042791</v>
      </c>
      <c r="HH737" t="n">
        <v>2.536</v>
      </c>
      <c r="HS737" t="n">
        <v>15.25</v>
      </c>
      <c r="ID737" t="n">
        <v>4.6</v>
      </c>
      <c r="IG737" t="n">
        <v>8.4</v>
      </c>
      <c r="IJ737" t="n">
        <v>8.569383855727876</v>
      </c>
      <c r="IK737" t="n">
        <v>8.445557397871207</v>
      </c>
      <c r="IL737" t="n">
        <v>8.495237608208068</v>
      </c>
      <c r="IM737" t="n">
        <v>8.389561149741276</v>
      </c>
      <c r="KH737" t="n">
        <v>8.475</v>
      </c>
      <c r="KS737" t="n">
        <v>0.89</v>
      </c>
      <c r="LD737" t="n">
        <v>0.78</v>
      </c>
    </row>
    <row r="738">
      <c r="A738" t="inlineStr">
        <is>
          <t>2026-04-02</t>
        </is>
      </c>
      <c r="B738" t="inlineStr">
        <is>
          <t>Optimum Wellness 37</t>
        </is>
      </c>
      <c r="C738" t="inlineStr">
        <is>
          <t>00291929326040201</t>
        </is>
      </c>
      <c r="D738" t="inlineStr">
        <is>
          <t>Na</t>
        </is>
      </c>
      <c r="G738" t="n">
        <v>141</v>
      </c>
      <c r="J738" t="n">
        <v>145.0715799406549</v>
      </c>
      <c r="K738" t="n">
        <v>152.2810332192008</v>
      </c>
      <c r="L738" t="n">
        <v>150.9987773651051</v>
      </c>
      <c r="M738" t="n">
        <v>148.1412798334834</v>
      </c>
      <c r="BH738" t="n">
        <v>149.123</v>
      </c>
      <c r="BS738" t="n">
        <v>5.76</v>
      </c>
      <c r="CD738" t="n">
        <v>1.86</v>
      </c>
      <c r="CG738" t="n">
        <v>129</v>
      </c>
      <c r="CJ738" t="n">
        <v>140.8811213093294</v>
      </c>
      <c r="CK738" t="n">
        <v>139.3995671899551</v>
      </c>
      <c r="CL738" t="n">
        <v>139.7981617096647</v>
      </c>
      <c r="CM738" t="n">
        <v>136.4181744813588</v>
      </c>
      <c r="EH738" t="n">
        <v>139.124</v>
      </c>
      <c r="ES738" t="n">
        <v>7.85</v>
      </c>
      <c r="FD738" t="n">
        <v>1.19</v>
      </c>
      <c r="FG738" t="n">
        <v>118</v>
      </c>
      <c r="FJ738" t="n">
        <v>128.3208212033141</v>
      </c>
      <c r="FK738" t="n">
        <v>124.6041326238206</v>
      </c>
      <c r="FL738" t="n">
        <v>127.5900550218834</v>
      </c>
      <c r="FM738" t="n">
        <v>124.3471139973138</v>
      </c>
      <c r="HH738" t="n">
        <v>126.216</v>
      </c>
      <c r="HS738" t="n">
        <v>6.96</v>
      </c>
      <c r="ID738" t="n">
        <v>1.4</v>
      </c>
      <c r="IG738" t="n">
        <v>166</v>
      </c>
      <c r="IJ738" t="n">
        <v>169.8718641067592</v>
      </c>
      <c r="IK738" t="n">
        <v>170.8964615986788</v>
      </c>
      <c r="IL738" t="n">
        <v>169.4685760082631</v>
      </c>
      <c r="IM738" t="n">
        <v>168.2613438845169</v>
      </c>
      <c r="KH738" t="n">
        <v>169.625</v>
      </c>
      <c r="KS738" t="n">
        <v>2.18</v>
      </c>
      <c r="LD738" t="n">
        <v>0.5600000000000001</v>
      </c>
    </row>
    <row r="739">
      <c r="A739" t="inlineStr">
        <is>
          <t>2026-04-02</t>
        </is>
      </c>
      <c r="B739" t="inlineStr">
        <is>
          <t>Optimum Wellness 37</t>
        </is>
      </c>
      <c r="C739" t="inlineStr">
        <is>
          <t>00291929326040201</t>
        </is>
      </c>
      <c r="D739" t="inlineStr">
        <is>
          <t>P-LIPA</t>
        </is>
      </c>
      <c r="F739" t="n">
        <v>30</v>
      </c>
      <c r="J739" t="n">
        <v>72.89205774510013</v>
      </c>
      <c r="K739" t="n">
        <v>73.20644399638439</v>
      </c>
      <c r="L739" t="n">
        <v>73.00348950399166</v>
      </c>
      <c r="M739" t="n">
        <v>71.04483278454089</v>
      </c>
      <c r="BH739" t="n">
        <v>72.53700000000001</v>
      </c>
      <c r="CD739" t="n">
        <v>1.2</v>
      </c>
      <c r="CF739" t="n">
        <v>30</v>
      </c>
      <c r="CJ739" t="n">
        <v>89.74188122667144</v>
      </c>
      <c r="CK739" t="n">
        <v>88.67348311502921</v>
      </c>
      <c r="CL739" t="n">
        <v>90.7703604568204</v>
      </c>
      <c r="CM739" t="n">
        <v>86.32679761937983</v>
      </c>
      <c r="EH739" t="n">
        <v>88.878</v>
      </c>
      <c r="FD739" t="n">
        <v>1.86</v>
      </c>
      <c r="FF739" t="n">
        <v>30</v>
      </c>
      <c r="FJ739" t="n">
        <v>44.50910450573747</v>
      </c>
      <c r="FK739" t="n">
        <v>42.91458616368091</v>
      </c>
      <c r="FL739" t="n">
        <v>42.52563516362392</v>
      </c>
      <c r="FM739" t="n">
        <v>41.42900463357105</v>
      </c>
      <c r="HH739" t="n">
        <v>42.845</v>
      </c>
      <c r="ID739" t="n">
        <v>2.58</v>
      </c>
      <c r="IF739" t="n">
        <v>30</v>
      </c>
      <c r="IJ739" t="n">
        <v>113.4051782756838</v>
      </c>
      <c r="IK739" t="n">
        <v>116.7472107058634</v>
      </c>
      <c r="IL739" t="n">
        <v>117.7824331380971</v>
      </c>
      <c r="IM739" t="n">
        <v>111.6656818593208</v>
      </c>
      <c r="KH739" t="n">
        <v>114.9</v>
      </c>
      <c r="LD739" t="n">
        <v>2.15</v>
      </c>
    </row>
    <row r="740">
      <c r="A740" t="inlineStr">
        <is>
          <t>2026-04-02</t>
        </is>
      </c>
      <c r="B740" t="inlineStr">
        <is>
          <t>Optimum Wellness 37</t>
        </is>
      </c>
      <c r="C740" t="inlineStr">
        <is>
          <t>00291929326040201</t>
        </is>
      </c>
      <c r="D740" t="inlineStr">
        <is>
          <t>TCO2</t>
        </is>
      </c>
      <c r="F740" t="n">
        <v>20</v>
      </c>
      <c r="G740" t="n">
        <v>32.5</v>
      </c>
      <c r="H740" t="n">
        <v>682.5</v>
      </c>
      <c r="I740" t="n">
        <v>-617.5</v>
      </c>
      <c r="J740" t="n">
        <v>32.03856147645208</v>
      </c>
      <c r="K740" t="n">
        <v>30.06703181608434</v>
      </c>
      <c r="L740" t="n">
        <v>31.20258413346977</v>
      </c>
      <c r="M740" t="n">
        <v>32.29023897139368</v>
      </c>
      <c r="BH740" t="n">
        <v>31.4</v>
      </c>
      <c r="BS740" t="n">
        <v>-3.39</v>
      </c>
      <c r="CD740" t="n">
        <v>2.77</v>
      </c>
      <c r="CF740" t="n">
        <v>20</v>
      </c>
      <c r="CG740" t="n">
        <v>21.2</v>
      </c>
      <c r="CH740" t="n">
        <v>445.2</v>
      </c>
      <c r="CI740" t="n">
        <v>-402.8</v>
      </c>
      <c r="CJ740" t="n">
        <v>18.73363521496375</v>
      </c>
      <c r="CK740" t="n">
        <v>19.89288404052976</v>
      </c>
      <c r="CL740" t="n">
        <v>18.0745165977421</v>
      </c>
      <c r="CM740" t="n">
        <v>19.11294304452509</v>
      </c>
      <c r="EH740" t="n">
        <v>18.953</v>
      </c>
      <c r="ES740" t="n">
        <v>-10.6</v>
      </c>
      <c r="FD740" t="n">
        <v>3.47</v>
      </c>
      <c r="FF740" t="n">
        <v>20</v>
      </c>
      <c r="FG740" t="n">
        <v>17.3</v>
      </c>
      <c r="FH740" t="n">
        <v>363.3</v>
      </c>
      <c r="FI740" t="n">
        <v>-328.7</v>
      </c>
      <c r="FJ740" t="n">
        <v>17.32833806634877</v>
      </c>
      <c r="FK740" t="n">
        <v>20.80585513247985</v>
      </c>
      <c r="FL740" t="n">
        <v>15.01819085177653</v>
      </c>
      <c r="FM740" t="n">
        <v>19.89183612806264</v>
      </c>
      <c r="HH740" t="n">
        <v>18.261</v>
      </c>
      <c r="HS740" t="n">
        <v>5.56</v>
      </c>
      <c r="ID740" t="n">
        <v>12.4</v>
      </c>
      <c r="IF740" t="n">
        <v>20</v>
      </c>
      <c r="IG740" t="n">
        <v>26.7</v>
      </c>
      <c r="IH740" t="n">
        <v>560.6999999999999</v>
      </c>
      <c r="II740" t="n">
        <v>-507.3</v>
      </c>
      <c r="IJ740" t="n">
        <v>24.12430273135164</v>
      </c>
      <c r="IK740" t="n">
        <v>24.96584485767562</v>
      </c>
      <c r="IL740" t="n">
        <v>26.79410250315835</v>
      </c>
      <c r="IM740" t="n">
        <v>27.21415365518748</v>
      </c>
      <c r="KH740" t="n">
        <v>25.775</v>
      </c>
      <c r="KS740" t="n">
        <v>-3.47</v>
      </c>
      <c r="LD740" t="n">
        <v>4.94</v>
      </c>
    </row>
    <row r="741">
      <c r="A741" t="inlineStr">
        <is>
          <t>2026-04-02</t>
        </is>
      </c>
      <c r="B741" t="inlineStr">
        <is>
          <t>Optimum Wellness 37</t>
        </is>
      </c>
      <c r="C741" t="inlineStr">
        <is>
          <t>00291929326040201</t>
        </is>
      </c>
      <c r="D741" t="inlineStr">
        <is>
          <t>TRIG</t>
        </is>
      </c>
      <c r="F741" t="n">
        <v>15</v>
      </c>
      <c r="J741" t="n">
        <v>181.8931548204216</v>
      </c>
      <c r="K741" t="n">
        <v>181.5913732026885</v>
      </c>
      <c r="L741" t="n">
        <v>180.8761148161705</v>
      </c>
      <c r="M741" t="n">
        <v>181.2269945750328</v>
      </c>
      <c r="BH741" t="n">
        <v>181.397</v>
      </c>
      <c r="CD741" t="n">
        <v>0.21</v>
      </c>
      <c r="CF741" t="n">
        <v>15</v>
      </c>
      <c r="CJ741" t="n">
        <v>96.43664361441462</v>
      </c>
      <c r="CK741" t="n">
        <v>98.5781882277532</v>
      </c>
      <c r="CL741" t="n">
        <v>96.03089321922715</v>
      </c>
      <c r="CM741" t="n">
        <v>99.08383773814172</v>
      </c>
      <c r="EH741" t="n">
        <v>97.532</v>
      </c>
      <c r="FD741" t="n">
        <v>1.35</v>
      </c>
      <c r="FF741" t="n">
        <v>15</v>
      </c>
      <c r="FJ741" t="n">
        <v>113.9183634323245</v>
      </c>
      <c r="FK741" t="n">
        <v>112.8533093852627</v>
      </c>
      <c r="FL741" t="n">
        <v>110.9740606580633</v>
      </c>
      <c r="FM741" t="n">
        <v>111.1455006730328</v>
      </c>
      <c r="HH741" t="n">
        <v>112.223</v>
      </c>
      <c r="ID741" t="n">
        <v>1.09</v>
      </c>
      <c r="IF741" t="n">
        <v>15</v>
      </c>
      <c r="IJ741" t="n">
        <v>216.2671614906458</v>
      </c>
      <c r="IK741" t="n">
        <v>213.7521114037231</v>
      </c>
      <c r="IL741" t="n">
        <v>213.2853547221911</v>
      </c>
      <c r="IM741" t="n">
        <v>217.3119505816132</v>
      </c>
      <c r="KH741" t="n">
        <v>215.154</v>
      </c>
      <c r="LD741" t="n">
        <v>0.78</v>
      </c>
    </row>
    <row r="742">
      <c r="A742" t="inlineStr">
        <is>
          <t>2026-04-02</t>
        </is>
      </c>
      <c r="B742" t="inlineStr">
        <is>
          <t>Optimum Wellness 37</t>
        </is>
      </c>
      <c r="C742" t="inlineStr">
        <is>
          <t>00191929326040201</t>
        </is>
      </c>
      <c r="D742" t="inlineStr">
        <is>
          <t>BA</t>
        </is>
      </c>
      <c r="J742" t="n">
        <v>3.804261582390128</v>
      </c>
      <c r="K742" t="n">
        <v>4.415595864250648</v>
      </c>
      <c r="L742" t="n">
        <v>3.570022624298973</v>
      </c>
      <c r="M742" t="n">
        <v>3.866413313369012</v>
      </c>
      <c r="BH742" t="n">
        <v>3.914</v>
      </c>
      <c r="CD742" t="n">
        <v>7.92</v>
      </c>
      <c r="CJ742" t="n">
        <v>3.392592996713447</v>
      </c>
      <c r="CK742" t="n">
        <v>3.377433860145783</v>
      </c>
      <c r="CL742" t="n">
        <v>2.77893687824471</v>
      </c>
      <c r="CM742" t="n">
        <v>3.199301291369812</v>
      </c>
      <c r="EH742" t="n">
        <v>3.187</v>
      </c>
      <c r="FD742" t="n">
        <v>7.77</v>
      </c>
      <c r="FJ742" t="n">
        <v>12.57985501603174</v>
      </c>
      <c r="FK742" t="n">
        <v>24.93391215676763</v>
      </c>
      <c r="FL742" t="n">
        <v>11.86427547259564</v>
      </c>
      <c r="FM742" t="n">
        <v>12.66969395375806</v>
      </c>
      <c r="HH742" t="n">
        <v>15.512</v>
      </c>
      <c r="ID742" t="n">
        <v>35.13</v>
      </c>
      <c r="IJ742" t="n">
        <v>11.91871311192343</v>
      </c>
      <c r="IK742" t="n">
        <v>12.01885283119995</v>
      </c>
      <c r="IL742" t="n">
        <v>11.73703799663531</v>
      </c>
      <c r="IM742" t="n">
        <v>11.32417436424623</v>
      </c>
      <c r="KH742" t="n">
        <v>11.75</v>
      </c>
      <c r="LD742" t="n">
        <v>2.26</v>
      </c>
    </row>
    <row r="743">
      <c r="A743" t="inlineStr">
        <is>
          <t>2026-04-02</t>
        </is>
      </c>
      <c r="B743" t="inlineStr">
        <is>
          <t>Optimum Wellness 37</t>
        </is>
      </c>
      <c r="C743" t="inlineStr">
        <is>
          <t>00191929326040201</t>
        </is>
      </c>
      <c r="D743" t="inlineStr">
        <is>
          <t>Cl</t>
        </is>
      </c>
      <c r="F743" t="n">
        <v>5</v>
      </c>
      <c r="G743" t="n">
        <v>90</v>
      </c>
      <c r="H743" t="n">
        <v>540</v>
      </c>
      <c r="I743" t="n">
        <v>-360</v>
      </c>
      <c r="J743" t="n">
        <v>93.87555091218285</v>
      </c>
      <c r="K743" t="n">
        <v>90.66445093037086</v>
      </c>
      <c r="L743" t="n">
        <v>92.52373387747555</v>
      </c>
      <c r="M743" t="n">
        <v>93.94644128780268</v>
      </c>
      <c r="BH743" t="n">
        <v>92.753</v>
      </c>
      <c r="BS743" t="n">
        <v>3.06</v>
      </c>
      <c r="CD743" t="n">
        <v>1.44</v>
      </c>
      <c r="CF743" t="n">
        <v>5</v>
      </c>
      <c r="CG743" t="n">
        <v>91</v>
      </c>
      <c r="CH743" t="n">
        <v>546</v>
      </c>
      <c r="CI743" t="n">
        <v>-364</v>
      </c>
      <c r="CJ743" t="n">
        <v>88.31293981561022</v>
      </c>
      <c r="CK743" t="n">
        <v>84.77738197064025</v>
      </c>
      <c r="CL743" t="n">
        <v>85.73688434348098</v>
      </c>
      <c r="CM743" t="n">
        <v>89.26145455572107</v>
      </c>
      <c r="EH743" t="n">
        <v>87.02200000000001</v>
      </c>
      <c r="ES743" t="n">
        <v>-4.37</v>
      </c>
      <c r="FD743" t="n">
        <v>2.1</v>
      </c>
      <c r="FF743" t="n">
        <v>5</v>
      </c>
      <c r="FG743" t="n">
        <v>77</v>
      </c>
      <c r="FH743" t="n">
        <v>462</v>
      </c>
      <c r="FI743" t="n">
        <v>-308</v>
      </c>
      <c r="FJ743" t="n">
        <v>76.03768784117995</v>
      </c>
      <c r="FK743" t="n">
        <v>76.68705325070913</v>
      </c>
      <c r="FL743" t="n">
        <v>74.90692529568382</v>
      </c>
      <c r="FM743" t="n">
        <v>80.42869056596567</v>
      </c>
      <c r="HH743" t="n">
        <v>77.015</v>
      </c>
      <c r="HS743" t="n">
        <v>0.02</v>
      </c>
      <c r="ID743" t="n">
        <v>2.69</v>
      </c>
      <c r="IF743" t="n">
        <v>5</v>
      </c>
      <c r="IG743" t="n">
        <v>118</v>
      </c>
      <c r="IH743" t="n">
        <v>708</v>
      </c>
      <c r="II743" t="n">
        <v>-472</v>
      </c>
      <c r="IJ743" t="n">
        <v>118.3395723058398</v>
      </c>
      <c r="IK743" t="n">
        <v>120.027291672748</v>
      </c>
      <c r="IL743" t="n">
        <v>121.0922034658604</v>
      </c>
      <c r="IM743" t="n">
        <v>121.6181734720589</v>
      </c>
      <c r="KH743" t="n">
        <v>120.269</v>
      </c>
      <c r="KS743" t="n">
        <v>1.92</v>
      </c>
      <c r="LD743" t="n">
        <v>1.04</v>
      </c>
    </row>
    <row r="744">
      <c r="A744" t="inlineStr">
        <is>
          <t>2026-04-02</t>
        </is>
      </c>
      <c r="B744" t="inlineStr">
        <is>
          <t>Optimum Wellness 37</t>
        </is>
      </c>
      <c r="C744" t="inlineStr">
        <is>
          <t>00191929326040201</t>
        </is>
      </c>
      <c r="D744" t="inlineStr">
        <is>
          <t>K</t>
        </is>
      </c>
      <c r="G744" t="n">
        <v>3.9</v>
      </c>
      <c r="J744" t="n">
        <v>3.816434730760245</v>
      </c>
      <c r="K744" t="n">
        <v>3.874161270949815</v>
      </c>
      <c r="L744" t="n">
        <v>4.29619171347055</v>
      </c>
      <c r="M744" t="n">
        <v>3.855809053413373</v>
      </c>
      <c r="BH744" t="n">
        <v>3.961</v>
      </c>
      <c r="BS744" t="n">
        <v>1.56</v>
      </c>
      <c r="CD744" t="n">
        <v>4.92</v>
      </c>
      <c r="CG744" t="n">
        <v>6</v>
      </c>
      <c r="CJ744" t="n">
        <v>6.165111763619614</v>
      </c>
      <c r="CK744" t="n">
        <v>6.203353499751417</v>
      </c>
      <c r="CL744" t="n">
        <v>6.410080127273536</v>
      </c>
      <c r="CM744" t="n">
        <v>6.229524379365784</v>
      </c>
      <c r="EH744" t="n">
        <v>6.252</v>
      </c>
      <c r="ES744" t="n">
        <v>4.2</v>
      </c>
      <c r="FD744" t="n">
        <v>1.5</v>
      </c>
      <c r="FG744" t="n">
        <v>2.2</v>
      </c>
      <c r="FJ744" t="n">
        <v>2.417604517316424</v>
      </c>
      <c r="FK744" t="n">
        <v>2.459977571810093</v>
      </c>
      <c r="FL744" t="n">
        <v>2.344955464787168</v>
      </c>
      <c r="FM744" t="n">
        <v>2.453697937545032</v>
      </c>
      <c r="HH744" t="n">
        <v>2.419</v>
      </c>
      <c r="HS744" t="n">
        <v>9.960000000000001</v>
      </c>
      <c r="ID744" t="n">
        <v>1.89</v>
      </c>
      <c r="IG744" t="n">
        <v>8.4</v>
      </c>
      <c r="IJ744" t="n">
        <v>8.163833137021564</v>
      </c>
      <c r="IK744" t="n">
        <v>8.578006106206324</v>
      </c>
      <c r="IL744" t="n">
        <v>8.427172121715849</v>
      </c>
      <c r="IM744" t="n">
        <v>8.356111738047723</v>
      </c>
      <c r="KH744" t="n">
        <v>8.381</v>
      </c>
      <c r="KS744" t="n">
        <v>-0.22</v>
      </c>
      <c r="LD744" t="n">
        <v>1.78</v>
      </c>
    </row>
    <row r="745">
      <c r="A745" t="inlineStr">
        <is>
          <t>2026-04-02</t>
        </is>
      </c>
      <c r="B745" t="inlineStr">
        <is>
          <t>Optimum Wellness 37</t>
        </is>
      </c>
      <c r="C745" t="inlineStr">
        <is>
          <t>00191929326040201</t>
        </is>
      </c>
      <c r="D745" t="inlineStr">
        <is>
          <t>Na</t>
        </is>
      </c>
      <c r="G745" t="n">
        <v>141</v>
      </c>
      <c r="J745" t="n">
        <v>144.2146620255019</v>
      </c>
      <c r="K745" t="n">
        <v>143.7527427361133</v>
      </c>
      <c r="L745" t="n">
        <v>144.6297951334597</v>
      </c>
      <c r="M745" t="n">
        <v>147.2818455738261</v>
      </c>
      <c r="BH745" t="n">
        <v>144.97</v>
      </c>
      <c r="BS745" t="n">
        <v>2.82</v>
      </c>
      <c r="CD745" t="n">
        <v>0.95</v>
      </c>
      <c r="CG745" t="n">
        <v>129</v>
      </c>
      <c r="CJ745" t="n">
        <v>136.1893195187835</v>
      </c>
      <c r="CK745" t="n">
        <v>135.5764740240381</v>
      </c>
      <c r="CL745" t="n">
        <v>133.5631326425009</v>
      </c>
      <c r="CM745" t="n">
        <v>137.6015836121327</v>
      </c>
      <c r="EH745" t="n">
        <v>135.733</v>
      </c>
      <c r="ES745" t="n">
        <v>5.22</v>
      </c>
      <c r="FD745" t="n">
        <v>1.07</v>
      </c>
      <c r="FG745" t="n">
        <v>118</v>
      </c>
      <c r="FJ745" t="n">
        <v>123.7412683569668</v>
      </c>
      <c r="FK745" t="n">
        <v>125.8462369149839</v>
      </c>
      <c r="FL745" t="n">
        <v>123.2650000434267</v>
      </c>
      <c r="FM745" t="n">
        <v>123.1737089423958</v>
      </c>
      <c r="HH745" t="n">
        <v>124.007</v>
      </c>
      <c r="HS745" t="n">
        <v>5.09</v>
      </c>
      <c r="ID745" t="n">
        <v>0.87</v>
      </c>
      <c r="IG745" t="n">
        <v>166</v>
      </c>
      <c r="IJ745" t="n">
        <v>161.8397076424054</v>
      </c>
      <c r="IK745" t="n">
        <v>170.6154196052923</v>
      </c>
      <c r="IL745" t="n">
        <v>166.9271294837697</v>
      </c>
      <c r="IM745" t="n">
        <v>163.9890781039453</v>
      </c>
      <c r="KH745" t="n">
        <v>165.843</v>
      </c>
      <c r="KS745" t="n">
        <v>-0.09</v>
      </c>
      <c r="LD745" t="n">
        <v>1.99</v>
      </c>
    </row>
    <row r="746">
      <c r="A746" t="inlineStr">
        <is>
          <t>2026-04-02</t>
        </is>
      </c>
      <c r="B746" t="inlineStr">
        <is>
          <t>Optimum Wellness 37</t>
        </is>
      </c>
      <c r="C746" t="inlineStr">
        <is>
          <t>00191929326040201</t>
        </is>
      </c>
      <c r="D746" t="inlineStr">
        <is>
          <t>P-LIPA</t>
        </is>
      </c>
      <c r="F746" t="n">
        <v>30</v>
      </c>
      <c r="J746" t="n">
        <v>69.92318331758932</v>
      </c>
      <c r="K746" t="n">
        <v>68.74941376794547</v>
      </c>
      <c r="L746" t="n">
        <v>70.52625366420673</v>
      </c>
      <c r="M746" t="n">
        <v>73.11658721594821</v>
      </c>
      <c r="BH746" t="n">
        <v>70.57899999999999</v>
      </c>
      <c r="CD746" t="n">
        <v>2.26</v>
      </c>
      <c r="CF746" t="n">
        <v>30</v>
      </c>
      <c r="CJ746" t="n">
        <v>86.40952629287487</v>
      </c>
      <c r="CK746" t="n">
        <v>86.23113011099257</v>
      </c>
      <c r="CL746" t="n">
        <v>86.76620118120192</v>
      </c>
      <c r="CM746" t="n">
        <v>85.15220777346542</v>
      </c>
      <c r="EH746" t="n">
        <v>86.14</v>
      </c>
      <c r="FD746" t="n">
        <v>0.7</v>
      </c>
      <c r="FF746" t="n">
        <v>30</v>
      </c>
      <c r="FJ746" t="n">
        <v>43.92801928043858</v>
      </c>
      <c r="FK746" t="n">
        <v>41.2782868687143</v>
      </c>
      <c r="FL746" t="n">
        <v>42.88098027648545</v>
      </c>
      <c r="FM746" t="n">
        <v>39.8528725056692</v>
      </c>
      <c r="HH746" t="n">
        <v>41.985</v>
      </c>
      <c r="ID746" t="n">
        <v>3.69</v>
      </c>
      <c r="IF746" t="n">
        <v>30</v>
      </c>
      <c r="IJ746" t="n">
        <v>108.7750545309237</v>
      </c>
      <c r="IK746" t="n">
        <v>113.4318145604129</v>
      </c>
      <c r="IL746" t="n">
        <v>110.4499361665955</v>
      </c>
      <c r="IM746" t="n">
        <v>108.2979198575493</v>
      </c>
      <c r="KH746" t="n">
        <v>110.239</v>
      </c>
      <c r="LD746" t="n">
        <v>1.82</v>
      </c>
    </row>
    <row r="747">
      <c r="A747" t="inlineStr">
        <is>
          <t>2026-04-02</t>
        </is>
      </c>
      <c r="B747" t="inlineStr">
        <is>
          <t>Optimum Wellness 37</t>
        </is>
      </c>
      <c r="C747" t="inlineStr">
        <is>
          <t>00191929326040201</t>
        </is>
      </c>
      <c r="D747" t="inlineStr">
        <is>
          <t>TCO2</t>
        </is>
      </c>
      <c r="F747" t="n">
        <v>20</v>
      </c>
      <c r="G747" t="n">
        <v>32.5</v>
      </c>
      <c r="H747" t="n">
        <v>682.5</v>
      </c>
      <c r="I747" t="n">
        <v>-617.5</v>
      </c>
      <c r="J747" t="n">
        <v>32.20595968374081</v>
      </c>
      <c r="K747" t="n">
        <v>31.74192771849833</v>
      </c>
      <c r="L747" t="n">
        <v>32.27929177505165</v>
      </c>
      <c r="M747" t="n">
        <v>31.84343878465137</v>
      </c>
      <c r="BH747" t="n">
        <v>32.018</v>
      </c>
      <c r="BS747" t="n">
        <v>-1.48</v>
      </c>
      <c r="CD747" t="n">
        <v>0.72</v>
      </c>
      <c r="CF747" t="n">
        <v>20</v>
      </c>
      <c r="CG747" t="n">
        <v>21.2</v>
      </c>
      <c r="CH747" t="n">
        <v>445.2</v>
      </c>
      <c r="CI747" t="n">
        <v>-402.8</v>
      </c>
      <c r="CJ747" t="n">
        <v>18.98428790078083</v>
      </c>
      <c r="CK747" t="n">
        <v>20.096537614694</v>
      </c>
      <c r="CL747" t="n">
        <v>19.92573587722694</v>
      </c>
      <c r="CM747" t="n">
        <v>20.87735335878359</v>
      </c>
      <c r="EH747" t="n">
        <v>19.971</v>
      </c>
      <c r="ES747" t="n">
        <v>-5.8</v>
      </c>
      <c r="FD747" t="n">
        <v>3.37</v>
      </c>
      <c r="FF747" t="n">
        <v>20</v>
      </c>
      <c r="FG747" t="n">
        <v>17.3</v>
      </c>
      <c r="FH747" t="n">
        <v>363.3</v>
      </c>
      <c r="FI747" t="n">
        <v>-328.7</v>
      </c>
      <c r="FJ747" t="n">
        <v>16.92737172823485</v>
      </c>
      <c r="FK747" t="n">
        <v>19.58429449310118</v>
      </c>
      <c r="FL747" t="n">
        <v>17.25554560636786</v>
      </c>
      <c r="FM747" t="n">
        <v>21.44805671076287</v>
      </c>
      <c r="HH747" t="n">
        <v>18.804</v>
      </c>
      <c r="HS747" t="n">
        <v>8.69</v>
      </c>
      <c r="ID747" t="n">
        <v>9.779999999999999</v>
      </c>
      <c r="IF747" t="n">
        <v>20</v>
      </c>
      <c r="IG747" t="n">
        <v>26.7</v>
      </c>
      <c r="IH747" t="n">
        <v>560.6999999999999</v>
      </c>
      <c r="II747" t="n">
        <v>-507.3</v>
      </c>
      <c r="IJ747" t="n">
        <v>26.31964500244651</v>
      </c>
      <c r="IK747" t="n">
        <v>31.54786506989969</v>
      </c>
      <c r="IL747" t="n">
        <v>28.76980098661029</v>
      </c>
      <c r="IM747" t="n">
        <v>30.14904508331899</v>
      </c>
      <c r="KH747" t="n">
        <v>29.197</v>
      </c>
      <c r="KS747" t="n">
        <v>9.35</v>
      </c>
      <c r="LD747" t="n">
        <v>6.61</v>
      </c>
    </row>
    <row r="748">
      <c r="A748" t="inlineStr">
        <is>
          <t>2026-04-02</t>
        </is>
      </c>
      <c r="B748" t="inlineStr">
        <is>
          <t>Optimum Wellness 37</t>
        </is>
      </c>
      <c r="C748" t="inlineStr">
        <is>
          <t>00191929326040201</t>
        </is>
      </c>
      <c r="D748" t="inlineStr">
        <is>
          <t>TRIG</t>
        </is>
      </c>
      <c r="F748" t="n">
        <v>15</v>
      </c>
      <c r="J748" t="n">
        <v>179.2796498967682</v>
      </c>
      <c r="K748" t="n">
        <v>180.7521997368516</v>
      </c>
      <c r="L748" t="n">
        <v>181.0310501025428</v>
      </c>
      <c r="M748" t="n">
        <v>182.2761829259845</v>
      </c>
      <c r="BH748" t="n">
        <v>180.835</v>
      </c>
      <c r="CD748" t="n">
        <v>0.59</v>
      </c>
      <c r="CF748" t="n">
        <v>15</v>
      </c>
      <c r="CJ748" t="n">
        <v>97.55978387224083</v>
      </c>
      <c r="CK748" t="n">
        <v>96.71629705158557</v>
      </c>
      <c r="CL748" t="n">
        <v>95.98946315390441</v>
      </c>
      <c r="CM748" t="n">
        <v>97.35320617261317</v>
      </c>
      <c r="EH748" t="n">
        <v>96.905</v>
      </c>
      <c r="FD748" t="n">
        <v>0.63</v>
      </c>
      <c r="FF748" t="n">
        <v>15</v>
      </c>
      <c r="FJ748" t="n">
        <v>109.109994474575</v>
      </c>
      <c r="FK748" t="n">
        <v>111.8497952690668</v>
      </c>
      <c r="FL748" t="n">
        <v>109.7511775682066</v>
      </c>
      <c r="FM748" t="n">
        <v>108.6610662752368</v>
      </c>
      <c r="HH748" t="n">
        <v>109.843</v>
      </c>
      <c r="ID748" t="n">
        <v>1.11</v>
      </c>
      <c r="IF748" t="n">
        <v>15</v>
      </c>
      <c r="IJ748" t="n">
        <v>210.1414092556584</v>
      </c>
      <c r="IK748" t="n">
        <v>234.4612936673045</v>
      </c>
      <c r="IL748" t="n">
        <v>213.0977663142289</v>
      </c>
      <c r="IM748" t="n">
        <v>215.9210900972889</v>
      </c>
      <c r="KH748" t="n">
        <v>218.405</v>
      </c>
      <c r="LD748" t="n">
        <v>4.35</v>
      </c>
    </row>
    <row r="749">
      <c r="A749" t="inlineStr">
        <is>
          <t>2026-04-02</t>
        </is>
      </c>
      <c r="B749" t="inlineStr">
        <is>
          <t>S-DMA</t>
        </is>
      </c>
      <c r="C749" t="inlineStr">
        <is>
          <t>00100011326032601</t>
        </is>
      </c>
      <c r="D749" t="inlineStr">
        <is>
          <t>S-DMA</t>
        </is>
      </c>
      <c r="J749" t="n">
        <v>19.52445476281911</v>
      </c>
      <c r="K749" t="n">
        <v>14.84894309192433</v>
      </c>
      <c r="L749" t="n">
        <v>22.93224830404655</v>
      </c>
      <c r="M749" t="n">
        <v>14.90477231056224</v>
      </c>
      <c r="N749" t="n">
        <v>17.27145277961001</v>
      </c>
      <c r="O749" t="n">
        <v>16.97271073715688</v>
      </c>
      <c r="P749" t="n">
        <v>19.3230046780954</v>
      </c>
      <c r="Q749" t="n">
        <v>15.70228004648924</v>
      </c>
      <c r="BH749" t="n">
        <v>17.685</v>
      </c>
      <c r="CD749" t="n">
        <v>14.69</v>
      </c>
      <c r="CJ749" t="n">
        <v>56.24711862328397</v>
      </c>
      <c r="CK749" t="n">
        <v>58.64997692805695</v>
      </c>
      <c r="CL749" t="n">
        <v>65.2298049005234</v>
      </c>
      <c r="CM749" t="n">
        <v>53.31505991617893</v>
      </c>
      <c r="CN749" t="n">
        <v>45.801994534618</v>
      </c>
      <c r="CO749" t="n">
        <v>59.43511326720012</v>
      </c>
      <c r="CP749" t="n">
        <v>56.68143550414069</v>
      </c>
      <c r="CQ749" t="n">
        <v>50.0259500775297</v>
      </c>
      <c r="EH749" t="n">
        <v>55.673</v>
      </c>
      <c r="FD749" t="n">
        <v>10.05</v>
      </c>
    </row>
    <row r="750">
      <c r="A750" t="inlineStr">
        <is>
          <t>2026-04-01</t>
        </is>
      </c>
      <c r="B750" t="inlineStr">
        <is>
          <t>Optimum Wellness 37</t>
        </is>
      </c>
      <c r="C750" t="inlineStr">
        <is>
          <t>00291929326040101</t>
        </is>
      </c>
      <c r="D750" t="inlineStr">
        <is>
          <t>AMY</t>
        </is>
      </c>
      <c r="F750" t="n">
        <v>10</v>
      </c>
      <c r="G750" t="n">
        <v>78</v>
      </c>
      <c r="H750" t="n">
        <v>858</v>
      </c>
      <c r="I750" t="n">
        <v>-702</v>
      </c>
      <c r="J750" t="n">
        <v>75.5961599424503</v>
      </c>
      <c r="K750" t="n">
        <v>76.74724778631096</v>
      </c>
      <c r="L750" t="n">
        <v>76.009835125766</v>
      </c>
      <c r="M750" t="n">
        <v>404.4430558579425</v>
      </c>
      <c r="N750" t="n">
        <v>404.0225199582001</v>
      </c>
      <c r="O750" t="n">
        <v>400.8222985421068</v>
      </c>
      <c r="P750" t="n">
        <v>76.10345611682548</v>
      </c>
      <c r="Q750" t="n">
        <v>402.5390030766654</v>
      </c>
      <c r="R750" t="n">
        <v>77.28066361093613</v>
      </c>
      <c r="BH750" t="n">
        <v>176.896</v>
      </c>
      <c r="BS750" t="n">
        <v>126.79</v>
      </c>
      <c r="CD750" t="n">
        <v>85.2</v>
      </c>
      <c r="CF750" t="n">
        <v>10</v>
      </c>
      <c r="CG750" t="n">
        <v>404</v>
      </c>
      <c r="CH750" t="n">
        <v>4444</v>
      </c>
      <c r="CI750" t="n">
        <v>-3636</v>
      </c>
      <c r="CJ750" t="n">
        <v>76.26115356248422</v>
      </c>
      <c r="CK750" t="n">
        <v>75.96177675613187</v>
      </c>
      <c r="CL750" t="n">
        <v>76.60177694798764</v>
      </c>
      <c r="CM750" t="n">
        <v>76.78141548357205</v>
      </c>
      <c r="CN750" t="n">
        <v>395.0823580860483</v>
      </c>
      <c r="CO750" t="n">
        <v>393.1569171098646</v>
      </c>
      <c r="CP750" t="n">
        <v>394.8308569116368</v>
      </c>
      <c r="CQ750" t="n">
        <v>398.4972338781516</v>
      </c>
      <c r="CR750" t="n">
        <v>401.7503612247964</v>
      </c>
      <c r="EH750" t="n">
        <v>254.325</v>
      </c>
      <c r="ES750" t="n">
        <v>-37.05</v>
      </c>
      <c r="FD750" t="n">
        <v>62.58</v>
      </c>
      <c r="FF750" t="n">
        <v>10</v>
      </c>
      <c r="FG750" t="n">
        <v>63</v>
      </c>
      <c r="FH750" t="n">
        <v>693</v>
      </c>
      <c r="FI750" t="n">
        <v>-567</v>
      </c>
      <c r="FJ750" t="n">
        <v>64.02985929405661</v>
      </c>
      <c r="FK750" t="n">
        <v>65.02661498906382</v>
      </c>
      <c r="FL750" t="n">
        <v>64.33122333174825</v>
      </c>
      <c r="FM750" t="n">
        <v>64.38766036082869</v>
      </c>
      <c r="FN750" t="n">
        <v>64.57768968326008</v>
      </c>
      <c r="FO750" t="n">
        <v>63.99718170348311</v>
      </c>
      <c r="FP750" t="n">
        <v>64.59378125901098</v>
      </c>
      <c r="FQ750" t="n">
        <v>38.12893145445465</v>
      </c>
      <c r="FR750" t="n">
        <v>63.93651020637476</v>
      </c>
      <c r="FS750" t="n">
        <v>63.10710611088024</v>
      </c>
      <c r="FT750" t="n">
        <v>63.49254006169107</v>
      </c>
      <c r="HH750" t="n">
        <v>62.094</v>
      </c>
      <c r="HS750" t="n">
        <v>-1.44</v>
      </c>
      <c r="ID750" t="n">
        <v>10.75</v>
      </c>
      <c r="IF750" t="n">
        <v>10</v>
      </c>
      <c r="IG750" t="n">
        <v>297</v>
      </c>
      <c r="IH750" t="n">
        <v>3267</v>
      </c>
      <c r="II750" t="n">
        <v>-2673</v>
      </c>
      <c r="IJ750" t="n">
        <v>295.8993045532553</v>
      </c>
      <c r="IK750" t="n">
        <v>295.7507414492136</v>
      </c>
      <c r="IL750" t="n">
        <v>333.8343754742271</v>
      </c>
      <c r="IM750" t="n">
        <v>299.7044941374175</v>
      </c>
      <c r="IN750" t="n">
        <v>292.3090140715194</v>
      </c>
      <c r="IO750" t="n">
        <v>290.6812115150184</v>
      </c>
      <c r="IP750" t="n">
        <v>290.5308666486204</v>
      </c>
      <c r="IQ750" t="n">
        <v>292.6175569223316</v>
      </c>
      <c r="IR750" t="n">
        <v>293.423527916648</v>
      </c>
      <c r="KH750" t="n">
        <v>298.306</v>
      </c>
      <c r="KS750" t="n">
        <v>0.44</v>
      </c>
      <c r="LD750" t="n">
        <v>4.31</v>
      </c>
    </row>
    <row r="751">
      <c r="A751" t="inlineStr">
        <is>
          <t>2026-04-01</t>
        </is>
      </c>
      <c r="B751" t="inlineStr">
        <is>
          <t>Optimum Wellness 37</t>
        </is>
      </c>
      <c r="C751" t="inlineStr">
        <is>
          <t>00291929326040101</t>
        </is>
      </c>
      <c r="D751" t="inlineStr">
        <is>
          <t>AST</t>
        </is>
      </c>
      <c r="F751" t="n">
        <v>15</v>
      </c>
      <c r="G751" t="n">
        <v>44</v>
      </c>
      <c r="H751" t="n">
        <v>704</v>
      </c>
      <c r="I751" t="n">
        <v>-616</v>
      </c>
      <c r="J751" t="n">
        <v>42.62822140509282</v>
      </c>
      <c r="K751" t="n">
        <v>45.41020121552111</v>
      </c>
      <c r="L751" t="n">
        <v>42.31687280587475</v>
      </c>
      <c r="M751" t="n">
        <v>221.6434462628447</v>
      </c>
      <c r="N751" t="n">
        <v>222.0267130345717</v>
      </c>
      <c r="O751" t="n">
        <v>223.1293469964843</v>
      </c>
      <c r="P751" t="n">
        <v>43.40347493197063</v>
      </c>
      <c r="Q751" t="n">
        <v>220.5812568674481</v>
      </c>
      <c r="R751" t="n">
        <v>43.79356123700996</v>
      </c>
      <c r="BH751" t="n">
        <v>99.027</v>
      </c>
      <c r="BS751" t="n">
        <v>125.06</v>
      </c>
      <c r="CD751" t="n">
        <v>82.7</v>
      </c>
      <c r="CF751" t="n">
        <v>15</v>
      </c>
      <c r="CG751" t="n">
        <v>221</v>
      </c>
      <c r="CH751" t="n">
        <v>3536</v>
      </c>
      <c r="CI751" t="n">
        <v>-3094</v>
      </c>
      <c r="CJ751" t="n">
        <v>42.52625658296687</v>
      </c>
      <c r="CK751" t="n">
        <v>42.36466342699185</v>
      </c>
      <c r="CL751" t="n">
        <v>46.05354068884741</v>
      </c>
      <c r="CM751" t="n">
        <v>44.82944565407037</v>
      </c>
      <c r="CN751" t="n">
        <v>218.7361239088535</v>
      </c>
      <c r="CO751" t="n">
        <v>225.6616689643722</v>
      </c>
      <c r="CP751" t="n">
        <v>225.0755505846455</v>
      </c>
      <c r="CQ751" t="n">
        <v>225.9444223104638</v>
      </c>
      <c r="CR751" t="n">
        <v>226.8693012122587</v>
      </c>
      <c r="EH751" t="n">
        <v>144.229</v>
      </c>
      <c r="ES751" t="n">
        <v>-34.74</v>
      </c>
      <c r="FD751" t="n">
        <v>62.21</v>
      </c>
      <c r="FF751" t="n">
        <v>15</v>
      </c>
      <c r="FG751" t="n">
        <v>45</v>
      </c>
      <c r="FH751" t="n">
        <v>720</v>
      </c>
      <c r="FI751" t="n">
        <v>-630</v>
      </c>
      <c r="FJ751" t="n">
        <v>45.04898906354632</v>
      </c>
      <c r="FK751" t="n">
        <v>46.521588483932</v>
      </c>
      <c r="FL751" t="n">
        <v>44.33927389951206</v>
      </c>
      <c r="FM751" t="n">
        <v>47.00443918651393</v>
      </c>
      <c r="FN751" t="n">
        <v>45.55447772320871</v>
      </c>
      <c r="FO751" t="n">
        <v>47.83123849085104</v>
      </c>
      <c r="FP751" t="n">
        <v>45.92815448122629</v>
      </c>
      <c r="FQ751" t="n">
        <v>-3.635880343043159</v>
      </c>
      <c r="FR751" t="n">
        <v>42.19575242215746</v>
      </c>
      <c r="FS751" t="n">
        <v>44.04585079558824</v>
      </c>
      <c r="FT751" t="n">
        <v>44.27259472474523</v>
      </c>
      <c r="HH751" t="n">
        <v>41.593</v>
      </c>
      <c r="HS751" t="n">
        <v>-7.57</v>
      </c>
      <c r="ID751" t="n">
        <v>30.36</v>
      </c>
      <c r="IF751" t="n">
        <v>15</v>
      </c>
      <c r="IG751" t="n">
        <v>282</v>
      </c>
      <c r="IH751" t="n">
        <v>4512</v>
      </c>
      <c r="II751" t="n">
        <v>-3948</v>
      </c>
      <c r="IJ751" t="n">
        <v>282.8237336800112</v>
      </c>
      <c r="IK751" t="n">
        <v>284.3001441208695</v>
      </c>
      <c r="IL751" t="n">
        <v>274.617480005291</v>
      </c>
      <c r="IM751" t="n">
        <v>283.6530727096641</v>
      </c>
      <c r="IN751" t="n">
        <v>278.4585562909045</v>
      </c>
      <c r="IO751" t="n">
        <v>273.5854059033093</v>
      </c>
      <c r="IP751" t="n">
        <v>280.0872604205098</v>
      </c>
      <c r="IQ751" t="n">
        <v>277.2184683090879</v>
      </c>
      <c r="IR751" t="n">
        <v>284.3365366069972</v>
      </c>
      <c r="KH751" t="n">
        <v>279.898</v>
      </c>
      <c r="KS751" t="n">
        <v>-0.75</v>
      </c>
      <c r="LD751" t="n">
        <v>1.4</v>
      </c>
    </row>
    <row r="752">
      <c r="A752" t="inlineStr">
        <is>
          <t>2026-04-01</t>
        </is>
      </c>
      <c r="B752" t="inlineStr">
        <is>
          <t>Optimum Wellness 37</t>
        </is>
      </c>
      <c r="C752" t="inlineStr">
        <is>
          <t>00291929326040101</t>
        </is>
      </c>
      <c r="D752" t="inlineStr">
        <is>
          <t>CHOL</t>
        </is>
      </c>
      <c r="F752" t="n">
        <v>10</v>
      </c>
      <c r="G752" t="n">
        <v>228</v>
      </c>
      <c r="H752" t="n">
        <v>2508</v>
      </c>
      <c r="I752" t="n">
        <v>-2052</v>
      </c>
      <c r="J752" t="n">
        <v>234.9611215829942</v>
      </c>
      <c r="K752" t="n">
        <v>237.8062809559399</v>
      </c>
      <c r="L752" t="n">
        <v>236.4887060993476</v>
      </c>
      <c r="M752" t="n">
        <v>103.2922228816972</v>
      </c>
      <c r="N752" t="n">
        <v>102.9575692990503</v>
      </c>
      <c r="O752" t="n">
        <v>104.86572309363</v>
      </c>
      <c r="P752" t="n">
        <v>234.4362260774368</v>
      </c>
      <c r="Q752" t="n">
        <v>105.5018201779028</v>
      </c>
      <c r="R752" t="n">
        <v>237.3870991840614</v>
      </c>
      <c r="BH752" t="n">
        <v>195.856</v>
      </c>
      <c r="BS752" t="n">
        <v>-14.1</v>
      </c>
      <c r="CD752" t="n">
        <v>31.22</v>
      </c>
      <c r="CF752" t="n">
        <v>10</v>
      </c>
      <c r="CG752" t="n">
        <v>99</v>
      </c>
      <c r="CH752" t="n">
        <v>1089</v>
      </c>
      <c r="CI752" t="n">
        <v>-891</v>
      </c>
      <c r="CJ752" t="n">
        <v>234.1706772477794</v>
      </c>
      <c r="CK752" t="n">
        <v>236.427902295002</v>
      </c>
      <c r="CL752" t="n">
        <v>237.7675599685572</v>
      </c>
      <c r="CM752" t="n">
        <v>231.0535572766624</v>
      </c>
      <c r="CN752" t="n">
        <v>100.1082116676041</v>
      </c>
      <c r="CO752" t="n">
        <v>103.2089334388906</v>
      </c>
      <c r="CP752" t="n">
        <v>100.1357195621472</v>
      </c>
      <c r="CQ752" t="n">
        <v>104.6519090861543</v>
      </c>
      <c r="CR752" t="n">
        <v>100.4831661607219</v>
      </c>
      <c r="EH752" t="n">
        <v>160.89</v>
      </c>
      <c r="ES752" t="n">
        <v>62.51</v>
      </c>
      <c r="FD752" t="n">
        <v>41.14</v>
      </c>
      <c r="FF752" t="n">
        <v>10</v>
      </c>
      <c r="FG752" t="n">
        <v>115</v>
      </c>
      <c r="FH752" t="n">
        <v>1265</v>
      </c>
      <c r="FI752" t="n">
        <v>-1035</v>
      </c>
      <c r="FJ752" t="n">
        <v>118.545874782466</v>
      </c>
      <c r="FK752" t="n">
        <v>115.6381950369832</v>
      </c>
      <c r="FL752" t="n">
        <v>117.8359752238506</v>
      </c>
      <c r="FM752" t="n">
        <v>119.5071322007682</v>
      </c>
      <c r="FN752" t="n">
        <v>116.5011102330571</v>
      </c>
      <c r="FO752" t="n">
        <v>119.236782941054</v>
      </c>
      <c r="FP752" t="n">
        <v>117.8504842835345</v>
      </c>
      <c r="FQ752" t="n">
        <v>15.46979773762226</v>
      </c>
      <c r="FR752" t="n">
        <v>118.0084790506758</v>
      </c>
      <c r="FS752" t="n">
        <v>117.6592485725082</v>
      </c>
      <c r="FT752" t="n">
        <v>108.3235267492541</v>
      </c>
      <c r="HH752" t="n">
        <v>109.699</v>
      </c>
      <c r="HS752" t="n">
        <v>-4.61</v>
      </c>
      <c r="ID752" t="n">
        <v>23.95</v>
      </c>
      <c r="IF752" t="n">
        <v>10</v>
      </c>
      <c r="IG752" t="n">
        <v>269</v>
      </c>
      <c r="IH752" t="n">
        <v>2959</v>
      </c>
      <c r="II752" t="n">
        <v>-2421</v>
      </c>
      <c r="IJ752" t="n">
        <v>271.1977846205133</v>
      </c>
      <c r="IK752" t="n">
        <v>271.4228121879846</v>
      </c>
      <c r="IL752" t="n">
        <v>271.27962437519</v>
      </c>
      <c r="IM752" t="n">
        <v>275.9012301555445</v>
      </c>
      <c r="IN752" t="n">
        <v>270.7565213778682</v>
      </c>
      <c r="IO752" t="n">
        <v>267.3325295780998</v>
      </c>
      <c r="IP752" t="n">
        <v>264.1262954028776</v>
      </c>
      <c r="IQ752" t="n">
        <v>266.3947573338427</v>
      </c>
      <c r="IR752" t="n">
        <v>267.8786855033029</v>
      </c>
      <c r="KH752" t="n">
        <v>269.588</v>
      </c>
      <c r="KS752" t="n">
        <v>0.22</v>
      </c>
      <c r="LD752" t="n">
        <v>1.22</v>
      </c>
    </row>
    <row r="753">
      <c r="A753" t="inlineStr">
        <is>
          <t>2026-04-01</t>
        </is>
      </c>
      <c r="B753" t="inlineStr">
        <is>
          <t>Optimum Wellness 37</t>
        </is>
      </c>
      <c r="C753" t="inlineStr">
        <is>
          <t>00291929326040101</t>
        </is>
      </c>
      <c r="D753" t="inlineStr">
        <is>
          <t>CK</t>
        </is>
      </c>
      <c r="F753" t="n">
        <v>20</v>
      </c>
      <c r="J753" t="n">
        <v>130.9382255570257</v>
      </c>
      <c r="K753" t="n">
        <v>139.771664646733</v>
      </c>
      <c r="L753" t="n">
        <v>128.420493893728</v>
      </c>
      <c r="M753" t="n">
        <v>492.8400887386146</v>
      </c>
      <c r="N753" t="n">
        <v>485.4122323339582</v>
      </c>
      <c r="O753" t="n">
        <v>489.4141988745258</v>
      </c>
      <c r="P753" t="n">
        <v>134.2165691942255</v>
      </c>
      <c r="Q753" t="n">
        <v>488.8281264140305</v>
      </c>
      <c r="R753" t="n">
        <v>134.9734808684785</v>
      </c>
      <c r="BH753" t="n">
        <v>243.365</v>
      </c>
      <c r="CD753" t="n">
        <v>67.34</v>
      </c>
      <c r="CF753" t="n">
        <v>20</v>
      </c>
      <c r="CJ753" t="n">
        <v>134.0783993894394</v>
      </c>
      <c r="CK753" t="n">
        <v>138.6518928814079</v>
      </c>
      <c r="CL753" t="n">
        <v>134.6245593706254</v>
      </c>
      <c r="CM753" t="n">
        <v>136.783757764285</v>
      </c>
      <c r="CN753" t="n">
        <v>472.0821660577309</v>
      </c>
      <c r="CO753" t="n">
        <v>487.7824220368847</v>
      </c>
      <c r="CP753" t="n">
        <v>478.3304591261151</v>
      </c>
      <c r="CQ753" t="n">
        <v>494.9262638042524</v>
      </c>
      <c r="CR753" t="n">
        <v>481.7819680897054</v>
      </c>
      <c r="EH753" t="n">
        <v>328.782</v>
      </c>
      <c r="FD753" t="n">
        <v>52.47</v>
      </c>
      <c r="FF753" t="n">
        <v>20</v>
      </c>
      <c r="FJ753" t="n">
        <v>73.33836499254595</v>
      </c>
      <c r="FK753" t="n">
        <v>78.86280469764836</v>
      </c>
      <c r="FL753" t="n">
        <v>70.55286360591961</v>
      </c>
      <c r="FM753" t="n">
        <v>71.38429440800553</v>
      </c>
      <c r="FN753" t="n">
        <v>69.86707641846003</v>
      </c>
      <c r="FO753" t="n">
        <v>80.42666406469385</v>
      </c>
      <c r="FP753" t="n">
        <v>73.45613268165752</v>
      </c>
      <c r="FQ753" t="n">
        <v>7.24111873250833</v>
      </c>
      <c r="FR753" t="n">
        <v>72.16714568199359</v>
      </c>
      <c r="FS753" t="n">
        <v>66.68378061149991</v>
      </c>
      <c r="FT753" t="n">
        <v>70.08455773466743</v>
      </c>
      <c r="HH753" t="n">
        <v>67.578</v>
      </c>
      <c r="ID753" t="n">
        <v>25.47</v>
      </c>
      <c r="IF753" t="n">
        <v>20</v>
      </c>
      <c r="IJ753" t="n">
        <v>610.02293144192</v>
      </c>
      <c r="IK753" t="n">
        <v>620.3241137855377</v>
      </c>
      <c r="IL753" t="n">
        <v>602.3266920911439</v>
      </c>
      <c r="IM753" t="n">
        <v>609.6200348225007</v>
      </c>
      <c r="IN753" t="n">
        <v>598.5455659740992</v>
      </c>
      <c r="IO753" t="n">
        <v>613.8451116790901</v>
      </c>
      <c r="IP753" t="n">
        <v>624.4643185624443</v>
      </c>
      <c r="IQ753" t="n">
        <v>622.3234744436608</v>
      </c>
      <c r="IR753" t="n">
        <v>620.979472227736</v>
      </c>
      <c r="KH753" t="n">
        <v>613.606</v>
      </c>
      <c r="LD753" t="n">
        <v>1.41</v>
      </c>
    </row>
    <row r="754">
      <c r="A754" t="inlineStr">
        <is>
          <t>2026-04-01</t>
        </is>
      </c>
      <c r="B754" t="inlineStr">
        <is>
          <t>Optimum Wellness 37</t>
        </is>
      </c>
      <c r="C754" t="inlineStr">
        <is>
          <t>00291929326040101</t>
        </is>
      </c>
      <c r="D754" t="inlineStr">
        <is>
          <t>Ca</t>
        </is>
      </c>
      <c r="G754" t="n">
        <v>9.1</v>
      </c>
      <c r="J754" t="n">
        <v>9.348339846766788</v>
      </c>
      <c r="K754" t="n">
        <v>9.558131887940675</v>
      </c>
      <c r="L754" t="n">
        <v>9.404389829859131</v>
      </c>
      <c r="M754" t="n">
        <v>12.64164892076567</v>
      </c>
      <c r="N754" t="n">
        <v>12.39989863316985</v>
      </c>
      <c r="O754" t="n">
        <v>12.50410329087876</v>
      </c>
      <c r="P754" t="n">
        <v>9.355860821090722</v>
      </c>
      <c r="Q754" t="n">
        <v>12.27615256971504</v>
      </c>
      <c r="R754" t="n">
        <v>10.07810137157719</v>
      </c>
      <c r="BH754" t="n">
        <v>10.436</v>
      </c>
      <c r="BS754" t="n">
        <v>14.68</v>
      </c>
      <c r="CD754" t="n">
        <v>13.03</v>
      </c>
      <c r="CG754" t="n">
        <v>12.4</v>
      </c>
      <c r="CJ754" t="n">
        <v>9.662335067551904</v>
      </c>
      <c r="CK754" t="n">
        <v>9.416433537290052</v>
      </c>
      <c r="CL754" t="n">
        <v>9.499077258852768</v>
      </c>
      <c r="CM754" t="n">
        <v>9.580186973575653</v>
      </c>
      <c r="CN754" t="n">
        <v>12.60896872792277</v>
      </c>
      <c r="CO754" t="n">
        <v>12.4851295427562</v>
      </c>
      <c r="CP754" t="n">
        <v>12.20904210107547</v>
      </c>
      <c r="CQ754" t="n">
        <v>12.47862912226935</v>
      </c>
      <c r="CR754" t="n">
        <v>12.27913611429564</v>
      </c>
      <c r="EH754" t="n">
        <v>11.135</v>
      </c>
      <c r="ES754" t="n">
        <v>-10.2</v>
      </c>
      <c r="FD754" t="n">
        <v>12.87</v>
      </c>
      <c r="FG754" t="n">
        <v>5.9</v>
      </c>
      <c r="FJ754" t="n">
        <v>5.970797217058744</v>
      </c>
      <c r="FK754" t="n">
        <v>5.953087482754198</v>
      </c>
      <c r="FL754" t="n">
        <v>5.84031501193478</v>
      </c>
      <c r="FM754" t="n">
        <v>5.854995831465609</v>
      </c>
      <c r="FN754" t="n">
        <v>5.935015072288576</v>
      </c>
      <c r="FO754" t="n">
        <v>5.820245930892075</v>
      </c>
      <c r="FP754" t="n">
        <v>6.028462087677458</v>
      </c>
      <c r="FQ754" t="n">
        <v>-1.449032159289057</v>
      </c>
      <c r="FR754" t="n">
        <v>5.870591559367544</v>
      </c>
      <c r="FS754" t="n">
        <v>5.972138886609459</v>
      </c>
      <c r="FT754" t="n">
        <v>5.839784821838615</v>
      </c>
      <c r="HH754" t="n">
        <v>5.382</v>
      </c>
      <c r="HS754" t="n">
        <v>-8.779999999999999</v>
      </c>
      <c r="ID754" t="n">
        <v>35.22</v>
      </c>
      <c r="IG754" t="n">
        <v>12.7</v>
      </c>
      <c r="IJ754" t="n">
        <v>12.70729380788896</v>
      </c>
      <c r="IK754" t="n">
        <v>12.65409937632897</v>
      </c>
      <c r="IL754" t="n">
        <v>12.7727088954462</v>
      </c>
      <c r="IM754" t="n">
        <v>12.48164094657976</v>
      </c>
      <c r="IN754" t="n">
        <v>12.78392561457255</v>
      </c>
      <c r="IO754" t="n">
        <v>12.64409543705688</v>
      </c>
      <c r="IP754" t="n">
        <v>12.81122796153081</v>
      </c>
      <c r="IQ754" t="n">
        <v>12.4005717303749</v>
      </c>
      <c r="IR754" t="n">
        <v>12.41743083674906</v>
      </c>
      <c r="KH754" t="n">
        <v>12.63</v>
      </c>
      <c r="KS754" t="n">
        <v>-0.55</v>
      </c>
      <c r="LD754" t="n">
        <v>1.19</v>
      </c>
    </row>
    <row r="755">
      <c r="A755" t="inlineStr">
        <is>
          <t>2026-04-01</t>
        </is>
      </c>
      <c r="B755" t="inlineStr">
        <is>
          <t>Optimum Wellness 37</t>
        </is>
      </c>
      <c r="C755" t="inlineStr">
        <is>
          <t>00291929326040101</t>
        </is>
      </c>
      <c r="D755" t="inlineStr">
        <is>
          <t>GGT</t>
        </is>
      </c>
      <c r="F755" t="n">
        <v>15</v>
      </c>
      <c r="G755" t="n">
        <v>57</v>
      </c>
      <c r="H755" t="n">
        <v>912</v>
      </c>
      <c r="I755" t="n">
        <v>-798</v>
      </c>
      <c r="J755" t="n">
        <v>58.72403758352685</v>
      </c>
      <c r="K755" t="n">
        <v>59.56369157156352</v>
      </c>
      <c r="L755" t="n">
        <v>59.16180967507502</v>
      </c>
      <c r="M755" t="n">
        <v>173.0689906376338</v>
      </c>
      <c r="N755" t="n">
        <v>168.4938777739118</v>
      </c>
      <c r="O755" t="n">
        <v>172.1825026697538</v>
      </c>
      <c r="P755" t="n">
        <v>57.79845022549685</v>
      </c>
      <c r="Q755" t="n">
        <v>172.7217099543717</v>
      </c>
      <c r="R755" t="n">
        <v>59.84903447999304</v>
      </c>
      <c r="BH755" t="n">
        <v>93.752</v>
      </c>
      <c r="BS755" t="n">
        <v>64.48</v>
      </c>
      <c r="CD755" t="n">
        <v>55.38</v>
      </c>
      <c r="CF755" t="n">
        <v>15</v>
      </c>
      <c r="CG755" t="n">
        <v>164</v>
      </c>
      <c r="CH755" t="n">
        <v>2624</v>
      </c>
      <c r="CI755" t="n">
        <v>-2296</v>
      </c>
      <c r="CJ755" t="n">
        <v>57.9716923347081</v>
      </c>
      <c r="CK755" t="n">
        <v>57.85271181553452</v>
      </c>
      <c r="CL755" t="n">
        <v>61.33792233197654</v>
      </c>
      <c r="CM755" t="n">
        <v>58.48453867886664</v>
      </c>
      <c r="CN755" t="n">
        <v>169.1731000822238</v>
      </c>
      <c r="CO755" t="n">
        <v>169.768324296332</v>
      </c>
      <c r="CP755" t="n">
        <v>167.645958144843</v>
      </c>
      <c r="CQ755" t="n">
        <v>171.5088095125771</v>
      </c>
      <c r="CR755" t="n">
        <v>171.1260442078325</v>
      </c>
      <c r="EH755" t="n">
        <v>120.541</v>
      </c>
      <c r="ES755" t="n">
        <v>-26.5</v>
      </c>
      <c r="FD755" t="n">
        <v>45.74</v>
      </c>
      <c r="FF755" t="n">
        <v>15</v>
      </c>
      <c r="FG755" t="n">
        <v>23</v>
      </c>
      <c r="FH755" t="n">
        <v>368</v>
      </c>
      <c r="FI755" t="n">
        <v>-322</v>
      </c>
      <c r="FJ755" t="n">
        <v>24.41295986125035</v>
      </c>
      <c r="FK755" t="n">
        <v>23.80084154368809</v>
      </c>
      <c r="FL755" t="n">
        <v>23.88345131367729</v>
      </c>
      <c r="FM755" t="n">
        <v>23.13200602195528</v>
      </c>
      <c r="FN755" t="n">
        <v>23.65313809709584</v>
      </c>
      <c r="FO755" t="n">
        <v>22.34983513625385</v>
      </c>
      <c r="FP755" t="n">
        <v>24.75255768560257</v>
      </c>
      <c r="FQ755" t="n">
        <v>-5.579887922532267</v>
      </c>
      <c r="FR755" t="n">
        <v>22.88084485033025</v>
      </c>
      <c r="FS755" t="n">
        <v>24.30727651642292</v>
      </c>
      <c r="FT755" t="n">
        <v>23.03554417556366</v>
      </c>
      <c r="HH755" t="n">
        <v>21.564</v>
      </c>
      <c r="HS755" t="n">
        <v>-6.24</v>
      </c>
      <c r="ID755" t="n">
        <v>35.03</v>
      </c>
      <c r="IF755" t="n">
        <v>15</v>
      </c>
      <c r="IG755" t="n">
        <v>126</v>
      </c>
      <c r="IH755" t="n">
        <v>2016</v>
      </c>
      <c r="II755" t="n">
        <v>-1764</v>
      </c>
      <c r="IJ755" t="n">
        <v>134.2308542692786</v>
      </c>
      <c r="IK755" t="n">
        <v>130.3054451715875</v>
      </c>
      <c r="IL755" t="n">
        <v>130.3805455092024</v>
      </c>
      <c r="IM755" t="n">
        <v>132.5794824349712</v>
      </c>
      <c r="IN755" t="n">
        <v>130.2767433565274</v>
      </c>
      <c r="IO755" t="n">
        <v>130.0383772408892</v>
      </c>
      <c r="IP755" t="n">
        <v>131.1510008831161</v>
      </c>
      <c r="IQ755" t="n">
        <v>126.7862276729081</v>
      </c>
      <c r="IR755" t="n">
        <v>133.0032643462513</v>
      </c>
      <c r="KH755" t="n">
        <v>130.972</v>
      </c>
      <c r="KS755" t="n">
        <v>3.95</v>
      </c>
      <c r="LD755" t="n">
        <v>1.55</v>
      </c>
    </row>
    <row r="756">
      <c r="A756" t="inlineStr">
        <is>
          <t>2026-04-01</t>
        </is>
      </c>
      <c r="B756" t="inlineStr">
        <is>
          <t>Optimum Wellness 37</t>
        </is>
      </c>
      <c r="C756" t="inlineStr">
        <is>
          <t>00291929326040101</t>
        </is>
      </c>
      <c r="D756" t="inlineStr">
        <is>
          <t>PHOS</t>
        </is>
      </c>
      <c r="F756" t="n">
        <v>10</v>
      </c>
      <c r="G756" t="n">
        <v>3.3</v>
      </c>
      <c r="H756" t="n">
        <v>36.3</v>
      </c>
      <c r="I756" t="n">
        <v>-29.7</v>
      </c>
      <c r="J756" t="n">
        <v>3.193144253188078</v>
      </c>
      <c r="K756" t="n">
        <v>3.209091516304875</v>
      </c>
      <c r="L756" t="n">
        <v>3.155857409419863</v>
      </c>
      <c r="M756" t="n">
        <v>7.150884734009487</v>
      </c>
      <c r="N756" t="n">
        <v>7.211194956862345</v>
      </c>
      <c r="O756" t="n">
        <v>7.084294944440471</v>
      </c>
      <c r="P756" t="n">
        <v>3.223929216072535</v>
      </c>
      <c r="Q756" t="n">
        <v>6.986974097144971</v>
      </c>
      <c r="R756" t="n">
        <v>3.254107187789986</v>
      </c>
      <c r="BH756" t="n">
        <v>4.413</v>
      </c>
      <c r="BS756" t="n">
        <v>33.72</v>
      </c>
      <c r="CD756" t="n">
        <v>40.75</v>
      </c>
      <c r="CF756" t="n">
        <v>10</v>
      </c>
      <c r="CG756" t="n">
        <v>7.2</v>
      </c>
      <c r="CH756" t="n">
        <v>79.2</v>
      </c>
      <c r="CI756" t="n">
        <v>-64.8</v>
      </c>
      <c r="CJ756" t="n">
        <v>3.151546934532971</v>
      </c>
      <c r="CK756" t="n">
        <v>3.220875545989986</v>
      </c>
      <c r="CL756" t="n">
        <v>3.184156689652512</v>
      </c>
      <c r="CM756" t="n">
        <v>3.13683354149081</v>
      </c>
      <c r="CN756" t="n">
        <v>6.956274687312435</v>
      </c>
      <c r="CO756" t="n">
        <v>7.078497461428183</v>
      </c>
      <c r="CP756" t="n">
        <v>6.984291004252377</v>
      </c>
      <c r="CQ756" t="n">
        <v>7.103817072923627</v>
      </c>
      <c r="CR756" t="n">
        <v>7.005230184092403</v>
      </c>
      <c r="EH756" t="n">
        <v>5.314</v>
      </c>
      <c r="ES756" t="n">
        <v>-26.2</v>
      </c>
      <c r="FD756" t="n">
        <v>36.04</v>
      </c>
      <c r="FF756" t="n">
        <v>10</v>
      </c>
      <c r="FG756" t="n">
        <v>1.9</v>
      </c>
      <c r="FH756" t="n">
        <v>20.9</v>
      </c>
      <c r="FI756" t="n">
        <v>-17.1</v>
      </c>
      <c r="FJ756" t="n">
        <v>1.927985179789024</v>
      </c>
      <c r="FK756" t="n">
        <v>1.918540419885946</v>
      </c>
      <c r="FL756" t="n">
        <v>1.934160624413262</v>
      </c>
      <c r="FM756" t="n">
        <v>1.887435408943163</v>
      </c>
      <c r="FN756" t="n">
        <v>1.906582957323238</v>
      </c>
      <c r="FO756" t="n">
        <v>1.923121554747143</v>
      </c>
      <c r="FP756" t="n">
        <v>1.956451422236181</v>
      </c>
      <c r="FQ756" t="n">
        <v>-0.1391983853531582</v>
      </c>
      <c r="FR756" t="n">
        <v>1.893675903368323</v>
      </c>
      <c r="FS756" t="n">
        <v>1.894554782768555</v>
      </c>
      <c r="FT756" t="n">
        <v>1.906526836106717</v>
      </c>
      <c r="HH756" t="n">
        <v>1.768</v>
      </c>
      <c r="HS756" t="n">
        <v>-6.97</v>
      </c>
      <c r="ID756" t="n">
        <v>29.94</v>
      </c>
      <c r="IF756" t="n">
        <v>10</v>
      </c>
      <c r="IG756" t="n">
        <v>7.2</v>
      </c>
      <c r="IH756" t="n">
        <v>79.2</v>
      </c>
      <c r="II756" t="n">
        <v>-64.8</v>
      </c>
      <c r="IJ756" t="n">
        <v>7.219769101538693</v>
      </c>
      <c r="IK756" t="n">
        <v>7.271070479226992</v>
      </c>
      <c r="IL756" t="n">
        <v>7.260038291383738</v>
      </c>
      <c r="IM756" t="n">
        <v>7.320440782709539</v>
      </c>
      <c r="IN756" t="n">
        <v>7.279167147142964</v>
      </c>
      <c r="IO756" t="n">
        <v>7.13354953625651</v>
      </c>
      <c r="IP756" t="n">
        <v>7.254922423069125</v>
      </c>
      <c r="IQ756" t="n">
        <v>7.231691352075822</v>
      </c>
      <c r="IR756" t="n">
        <v>7.098815015674688</v>
      </c>
      <c r="KH756" t="n">
        <v>7.23</v>
      </c>
      <c r="KS756" t="n">
        <v>0.42</v>
      </c>
      <c r="LD756" t="n">
        <v>0.93</v>
      </c>
    </row>
    <row r="757">
      <c r="A757" t="inlineStr">
        <is>
          <t>2026-04-01</t>
        </is>
      </c>
      <c r="B757" t="inlineStr">
        <is>
          <t>Optimum Wellness 37</t>
        </is>
      </c>
      <c r="C757" t="inlineStr">
        <is>
          <t>00291929326040101</t>
        </is>
      </c>
      <c r="D757" t="inlineStr">
        <is>
          <t>TBIL</t>
        </is>
      </c>
      <c r="F757" t="n">
        <v>20</v>
      </c>
      <c r="G757" t="n">
        <v>1.1</v>
      </c>
      <c r="H757" t="n">
        <v>23.1</v>
      </c>
      <c r="I757" t="n">
        <v>-20.9</v>
      </c>
      <c r="J757" t="n">
        <v>1.341527256026439</v>
      </c>
      <c r="K757" t="n">
        <v>1.277209730251962</v>
      </c>
      <c r="L757" t="n">
        <v>1.331926803805526</v>
      </c>
      <c r="M757" t="n">
        <v>5.157245222165683</v>
      </c>
      <c r="N757" t="n">
        <v>5.216968004342842</v>
      </c>
      <c r="O757" t="n">
        <v>5.229396637831499</v>
      </c>
      <c r="P757" t="n">
        <v>1.319512911285606</v>
      </c>
      <c r="Q757" t="n">
        <v>5.181105603540301</v>
      </c>
      <c r="R757" t="n">
        <v>1.370736701040313</v>
      </c>
      <c r="BH757" t="n">
        <v>2.528</v>
      </c>
      <c r="BS757" t="n">
        <v>129.85</v>
      </c>
      <c r="CD757" t="n">
        <v>70.36</v>
      </c>
      <c r="CF757" t="n">
        <v>20</v>
      </c>
      <c r="CG757" t="n">
        <v>5.1</v>
      </c>
      <c r="CH757" t="n">
        <v>107.1</v>
      </c>
      <c r="CI757" t="n">
        <v>-96.89999999999999</v>
      </c>
      <c r="CJ757" t="n">
        <v>1.414330672164688</v>
      </c>
      <c r="CK757" t="n">
        <v>1.332283199380609</v>
      </c>
      <c r="CL757" t="n">
        <v>1.402623579003888</v>
      </c>
      <c r="CM757" t="n">
        <v>1.362329709005074</v>
      </c>
      <c r="CN757" t="n">
        <v>5.126228296425557</v>
      </c>
      <c r="CO757" t="n">
        <v>5.237723948229108</v>
      </c>
      <c r="CP757" t="n">
        <v>5.224099039048568</v>
      </c>
      <c r="CQ757" t="n">
        <v>5.2311857432535</v>
      </c>
      <c r="CR757" t="n">
        <v>5.179206025593036</v>
      </c>
      <c r="EH757" t="n">
        <v>3.501</v>
      </c>
      <c r="ES757" t="n">
        <v>-31.35</v>
      </c>
      <c r="FD757" t="n">
        <v>54.25</v>
      </c>
      <c r="FF757" t="n">
        <v>20</v>
      </c>
      <c r="FG757" t="n">
        <v>0.8</v>
      </c>
      <c r="FH757" t="n">
        <v>16.8</v>
      </c>
      <c r="FI757" t="n">
        <v>-15.2</v>
      </c>
      <c r="FJ757" t="n">
        <v>0.748492245990044</v>
      </c>
      <c r="FK757" t="n">
        <v>0.7762084050723699</v>
      </c>
      <c r="FL757" t="n">
        <v>0.7472984915746599</v>
      </c>
      <c r="FM757" t="n">
        <v>0.7382971466519077</v>
      </c>
      <c r="FN757" t="n">
        <v>0.7361440960919987</v>
      </c>
      <c r="FO757" t="n">
        <v>0.7797291721138047</v>
      </c>
      <c r="FP757" t="n">
        <v>0.7492345865846231</v>
      </c>
      <c r="FQ757" t="n">
        <v>-0.3622533930682619</v>
      </c>
      <c r="FR757" t="n">
        <v>0.7245809709993214</v>
      </c>
      <c r="FS757" t="n">
        <v>0.7457490743993516</v>
      </c>
      <c r="FT757" t="n">
        <v>0.772535502152266</v>
      </c>
      <c r="HH757" t="n">
        <v>0.674</v>
      </c>
      <c r="HS757" t="n">
        <v>-15.78</v>
      </c>
      <c r="ID757" t="n">
        <v>42.73</v>
      </c>
      <c r="IF757" t="n">
        <v>20</v>
      </c>
      <c r="IG757" t="n">
        <v>8.4</v>
      </c>
      <c r="IH757" t="n">
        <v>176.4</v>
      </c>
      <c r="II757" t="n">
        <v>-159.6</v>
      </c>
      <c r="IJ757" t="n">
        <v>8.154772239371082</v>
      </c>
      <c r="IK757" t="n">
        <v>8.136999703353855</v>
      </c>
      <c r="IL757" t="n">
        <v>8.080494759077414</v>
      </c>
      <c r="IM757" t="n">
        <v>8.227780921061406</v>
      </c>
      <c r="IN757" t="n">
        <v>8.537784476819525</v>
      </c>
      <c r="IO757" t="n">
        <v>8.403974268685712</v>
      </c>
      <c r="IP757" t="n">
        <v>8.356005962124685</v>
      </c>
      <c r="IQ757" t="n">
        <v>8.436551621840216</v>
      </c>
      <c r="IR757" t="n">
        <v>8.418187127029524</v>
      </c>
      <c r="KH757" t="n">
        <v>8.305999999999999</v>
      </c>
      <c r="KS757" t="n">
        <v>-1.12</v>
      </c>
      <c r="LD757" t="n">
        <v>1.81</v>
      </c>
    </row>
    <row r="758">
      <c r="A758" t="inlineStr">
        <is>
          <t>2026-04-01</t>
        </is>
      </c>
      <c r="B758" t="inlineStr">
        <is>
          <t>Optimum Wellness 37</t>
        </is>
      </c>
      <c r="C758" t="inlineStr">
        <is>
          <t>00191929326040101</t>
        </is>
      </c>
      <c r="D758" t="inlineStr">
        <is>
          <t>ALB</t>
        </is>
      </c>
      <c r="F758" t="n">
        <v>8</v>
      </c>
      <c r="G758" t="n">
        <v>4.2</v>
      </c>
      <c r="H758" t="n">
        <v>37.8</v>
      </c>
      <c r="I758" t="n">
        <v>-29.4</v>
      </c>
      <c r="J758" t="n">
        <v>4.070668716230572</v>
      </c>
      <c r="K758" t="n">
        <v>4.170832165247065</v>
      </c>
      <c r="L758" t="n">
        <v>4.170068387471446</v>
      </c>
      <c r="M758" t="n">
        <v>2.757075062680151</v>
      </c>
      <c r="N758" t="n">
        <v>2.767574762718545</v>
      </c>
      <c r="O758" t="n">
        <v>2.774614168617275</v>
      </c>
      <c r="P758" t="n">
        <v>4.103959499183311</v>
      </c>
      <c r="Q758" t="n">
        <v>2.744007324381139</v>
      </c>
      <c r="R758" t="n">
        <v>4.145251108090683</v>
      </c>
      <c r="BH758" t="n">
        <v>3.713</v>
      </c>
      <c r="BS758" t="n">
        <v>-11.59</v>
      </c>
      <c r="CD758" t="n">
        <v>17.12</v>
      </c>
      <c r="CF758" t="n">
        <v>8</v>
      </c>
      <c r="CG758" t="n">
        <v>2.7</v>
      </c>
      <c r="CH758" t="n">
        <v>24.3</v>
      </c>
      <c r="CI758" t="n">
        <v>-18.9</v>
      </c>
      <c r="CJ758" t="n">
        <v>4.106702097539015</v>
      </c>
      <c r="CK758" t="n">
        <v>4.172949302479659</v>
      </c>
      <c r="CL758" t="n">
        <v>4.184736553382723</v>
      </c>
      <c r="CM758" t="n">
        <v>4.155366592597963</v>
      </c>
      <c r="CN758" t="n">
        <v>2.743968196823846</v>
      </c>
      <c r="CO758" t="n">
        <v>2.706131445565896</v>
      </c>
      <c r="CP758" t="n">
        <v>2.815653605421085</v>
      </c>
      <c r="CQ758" t="n">
        <v>2.743584501435477</v>
      </c>
      <c r="CR758" t="n">
        <v>2.713412731188115</v>
      </c>
      <c r="EH758" t="n">
        <v>3.371</v>
      </c>
      <c r="ES758" t="n">
        <v>24.87</v>
      </c>
      <c r="FD758" t="n">
        <v>20.81</v>
      </c>
      <c r="FF758" t="n">
        <v>8</v>
      </c>
      <c r="FG758" t="n">
        <v>2.6</v>
      </c>
      <c r="FH758" t="n">
        <v>23.4</v>
      </c>
      <c r="FI758" t="n">
        <v>-18.2</v>
      </c>
      <c r="FJ758" t="n">
        <v>2.643538242087152</v>
      </c>
      <c r="FK758" t="n">
        <v>2.639485041333281</v>
      </c>
      <c r="FL758" t="n">
        <v>2.636662998430431</v>
      </c>
      <c r="FM758" t="n">
        <v>2.650913809773496</v>
      </c>
      <c r="FN758" t="n">
        <v>2.636926946869678</v>
      </c>
      <c r="FO758" t="n">
        <v>2.661704557404867</v>
      </c>
      <c r="FP758" t="n">
        <v>2.580674587270456</v>
      </c>
      <c r="FQ758" t="n">
        <v>-0.606793695211103</v>
      </c>
      <c r="FR758" t="n">
        <v>2.602019909969975</v>
      </c>
      <c r="FS758" t="n">
        <v>2.570936825173459</v>
      </c>
      <c r="FT758" t="n">
        <v>2.609103679389518</v>
      </c>
      <c r="HH758" t="n">
        <v>2.39</v>
      </c>
      <c r="HS758" t="n">
        <v>-8.08</v>
      </c>
      <c r="ID758" t="n">
        <v>34.8</v>
      </c>
      <c r="IF758" t="n">
        <v>8</v>
      </c>
      <c r="IG758" t="n">
        <v>4.2</v>
      </c>
      <c r="IH758" t="n">
        <v>37.8</v>
      </c>
      <c r="II758" t="n">
        <v>-29.4</v>
      </c>
      <c r="IJ758" t="n">
        <v>4.175651606613216</v>
      </c>
      <c r="IK758" t="n">
        <v>4.221451173566352</v>
      </c>
      <c r="IL758" t="n">
        <v>4.19797950754186</v>
      </c>
      <c r="IM758" t="n">
        <v>4.197765332661544</v>
      </c>
      <c r="IN758" t="n">
        <v>4.152793972353976</v>
      </c>
      <c r="IO758" t="n">
        <v>4.14527932276608</v>
      </c>
      <c r="IP758" t="n">
        <v>4.218962206961936</v>
      </c>
      <c r="IQ758" t="n">
        <v>4.203901822155059</v>
      </c>
      <c r="IR758" t="n">
        <v>4.155958035598179</v>
      </c>
      <c r="KH758" t="n">
        <v>4.186</v>
      </c>
      <c r="KS758" t="n">
        <v>-0.34</v>
      </c>
      <c r="LD758" t="n">
        <v>0.65</v>
      </c>
    </row>
    <row r="759">
      <c r="A759" t="inlineStr">
        <is>
          <t>2026-04-01</t>
        </is>
      </c>
      <c r="B759" t="inlineStr">
        <is>
          <t>Optimum Wellness 37</t>
        </is>
      </c>
      <c r="C759" t="inlineStr">
        <is>
          <t>00191929326040101</t>
        </is>
      </c>
      <c r="D759" t="inlineStr">
        <is>
          <t>ALP</t>
        </is>
      </c>
      <c r="F759" t="n">
        <v>20</v>
      </c>
      <c r="G759" t="n">
        <v>136</v>
      </c>
      <c r="H759" t="n">
        <v>2856</v>
      </c>
      <c r="I759" t="n">
        <v>-2584</v>
      </c>
      <c r="J759" t="n">
        <v>144.4450133673718</v>
      </c>
      <c r="K759" t="n">
        <v>141.8872263819083</v>
      </c>
      <c r="L759" t="n">
        <v>141.856269923044</v>
      </c>
      <c r="M759" t="n">
        <v>467.2788486471941</v>
      </c>
      <c r="N759" t="n">
        <v>461.3812846624335</v>
      </c>
      <c r="O759" t="n">
        <v>450.3619673732651</v>
      </c>
      <c r="P759" t="n">
        <v>143.8285405029669</v>
      </c>
      <c r="Q759" t="n">
        <v>457.5612674210187</v>
      </c>
      <c r="R759" t="n">
        <v>146.1661166698876</v>
      </c>
      <c r="BH759" t="n">
        <v>241.246</v>
      </c>
      <c r="BS759" t="n">
        <v>77.39</v>
      </c>
      <c r="CD759" t="n">
        <v>60.23</v>
      </c>
      <c r="CF759" t="n">
        <v>20</v>
      </c>
      <c r="CG759" t="n">
        <v>456</v>
      </c>
      <c r="CH759" t="n">
        <v>9576</v>
      </c>
      <c r="CI759" t="n">
        <v>-8664</v>
      </c>
      <c r="CJ759" t="n">
        <v>142.6365443559648</v>
      </c>
      <c r="CK759" t="n">
        <v>141.447475114774</v>
      </c>
      <c r="CL759" t="n">
        <v>142.5790011629157</v>
      </c>
      <c r="CM759" t="n">
        <v>143.1531628307053</v>
      </c>
      <c r="CN759" t="n">
        <v>463.1673144652867</v>
      </c>
      <c r="CO759" t="n">
        <v>450.4175841402443</v>
      </c>
      <c r="CP759" t="n">
        <v>449.8984117331622</v>
      </c>
      <c r="CQ759" t="n">
        <v>454.5464765395594</v>
      </c>
      <c r="CR759" t="n">
        <v>454.353184723695</v>
      </c>
      <c r="EH759" t="n">
        <v>315.8</v>
      </c>
      <c r="ES759" t="n">
        <v>-30.75</v>
      </c>
      <c r="FD759" t="n">
        <v>49.11</v>
      </c>
      <c r="FF759" t="n">
        <v>20</v>
      </c>
      <c r="FG759" t="n">
        <v>75</v>
      </c>
      <c r="FH759" t="n">
        <v>1575</v>
      </c>
      <c r="FI759" t="n">
        <v>-1425</v>
      </c>
      <c r="FJ759" t="n">
        <v>79.78536100989872</v>
      </c>
      <c r="FK759" t="n">
        <v>79.42508769918022</v>
      </c>
      <c r="FL759" t="n">
        <v>79.89471670513018</v>
      </c>
      <c r="FM759" t="n">
        <v>79.81984885020296</v>
      </c>
      <c r="FN759" t="n">
        <v>79.79423116960263</v>
      </c>
      <c r="FO759" t="n">
        <v>79.56132412215544</v>
      </c>
      <c r="FP759" t="n">
        <v>79.80334825686397</v>
      </c>
      <c r="FQ759" t="n">
        <v>63.2201920337966</v>
      </c>
      <c r="FR759" t="n">
        <v>79.54803966344349</v>
      </c>
      <c r="FS759" t="n">
        <v>79.22810050898521</v>
      </c>
      <c r="FT759" t="n">
        <v>79.5054018573221</v>
      </c>
      <c r="HH759" t="n">
        <v>78.489</v>
      </c>
      <c r="HS759" t="n">
        <v>4.65</v>
      </c>
      <c r="ID759" t="n">
        <v>5.41</v>
      </c>
      <c r="IF759" t="n">
        <v>20</v>
      </c>
      <c r="IG759" t="n">
        <v>251</v>
      </c>
      <c r="IH759" t="n">
        <v>5271</v>
      </c>
      <c r="II759" t="n">
        <v>-4769</v>
      </c>
      <c r="IJ759" t="n">
        <v>228.0465681592935</v>
      </c>
      <c r="IK759" t="n">
        <v>225.5753988818991</v>
      </c>
      <c r="IL759" t="n">
        <v>223.0963857209258</v>
      </c>
      <c r="IM759" t="n">
        <v>227.2639661110227</v>
      </c>
      <c r="IN759" t="n">
        <v>223.3947651338637</v>
      </c>
      <c r="IO759" t="n">
        <v>223.3900334110803</v>
      </c>
      <c r="IP759" t="n">
        <v>219.7669319274895</v>
      </c>
      <c r="IQ759" t="n">
        <v>221.9528203799054</v>
      </c>
      <c r="IR759" t="n">
        <v>224.2782937476196</v>
      </c>
      <c r="KH759" t="n">
        <v>224.085</v>
      </c>
      <c r="KS759" t="n">
        <v>-10.72</v>
      </c>
      <c r="LD759" t="n">
        <v>1.08</v>
      </c>
    </row>
    <row r="760">
      <c r="A760" t="inlineStr">
        <is>
          <t>2026-04-01</t>
        </is>
      </c>
      <c r="B760" t="inlineStr">
        <is>
          <t>Optimum Wellness 37</t>
        </is>
      </c>
      <c r="C760" t="inlineStr">
        <is>
          <t>00191929326040101</t>
        </is>
      </c>
      <c r="D760" t="inlineStr">
        <is>
          <t>ALT</t>
        </is>
      </c>
      <c r="F760" t="n">
        <v>15</v>
      </c>
      <c r="G760" t="n">
        <v>28</v>
      </c>
      <c r="H760" t="n">
        <v>448</v>
      </c>
      <c r="I760" t="n">
        <v>-392</v>
      </c>
      <c r="J760" t="n">
        <v>41.60815049037977</v>
      </c>
      <c r="K760" t="n">
        <v>24.90698250530249</v>
      </c>
      <c r="L760" t="n">
        <v>23.62113986697929</v>
      </c>
      <c r="M760" t="n">
        <v>121.4194232247304</v>
      </c>
      <c r="N760" t="n">
        <v>120.5009531675639</v>
      </c>
      <c r="O760" t="n">
        <v>119.2174983154578</v>
      </c>
      <c r="P760" t="n">
        <v>25.61455821435518</v>
      </c>
      <c r="Q760" t="n">
        <v>122.4825413814266</v>
      </c>
      <c r="R760" t="n">
        <v>28.33885689601341</v>
      </c>
      <c r="BH760" t="n">
        <v>59.188</v>
      </c>
      <c r="BS760" t="n">
        <v>111.38</v>
      </c>
      <c r="CD760" t="n">
        <v>70.76000000000001</v>
      </c>
      <c r="CF760" t="n">
        <v>15</v>
      </c>
      <c r="CG760" t="n">
        <v>115</v>
      </c>
      <c r="CH760" t="n">
        <v>1840</v>
      </c>
      <c r="CI760" t="n">
        <v>-1610</v>
      </c>
      <c r="CJ760" t="n">
        <v>30.76761353695739</v>
      </c>
      <c r="CK760" t="n">
        <v>31.22862228217013</v>
      </c>
      <c r="CL760" t="n">
        <v>28.09007138039143</v>
      </c>
      <c r="CM760" t="n">
        <v>28.94632507547737</v>
      </c>
      <c r="CN760" t="n">
        <v>123.7282184868321</v>
      </c>
      <c r="CO760" t="n">
        <v>124.4814318999039</v>
      </c>
      <c r="CP760" t="n">
        <v>124.1691713575807</v>
      </c>
      <c r="CQ760" t="n">
        <v>124.1083389109019</v>
      </c>
      <c r="CR760" t="n">
        <v>122.4607922070182</v>
      </c>
      <c r="EH760" t="n">
        <v>81.998</v>
      </c>
      <c r="ES760" t="n">
        <v>-28.7</v>
      </c>
      <c r="FD760" t="n">
        <v>57</v>
      </c>
      <c r="FF760" t="n">
        <v>15</v>
      </c>
      <c r="FG760" t="n">
        <v>26</v>
      </c>
      <c r="FH760" t="n">
        <v>416</v>
      </c>
      <c r="FI760" t="n">
        <v>-364</v>
      </c>
      <c r="FJ760" t="n">
        <v>21.96586235583957</v>
      </c>
      <c r="FK760" t="n">
        <v>20.87544655150258</v>
      </c>
      <c r="FL760" t="n">
        <v>18.2392703865593</v>
      </c>
      <c r="FM760" t="n">
        <v>24.71231654054162</v>
      </c>
      <c r="FN760" t="n">
        <v>22.10035393088149</v>
      </c>
      <c r="FO760" t="n">
        <v>24.43437614777452</v>
      </c>
      <c r="FP760" t="n">
        <v>21.0086707795567</v>
      </c>
      <c r="FQ760" t="n">
        <v>-10.80250268860954</v>
      </c>
      <c r="FR760" t="n">
        <v>21.63361166071432</v>
      </c>
      <c r="FS760" t="n">
        <v>-10.98798799602895</v>
      </c>
      <c r="FT760" t="n">
        <v>19.47733513906358</v>
      </c>
      <c r="HH760" t="n">
        <v>16.824</v>
      </c>
      <c r="HS760" t="n">
        <v>-35.29</v>
      </c>
      <c r="ID760" t="n">
        <v>67.98</v>
      </c>
      <c r="IF760" t="n">
        <v>15</v>
      </c>
      <c r="IG760" t="n">
        <v>217</v>
      </c>
      <c r="IH760" t="n">
        <v>3472</v>
      </c>
      <c r="II760" t="n">
        <v>-3038</v>
      </c>
      <c r="IJ760" t="n">
        <v>210.9795082631627</v>
      </c>
      <c r="IK760" t="n">
        <v>216.7639600842156</v>
      </c>
      <c r="IL760" t="n">
        <v>208.5211010166493</v>
      </c>
      <c r="IM760" t="n">
        <v>209.090968037243</v>
      </c>
      <c r="IN760" t="n">
        <v>212.6159995094908</v>
      </c>
      <c r="IO760" t="n">
        <v>217.7703211993035</v>
      </c>
      <c r="IP760" t="n">
        <v>163.1021745617956</v>
      </c>
      <c r="IQ760" t="n">
        <v>210.614775436089</v>
      </c>
      <c r="IR760" t="n">
        <v>212.1389451994729</v>
      </c>
      <c r="KH760" t="n">
        <v>206.844</v>
      </c>
      <c r="KS760" t="n">
        <v>-4.68</v>
      </c>
      <c r="LD760" t="n">
        <v>7.61</v>
      </c>
    </row>
    <row r="761">
      <c r="A761" t="inlineStr">
        <is>
          <t>2026-04-01</t>
        </is>
      </c>
      <c r="B761" t="inlineStr">
        <is>
          <t>Optimum Wellness 37</t>
        </is>
      </c>
      <c r="C761" t="inlineStr">
        <is>
          <t>00191929326040101</t>
        </is>
      </c>
      <c r="D761" t="inlineStr">
        <is>
          <t>BUN</t>
        </is>
      </c>
      <c r="F761" t="n">
        <v>9</v>
      </c>
      <c r="G761" t="n">
        <v>14.8</v>
      </c>
      <c r="H761" t="n">
        <v>148</v>
      </c>
      <c r="I761" t="n">
        <v>-118.4</v>
      </c>
      <c r="J761" t="n">
        <v>14.67627395950067</v>
      </c>
      <c r="K761" t="n">
        <v>14.91963020838212</v>
      </c>
      <c r="L761" t="n">
        <v>14.81397238581435</v>
      </c>
      <c r="M761" t="n">
        <v>46.14163261847571</v>
      </c>
      <c r="N761" t="n">
        <v>46.34265694664455</v>
      </c>
      <c r="O761" t="n">
        <v>45.59762546970407</v>
      </c>
      <c r="P761" t="n">
        <v>14.70871745407708</v>
      </c>
      <c r="Q761" t="n">
        <v>46.37549852102592</v>
      </c>
      <c r="R761" t="n">
        <v>14.45081686361569</v>
      </c>
      <c r="BH761" t="n">
        <v>24.343</v>
      </c>
      <c r="BS761" t="n">
        <v>64.48</v>
      </c>
      <c r="CD761" t="n">
        <v>59.63</v>
      </c>
      <c r="CF761" t="n">
        <v>9</v>
      </c>
      <c r="CG761" t="n">
        <v>44.7</v>
      </c>
      <c r="CH761" t="n">
        <v>447</v>
      </c>
      <c r="CI761" t="n">
        <v>-357.6</v>
      </c>
      <c r="CJ761" t="n">
        <v>14.72992288786038</v>
      </c>
      <c r="CK761" t="n">
        <v>14.83525944311978</v>
      </c>
      <c r="CL761" t="n">
        <v>14.79196615492747</v>
      </c>
      <c r="CM761" t="n">
        <v>14.83603659545063</v>
      </c>
      <c r="CN761" t="n">
        <v>45.05871785683762</v>
      </c>
      <c r="CO761" t="n">
        <v>45.37421805822776</v>
      </c>
      <c r="CP761" t="n">
        <v>44.61567207276867</v>
      </c>
      <c r="CQ761" t="n">
        <v>45.62503001655295</v>
      </c>
      <c r="CR761" t="n">
        <v>44.28021325773411</v>
      </c>
      <c r="EH761" t="n">
        <v>31.572</v>
      </c>
      <c r="ES761" t="n">
        <v>-29.37</v>
      </c>
      <c r="FD761" t="n">
        <v>47.53</v>
      </c>
      <c r="FF761" t="n">
        <v>9</v>
      </c>
      <c r="FG761" t="n">
        <v>14.7</v>
      </c>
      <c r="FH761" t="n">
        <v>147</v>
      </c>
      <c r="FI761" t="n">
        <v>-117.6</v>
      </c>
      <c r="FJ761" t="n">
        <v>14.87608891407669</v>
      </c>
      <c r="FK761" t="n">
        <v>14.94217429408183</v>
      </c>
      <c r="FL761" t="n">
        <v>14.90494681128955</v>
      </c>
      <c r="FM761" t="n">
        <v>15.26386007932464</v>
      </c>
      <c r="FN761" t="n">
        <v>15.05413217048324</v>
      </c>
      <c r="FO761" t="n">
        <v>14.92258238866267</v>
      </c>
      <c r="FP761" t="n">
        <v>14.77964145103559</v>
      </c>
      <c r="FQ761" t="n">
        <v>-1.08435935056227</v>
      </c>
      <c r="FR761" t="n">
        <v>14.9766759057965</v>
      </c>
      <c r="FS761" t="n">
        <v>14.52443527575739</v>
      </c>
      <c r="FT761" t="n">
        <v>14.6559490419587</v>
      </c>
      <c r="HH761" t="n">
        <v>13.684</v>
      </c>
      <c r="HS761" t="n">
        <v>-6.91</v>
      </c>
      <c r="ID761" t="n">
        <v>29.97</v>
      </c>
      <c r="IF761" t="n">
        <v>9</v>
      </c>
      <c r="IG761" t="n">
        <v>65.7</v>
      </c>
      <c r="IH761" t="n">
        <v>657</v>
      </c>
      <c r="II761" t="n">
        <v>-525.6</v>
      </c>
      <c r="IJ761" t="n">
        <v>68.18550159105506</v>
      </c>
      <c r="IK761" t="n">
        <v>68.25802947944224</v>
      </c>
      <c r="IL761" t="n">
        <v>68.51053001707426</v>
      </c>
      <c r="IM761" t="n">
        <v>67.37323337869488</v>
      </c>
      <c r="IN761" t="n">
        <v>64.35656037049418</v>
      </c>
      <c r="IO761" t="n">
        <v>65.96945880930303</v>
      </c>
      <c r="IP761" t="n">
        <v>64.98963362117027</v>
      </c>
      <c r="IQ761" t="n">
        <v>65.13519847146624</v>
      </c>
      <c r="IR761" t="n">
        <v>66.23580658884073</v>
      </c>
      <c r="KH761" t="n">
        <v>66.557</v>
      </c>
      <c r="KS761" t="n">
        <v>1.3</v>
      </c>
      <c r="LD761" t="n">
        <v>2.23</v>
      </c>
    </row>
    <row r="762">
      <c r="A762" t="inlineStr">
        <is>
          <t>2026-04-01</t>
        </is>
      </c>
      <c r="B762" t="inlineStr">
        <is>
          <t>Optimum Wellness 37</t>
        </is>
      </c>
      <c r="C762" t="inlineStr">
        <is>
          <t>00191929326040101</t>
        </is>
      </c>
      <c r="D762" t="inlineStr">
        <is>
          <t>CREA</t>
        </is>
      </c>
      <c r="F762" t="n">
        <v>10</v>
      </c>
      <c r="G762" t="n">
        <v>1.5</v>
      </c>
      <c r="H762" t="n">
        <v>16.5</v>
      </c>
      <c r="I762" t="n">
        <v>-13.5</v>
      </c>
      <c r="J762" t="n">
        <v>1.237742557201019</v>
      </c>
      <c r="K762" t="n">
        <v>1.267911507606025</v>
      </c>
      <c r="L762" t="n">
        <v>1.282775724709023</v>
      </c>
      <c r="M762" t="n">
        <v>4.542164872164558</v>
      </c>
      <c r="N762" t="n">
        <v>4.487653267902984</v>
      </c>
      <c r="O762" t="n">
        <v>4.552272878658677</v>
      </c>
      <c r="P762" t="n">
        <v>1.215062564160714</v>
      </c>
      <c r="Q762" t="n">
        <v>4.63259286475208</v>
      </c>
      <c r="R762" t="n">
        <v>1.226197183642719</v>
      </c>
      <c r="BH762" t="n">
        <v>2.261</v>
      </c>
      <c r="BS762" t="n">
        <v>50.76</v>
      </c>
      <c r="CD762" t="n">
        <v>67.59</v>
      </c>
      <c r="CF762" t="n">
        <v>10</v>
      </c>
      <c r="CG762" t="n">
        <v>5.55</v>
      </c>
      <c r="CH762" t="n">
        <v>61.05</v>
      </c>
      <c r="CI762" t="n">
        <v>-49.95</v>
      </c>
      <c r="CJ762" t="n">
        <v>1.223374722832332</v>
      </c>
      <c r="CK762" t="n">
        <v>1.236356243435265</v>
      </c>
      <c r="CL762" t="n">
        <v>1.322342552164281</v>
      </c>
      <c r="CM762" t="n">
        <v>1.269406550506684</v>
      </c>
      <c r="CN762" t="n">
        <v>4.609734029795472</v>
      </c>
      <c r="CO762" t="n">
        <v>4.373917058455787</v>
      </c>
      <c r="CP762" t="n">
        <v>4.762497864468384</v>
      </c>
      <c r="CQ762" t="n">
        <v>4.48648650421069</v>
      </c>
      <c r="CR762" t="n">
        <v>4.556835295426868</v>
      </c>
      <c r="EH762" t="n">
        <v>3.093</v>
      </c>
      <c r="ES762" t="n">
        <v>-44.26</v>
      </c>
      <c r="FD762" t="n">
        <v>53.03</v>
      </c>
      <c r="FF762" t="n">
        <v>10</v>
      </c>
      <c r="FG762" t="n">
        <v>0.97</v>
      </c>
      <c r="FH762" t="n">
        <v>10.67</v>
      </c>
      <c r="FI762" t="n">
        <v>-8.73</v>
      </c>
      <c r="FJ762" t="n">
        <v>0.6432584764617901</v>
      </c>
      <c r="FK762" t="n">
        <v>0.5892783309545923</v>
      </c>
      <c r="FL762" t="n">
        <v>0.7012830236712851</v>
      </c>
      <c r="FM762" t="n">
        <v>0.6666350282524792</v>
      </c>
      <c r="FN762" t="n">
        <v>0.7003648326746521</v>
      </c>
      <c r="FO762" t="n">
        <v>0.6424725637409313</v>
      </c>
      <c r="FP762" t="n">
        <v>0.6932001165748426</v>
      </c>
      <c r="FQ762" t="n">
        <v>-0.02483099813011652</v>
      </c>
      <c r="FR762" t="n">
        <v>0.669210432538167</v>
      </c>
      <c r="FS762" t="n">
        <v>0.6471803576167442</v>
      </c>
      <c r="FT762" t="n">
        <v>0.7162480289586639</v>
      </c>
      <c r="HH762" t="n">
        <v>0.609</v>
      </c>
      <c r="HS762" t="n">
        <v>-37.23</v>
      </c>
      <c r="ID762" t="n">
        <v>29.47</v>
      </c>
      <c r="IF762" t="n">
        <v>10</v>
      </c>
      <c r="IG762" t="n">
        <v>5.95</v>
      </c>
      <c r="IH762" t="n">
        <v>65.45</v>
      </c>
      <c r="II762" t="n">
        <v>-53.55</v>
      </c>
      <c r="IJ762" t="n">
        <v>5.419233710431165</v>
      </c>
      <c r="IK762" t="n">
        <v>5.254362294487745</v>
      </c>
      <c r="IL762" t="n">
        <v>5.417117829765346</v>
      </c>
      <c r="IM762" t="n">
        <v>5.230786486804292</v>
      </c>
      <c r="IN762" t="n">
        <v>5.078972845372681</v>
      </c>
      <c r="IO762" t="n">
        <v>5.261161163803013</v>
      </c>
      <c r="IP762" t="n">
        <v>5.258506149804362</v>
      </c>
      <c r="IQ762" t="n">
        <v>5.183298377801618</v>
      </c>
      <c r="IR762" t="n">
        <v>5.23380908885385</v>
      </c>
      <c r="KH762" t="n">
        <v>5.26</v>
      </c>
      <c r="KS762" t="n">
        <v>-11.6</v>
      </c>
      <c r="LD762" t="n">
        <v>1.9</v>
      </c>
    </row>
    <row r="763">
      <c r="A763" t="inlineStr">
        <is>
          <t>2026-04-01</t>
        </is>
      </c>
      <c r="B763" t="inlineStr">
        <is>
          <t>Optimum Wellness 37</t>
        </is>
      </c>
      <c r="C763" t="inlineStr">
        <is>
          <t>00191929326040101</t>
        </is>
      </c>
      <c r="D763" t="inlineStr">
        <is>
          <t>GLU</t>
        </is>
      </c>
      <c r="F763" t="n">
        <v>8</v>
      </c>
      <c r="G763" t="n">
        <v>90.16</v>
      </c>
      <c r="H763" t="n">
        <v>811.4399999999999</v>
      </c>
      <c r="I763" t="n">
        <v>-631.12</v>
      </c>
      <c r="J763" t="n">
        <v>89.09623450421097</v>
      </c>
      <c r="K763" t="n">
        <v>90.01044418414759</v>
      </c>
      <c r="L763" t="n">
        <v>89.46769702078993</v>
      </c>
      <c r="M763" t="n">
        <v>295.3189539006073</v>
      </c>
      <c r="N763" t="n">
        <v>298.4298398732368</v>
      </c>
      <c r="O763" t="n">
        <v>298.2752345243578</v>
      </c>
      <c r="P763" t="n">
        <v>89.3151635558453</v>
      </c>
      <c r="Q763" t="n">
        <v>296.8176281494198</v>
      </c>
      <c r="R763" t="n">
        <v>89.54285481158657</v>
      </c>
      <c r="BH763" t="n">
        <v>153.567</v>
      </c>
      <c r="BS763" t="n">
        <v>70.33</v>
      </c>
      <c r="CD763" t="n">
        <v>62.36</v>
      </c>
      <c r="CF763" t="n">
        <v>8</v>
      </c>
      <c r="CG763" t="n">
        <v>293.02</v>
      </c>
      <c r="CH763" t="n">
        <v>2637.18</v>
      </c>
      <c r="CI763" t="n">
        <v>-2051.14</v>
      </c>
      <c r="CJ763" t="n">
        <v>90.27019967549624</v>
      </c>
      <c r="CK763" t="n">
        <v>89.69008792321195</v>
      </c>
      <c r="CL763" t="n">
        <v>90.11164859046079</v>
      </c>
      <c r="CM763" t="n">
        <v>90.2833721181434</v>
      </c>
      <c r="CN763" t="n">
        <v>295.6855301140719</v>
      </c>
      <c r="CO763" t="n">
        <v>297.9798215341707</v>
      </c>
      <c r="CP763" t="n">
        <v>298.44005387546</v>
      </c>
      <c r="CQ763" t="n">
        <v>298.7973036899245</v>
      </c>
      <c r="CR763" t="n">
        <v>296.3811394920131</v>
      </c>
      <c r="EH763" t="n">
        <v>205.293</v>
      </c>
      <c r="ES763" t="n">
        <v>-29.94</v>
      </c>
      <c r="FD763" t="n">
        <v>50.19</v>
      </c>
      <c r="FF763" t="n">
        <v>8</v>
      </c>
      <c r="FG763" t="n">
        <v>65.66</v>
      </c>
      <c r="FH763" t="n">
        <v>590.9399999999999</v>
      </c>
      <c r="FI763" t="n">
        <v>-459.62</v>
      </c>
      <c r="FJ763" t="n">
        <v>64.95274994419198</v>
      </c>
      <c r="FK763" t="n">
        <v>64.50174426756639</v>
      </c>
      <c r="FL763" t="n">
        <v>65.55037503391061</v>
      </c>
      <c r="FM763" t="n">
        <v>66.67961674117097</v>
      </c>
      <c r="FN763" t="n">
        <v>65.58394841989991</v>
      </c>
      <c r="FO763" t="n">
        <v>65.39514229802086</v>
      </c>
      <c r="FP763" t="n">
        <v>64.82442955768849</v>
      </c>
      <c r="FQ763" t="n">
        <v>7.490201456681408</v>
      </c>
      <c r="FR763" t="n">
        <v>65.58759263572576</v>
      </c>
      <c r="FS763" t="n">
        <v>65.06666989151698</v>
      </c>
      <c r="FT763" t="n">
        <v>65.11667208342516</v>
      </c>
      <c r="HH763" t="n">
        <v>61.156</v>
      </c>
      <c r="HS763" t="n">
        <v>-6.86</v>
      </c>
      <c r="ID763" t="n">
        <v>24.35</v>
      </c>
      <c r="IF763" t="n">
        <v>8</v>
      </c>
      <c r="IG763" t="n">
        <v>359.66</v>
      </c>
      <c r="IH763" t="n">
        <v>3236.94</v>
      </c>
      <c r="II763" t="n">
        <v>-2517.62</v>
      </c>
      <c r="IJ763" t="n">
        <v>356.3132675588587</v>
      </c>
      <c r="IK763" t="n">
        <v>359.6256988287719</v>
      </c>
      <c r="IL763" t="n">
        <v>360.7317979982265</v>
      </c>
      <c r="IM763" t="n">
        <v>357.5571373430661</v>
      </c>
      <c r="IN763" t="n">
        <v>355.9191694483468</v>
      </c>
      <c r="IO763" t="n">
        <v>360.3414134922603</v>
      </c>
      <c r="IP763" t="n">
        <v>358.4205537095365</v>
      </c>
      <c r="IQ763" t="n">
        <v>357.1973269183787</v>
      </c>
      <c r="IR763" t="n">
        <v>358.344429734006</v>
      </c>
      <c r="KH763" t="n">
        <v>358.272</v>
      </c>
      <c r="KS763" t="n">
        <v>-0.39</v>
      </c>
      <c r="LD763" t="n">
        <v>0.45</v>
      </c>
    </row>
    <row r="764">
      <c r="A764" t="inlineStr">
        <is>
          <t>2026-04-01</t>
        </is>
      </c>
      <c r="B764" t="inlineStr">
        <is>
          <t>Optimum Wellness 37</t>
        </is>
      </c>
      <c r="C764" t="inlineStr">
        <is>
          <t>00191929326040101</t>
        </is>
      </c>
      <c r="D764" t="inlineStr">
        <is>
          <t>TP</t>
        </is>
      </c>
      <c r="F764" t="n">
        <v>8</v>
      </c>
      <c r="G764" t="n">
        <v>6.4</v>
      </c>
      <c r="H764" t="n">
        <v>57.6</v>
      </c>
      <c r="I764" t="n">
        <v>-44.8</v>
      </c>
      <c r="J764" t="n">
        <v>6.525075610638331</v>
      </c>
      <c r="K764" t="n">
        <v>6.577557595210004</v>
      </c>
      <c r="L764" t="n">
        <v>6.4608901050012</v>
      </c>
      <c r="M764" t="n">
        <v>4.30726669443179</v>
      </c>
      <c r="N764" t="n">
        <v>4.435908689256997</v>
      </c>
      <c r="O764" t="n">
        <v>4.266522410064716</v>
      </c>
      <c r="P764" t="n">
        <v>6.472867163541133</v>
      </c>
      <c r="Q764" t="n">
        <v>4.299478352690047</v>
      </c>
      <c r="R764" t="n">
        <v>6.464382843180956</v>
      </c>
      <c r="BH764" t="n">
        <v>5.819</v>
      </c>
      <c r="BS764" t="n">
        <v>-9.08</v>
      </c>
      <c r="CD764" t="n">
        <v>17.12</v>
      </c>
      <c r="CF764" t="n">
        <v>8</v>
      </c>
      <c r="CG764" t="n">
        <v>4.1</v>
      </c>
      <c r="CH764" t="n">
        <v>36.9</v>
      </c>
      <c r="CI764" t="n">
        <v>-28.7</v>
      </c>
      <c r="CJ764" t="n">
        <v>6.578811241110583</v>
      </c>
      <c r="CK764" t="n">
        <v>6.576108323502338</v>
      </c>
      <c r="CL764" t="n">
        <v>6.510096410349507</v>
      </c>
      <c r="CM764" t="n">
        <v>6.484856565955891</v>
      </c>
      <c r="CN764" t="n">
        <v>4.275521094487683</v>
      </c>
      <c r="CO764" t="n">
        <v>4.23710282436006</v>
      </c>
      <c r="CP764" t="n">
        <v>4.291636357189689</v>
      </c>
      <c r="CQ764" t="n">
        <v>4.373721926703046</v>
      </c>
      <c r="CR764" t="n">
        <v>4.430460222062287</v>
      </c>
      <c r="EH764" t="n">
        <v>5.306</v>
      </c>
      <c r="ES764" t="n">
        <v>29.43</v>
      </c>
      <c r="FD764" t="n">
        <v>20.78</v>
      </c>
      <c r="FF764" t="n">
        <v>8</v>
      </c>
      <c r="FG764" t="n">
        <v>4.2</v>
      </c>
      <c r="FH764" t="n">
        <v>37.8</v>
      </c>
      <c r="FI764" t="n">
        <v>-29.4</v>
      </c>
      <c r="FJ764" t="n">
        <v>4.035169192122964</v>
      </c>
      <c r="FK764" t="n">
        <v>4.075265723793272</v>
      </c>
      <c r="FL764" t="n">
        <v>4.061606020885325</v>
      </c>
      <c r="FM764" t="n">
        <v>4.157460524424129</v>
      </c>
      <c r="FN764" t="n">
        <v>4.115068241195127</v>
      </c>
      <c r="FO764" t="n">
        <v>4.139910981093908</v>
      </c>
      <c r="FP764" t="n">
        <v>4.008770429553667</v>
      </c>
      <c r="FQ764" t="n">
        <v>-0.6312328829195192</v>
      </c>
      <c r="FR764" t="n">
        <v>4.080110111633697</v>
      </c>
      <c r="FS764" t="n">
        <v>3.978781623755309</v>
      </c>
      <c r="FT764" t="n">
        <v>3.974048911850938</v>
      </c>
      <c r="HH764" t="n">
        <v>3.717</v>
      </c>
      <c r="HS764" t="n">
        <v>-11.49</v>
      </c>
      <c r="ID764" t="n">
        <v>32.48</v>
      </c>
      <c r="IF764" t="n">
        <v>8</v>
      </c>
      <c r="IG764" t="n">
        <v>7.5</v>
      </c>
      <c r="IH764" t="n">
        <v>67.5</v>
      </c>
      <c r="II764" t="n">
        <v>-52.5</v>
      </c>
      <c r="IJ764" t="n">
        <v>7.54100379137003</v>
      </c>
      <c r="IK764" t="n">
        <v>7.62130935622558</v>
      </c>
      <c r="IL764" t="n">
        <v>7.5181857005026</v>
      </c>
      <c r="IM764" t="n">
        <v>7.528668145892826</v>
      </c>
      <c r="IN764" t="n">
        <v>7.338801987117122</v>
      </c>
      <c r="IO764" t="n">
        <v>7.44278998998399</v>
      </c>
      <c r="IP764" t="n">
        <v>7.331154170099176</v>
      </c>
      <c r="IQ764" t="n">
        <v>7.395087270201455</v>
      </c>
      <c r="IR764" t="n">
        <v>7.393428194108176</v>
      </c>
      <c r="KH764" t="n">
        <v>7.457</v>
      </c>
      <c r="KS764" t="n">
        <v>-0.58</v>
      </c>
      <c r="LD764" t="n">
        <v>1.27</v>
      </c>
    </row>
    <row r="765">
      <c r="A765" t="inlineStr">
        <is>
          <t>2026-04-01</t>
        </is>
      </c>
      <c r="B765" t="inlineStr">
        <is>
          <t>Specific Test 3</t>
        </is>
      </c>
      <c r="C765" t="inlineStr">
        <is>
          <t>00100003326040101</t>
        </is>
      </c>
      <c r="D765" t="inlineStr">
        <is>
          <t>CK</t>
        </is>
      </c>
      <c r="F765" t="n">
        <v>20</v>
      </c>
      <c r="J765" t="n">
        <v>125.4730545179778</v>
      </c>
      <c r="K765" t="n">
        <v>122.2435064488555</v>
      </c>
      <c r="L765" t="n">
        <v>144.6772220195509</v>
      </c>
      <c r="M765" t="n">
        <v>127.8461031845465</v>
      </c>
      <c r="N765" t="n">
        <v>121.2994705764138</v>
      </c>
      <c r="O765" t="n">
        <v>127.1337868411849</v>
      </c>
      <c r="BH765" t="n">
        <v>128.112</v>
      </c>
      <c r="CD765" t="n">
        <v>6.07</v>
      </c>
      <c r="CF765" t="n">
        <v>20</v>
      </c>
      <c r="CJ765" t="n">
        <v>482.7362905161145</v>
      </c>
      <c r="CK765" t="n">
        <v>469.655945308426</v>
      </c>
      <c r="CL765" t="n">
        <v>487.0279218307416</v>
      </c>
      <c r="CM765" t="n">
        <v>466.0673430643972</v>
      </c>
      <c r="EH765" t="n">
        <v>476.372</v>
      </c>
      <c r="FD765" t="n">
        <v>1.83</v>
      </c>
      <c r="FF765" t="n">
        <v>20</v>
      </c>
      <c r="FJ765" t="n">
        <v>68.12936105352529</v>
      </c>
      <c r="FK765" t="n">
        <v>64.56299778838466</v>
      </c>
      <c r="FL765" t="n">
        <v>76.77334779917359</v>
      </c>
      <c r="FM765" t="n">
        <v>65.09405395687607</v>
      </c>
      <c r="HH765" t="n">
        <v>68.64</v>
      </c>
      <c r="ID765" t="n">
        <v>7.12</v>
      </c>
      <c r="IF765" t="n">
        <v>20</v>
      </c>
      <c r="IJ765" t="n">
        <v>586.0818381897667</v>
      </c>
      <c r="IK765" t="n">
        <v>605.4706887081303</v>
      </c>
      <c r="IL765" t="n">
        <v>609.1916855898149</v>
      </c>
      <c r="IM765" t="n">
        <v>627.1357364299923</v>
      </c>
      <c r="IN765" t="n">
        <v>605.4325030429015</v>
      </c>
      <c r="KH765" t="n">
        <v>606.662</v>
      </c>
      <c r="LD765" t="n">
        <v>2.15</v>
      </c>
    </row>
    <row r="766">
      <c r="A766" t="inlineStr">
        <is>
          <t>2026-04-01</t>
        </is>
      </c>
      <c r="B766" t="inlineStr">
        <is>
          <t>Specific Test 3</t>
        </is>
      </c>
      <c r="C766" t="inlineStr">
        <is>
          <t>00100003326040101</t>
        </is>
      </c>
      <c r="D766" t="inlineStr">
        <is>
          <t>GGT</t>
        </is>
      </c>
      <c r="F766" t="n">
        <v>15</v>
      </c>
      <c r="G766" t="n">
        <v>57</v>
      </c>
      <c r="H766" t="n">
        <v>912</v>
      </c>
      <c r="I766" t="n">
        <v>-798</v>
      </c>
      <c r="J766" t="n">
        <v>60.12924525543814</v>
      </c>
      <c r="K766" t="n">
        <v>61.03696765248845</v>
      </c>
      <c r="L766" t="n">
        <v>56.14179489055859</v>
      </c>
      <c r="M766" t="n">
        <v>55.44077895991546</v>
      </c>
      <c r="N766" t="n">
        <v>55.82868369241525</v>
      </c>
      <c r="O766" t="n">
        <v>56.14268621258334</v>
      </c>
      <c r="BH766" t="n">
        <v>57.453</v>
      </c>
      <c r="BS766" t="n">
        <v>0.8</v>
      </c>
      <c r="CD766" t="n">
        <v>3.9</v>
      </c>
      <c r="CF766" t="n">
        <v>15</v>
      </c>
      <c r="CG766" t="n">
        <v>164</v>
      </c>
      <c r="CH766" t="n">
        <v>2624</v>
      </c>
      <c r="CI766" t="n">
        <v>-2296</v>
      </c>
      <c r="CJ766" t="n">
        <v>160.8483311874867</v>
      </c>
      <c r="CK766" t="n">
        <v>166.4656734062472</v>
      </c>
      <c r="CL766" t="n">
        <v>160.4097415092139</v>
      </c>
      <c r="CM766" t="n">
        <v>163.0293132256993</v>
      </c>
      <c r="EH766" t="n">
        <v>162.688</v>
      </c>
      <c r="ES766" t="n">
        <v>-0.8</v>
      </c>
      <c r="FD766" t="n">
        <v>1.47</v>
      </c>
      <c r="FF766" t="n">
        <v>15</v>
      </c>
      <c r="FG766" t="n">
        <v>23</v>
      </c>
      <c r="FH766" t="n">
        <v>368</v>
      </c>
      <c r="FI766" t="n">
        <v>-322</v>
      </c>
      <c r="FJ766" t="n">
        <v>21.95746041597403</v>
      </c>
      <c r="FK766" t="n">
        <v>22.76132898869601</v>
      </c>
      <c r="FL766" t="n">
        <v>21.96543438563336</v>
      </c>
      <c r="FM766" t="n">
        <v>22.91060890011664</v>
      </c>
      <c r="HH766" t="n">
        <v>22.399</v>
      </c>
      <c r="HS766" t="n">
        <v>-2.61</v>
      </c>
      <c r="ID766" t="n">
        <v>1.97</v>
      </c>
      <c r="IF766" t="n">
        <v>15</v>
      </c>
      <c r="IG766" t="n">
        <v>126</v>
      </c>
      <c r="IH766" t="n">
        <v>2016</v>
      </c>
      <c r="II766" t="n">
        <v>-1764</v>
      </c>
      <c r="IJ766" t="n">
        <v>131.2435880198324</v>
      </c>
      <c r="IK766" t="n">
        <v>127.5651094554019</v>
      </c>
      <c r="IL766" t="n">
        <v>126.3498607868599</v>
      </c>
      <c r="IM766" t="n">
        <v>124.0552426676454</v>
      </c>
      <c r="IN766" t="n">
        <v>128.0435682637496</v>
      </c>
      <c r="KH766" t="n">
        <v>127.451</v>
      </c>
      <c r="KS766" t="n">
        <v>1.15</v>
      </c>
      <c r="LD766" t="n">
        <v>1.84</v>
      </c>
    </row>
    <row r="767">
      <c r="A767" t="inlineStr">
        <is>
          <t>2026-04-01</t>
        </is>
      </c>
      <c r="B767" t="inlineStr">
        <is>
          <t>Specific Test 3</t>
        </is>
      </c>
      <c r="C767" t="inlineStr">
        <is>
          <t>00100003326040101</t>
        </is>
      </c>
      <c r="D767" t="inlineStr">
        <is>
          <t>LAC</t>
        </is>
      </c>
      <c r="F767" t="n">
        <v>15</v>
      </c>
      <c r="G767" t="n">
        <v>4.399999999999999</v>
      </c>
      <c r="H767" t="n">
        <v>70.39999999999999</v>
      </c>
      <c r="I767" t="n">
        <v>-61.59999999999999</v>
      </c>
      <c r="J767" t="n">
        <v>0.8429671163575042</v>
      </c>
      <c r="K767" t="n">
        <v>0.8429671163575042</v>
      </c>
      <c r="L767" t="n">
        <v>0.8429671163575042</v>
      </c>
      <c r="M767" t="n">
        <v>0.8429671163575042</v>
      </c>
      <c r="N767" t="n">
        <v>0.8429671455373533</v>
      </c>
      <c r="O767" t="n">
        <v>0.8429676722014968</v>
      </c>
      <c r="BH767" t="n">
        <v>0.843</v>
      </c>
      <c r="BS767" t="n">
        <v>-80.84</v>
      </c>
      <c r="CD767" t="n">
        <v>0</v>
      </c>
      <c r="CF767" t="n">
        <v>15</v>
      </c>
      <c r="CG767" t="n">
        <v>1.15</v>
      </c>
      <c r="CH767" t="n">
        <v>18.4</v>
      </c>
      <c r="CI767" t="n">
        <v>-16.1</v>
      </c>
      <c r="CJ767" t="n">
        <v>0.8431848553254071</v>
      </c>
      <c r="CK767" t="n">
        <v>0.8430471528945532</v>
      </c>
      <c r="CL767" t="n">
        <v>0.8430858605196373</v>
      </c>
      <c r="CM767" t="n">
        <v>0.8430704785674423</v>
      </c>
      <c r="EH767" t="n">
        <v>0.843</v>
      </c>
      <c r="ES767" t="n">
        <v>-26.69</v>
      </c>
      <c r="FD767" t="n">
        <v>0.01</v>
      </c>
      <c r="FF767" t="n">
        <v>15</v>
      </c>
      <c r="FG767" t="n">
        <v>1.45</v>
      </c>
      <c r="FH767" t="n">
        <v>23.2</v>
      </c>
      <c r="FI767" t="n">
        <v>-20.3</v>
      </c>
      <c r="FJ767" t="n">
        <v>0.8429671163575042</v>
      </c>
      <c r="FK767" t="n">
        <v>0.8429671163575042</v>
      </c>
      <c r="FL767" t="n">
        <v>0.8429671163575042</v>
      </c>
      <c r="FM767" t="n">
        <v>0.8429671163575042</v>
      </c>
      <c r="HH767" t="n">
        <v>0.843</v>
      </c>
      <c r="HS767" t="n">
        <v>-41.86</v>
      </c>
      <c r="ID767" t="n">
        <v>0</v>
      </c>
      <c r="IF767" t="n">
        <v>15</v>
      </c>
      <c r="IG767" t="n">
        <v>5.899999999999999</v>
      </c>
      <c r="IH767" t="n">
        <v>94.39999999999999</v>
      </c>
      <c r="II767" t="n">
        <v>-82.59999999999999</v>
      </c>
      <c r="IJ767" t="n">
        <v>0.8435255588629309</v>
      </c>
      <c r="IK767" t="n">
        <v>0.8434983375656657</v>
      </c>
      <c r="IL767" t="n">
        <v>0.8435937065944686</v>
      </c>
      <c r="IM767" t="n">
        <v>0.8435689984381136</v>
      </c>
      <c r="IN767" t="n">
        <v>0.8435592733455728</v>
      </c>
      <c r="KH767" t="n">
        <v>0.844</v>
      </c>
      <c r="KS767" t="n">
        <v>-85.7</v>
      </c>
      <c r="LD767" t="n">
        <v>0</v>
      </c>
    </row>
    <row r="768">
      <c r="A768" t="inlineStr">
        <is>
          <t>2026-04-01</t>
        </is>
      </c>
      <c r="B768" t="inlineStr">
        <is>
          <t>Specific Test 3</t>
        </is>
      </c>
      <c r="C768" t="inlineStr">
        <is>
          <t>00100003326040101</t>
        </is>
      </c>
      <c r="D768" t="inlineStr">
        <is>
          <t>LDH</t>
        </is>
      </c>
      <c r="F768" t="n">
        <v>15</v>
      </c>
      <c r="J768" t="n">
        <v>256.0223026631548</v>
      </c>
      <c r="K768" t="n">
        <v>251.8305532045067</v>
      </c>
      <c r="L768" t="n">
        <v>271.1323570573772</v>
      </c>
      <c r="M768" t="n">
        <v>271.2359965122968</v>
      </c>
      <c r="N768" t="n">
        <v>268.7658739356759</v>
      </c>
      <c r="O768" t="n">
        <v>261.6513791741584</v>
      </c>
      <c r="BH768" t="n">
        <v>263.44</v>
      </c>
      <c r="CD768" t="n">
        <v>2.86</v>
      </c>
      <c r="CF768" t="n">
        <v>15</v>
      </c>
      <c r="CJ768" t="n">
        <v>620.6225464286041</v>
      </c>
      <c r="CK768" t="n">
        <v>632.8292935374693</v>
      </c>
      <c r="CL768" t="n">
        <v>623.8294354305742</v>
      </c>
      <c r="CM768" t="n">
        <v>625.0150344753291</v>
      </c>
      <c r="EH768" t="n">
        <v>625.574</v>
      </c>
      <c r="FD768" t="n">
        <v>0.72</v>
      </c>
      <c r="FF768" t="n">
        <v>15</v>
      </c>
      <c r="FJ768" t="n">
        <v>172.1556247393957</v>
      </c>
      <c r="FK768" t="n">
        <v>166.609811216761</v>
      </c>
      <c r="FL768" t="n">
        <v>169.880622457854</v>
      </c>
      <c r="FM768" t="n">
        <v>174.6801933293449</v>
      </c>
      <c r="HH768" t="n">
        <v>170.832</v>
      </c>
      <c r="ID768" t="n">
        <v>1.74</v>
      </c>
      <c r="IF768" t="n">
        <v>15</v>
      </c>
      <c r="IJ768" t="n">
        <v>748.1211428916621</v>
      </c>
      <c r="IK768" t="n">
        <v>777.583431380226</v>
      </c>
      <c r="IL768" t="n">
        <v>773.8971130534148</v>
      </c>
      <c r="IM768" t="n">
        <v>776.6102639941842</v>
      </c>
      <c r="IN768" t="n">
        <v>775.2868080816822</v>
      </c>
      <c r="KH768" t="n">
        <v>770.3</v>
      </c>
      <c r="LD768" t="n">
        <v>1.45</v>
      </c>
    </row>
    <row r="769">
      <c r="A769" t="inlineStr">
        <is>
          <t>2026-04-01</t>
        </is>
      </c>
      <c r="B769" t="inlineStr">
        <is>
          <t>Specific Test 3</t>
        </is>
      </c>
      <c r="C769" t="inlineStr">
        <is>
          <t>00100003326040101</t>
        </is>
      </c>
      <c r="D769" t="inlineStr">
        <is>
          <t>TBIL</t>
        </is>
      </c>
      <c r="F769" t="n">
        <v>20</v>
      </c>
      <c r="G769" t="n">
        <v>1.1</v>
      </c>
      <c r="H769" t="n">
        <v>23.1</v>
      </c>
      <c r="I769" t="n">
        <v>-20.9</v>
      </c>
      <c r="J769" t="n">
        <v>1.132042055083067</v>
      </c>
      <c r="K769" t="n">
        <v>1.145525856067174</v>
      </c>
      <c r="L769" t="n">
        <v>1.216662158677335</v>
      </c>
      <c r="M769" t="n">
        <v>1.198170917275167</v>
      </c>
      <c r="N769" t="n">
        <v>1.200179423620412</v>
      </c>
      <c r="O769" t="n">
        <v>1.254538248097061</v>
      </c>
      <c r="BH769" t="n">
        <v>1.191</v>
      </c>
      <c r="BS769" t="n">
        <v>8.289999999999999</v>
      </c>
      <c r="CD769" t="n">
        <v>3.49</v>
      </c>
      <c r="CF769" t="n">
        <v>20</v>
      </c>
      <c r="CG769" t="n">
        <v>5.1</v>
      </c>
      <c r="CH769" t="n">
        <v>107.1</v>
      </c>
      <c r="CI769" t="n">
        <v>-96.89999999999999</v>
      </c>
      <c r="CJ769" t="n">
        <v>5.155472010123122</v>
      </c>
      <c r="CK769" t="n">
        <v>5.119758373755499</v>
      </c>
      <c r="CL769" t="n">
        <v>5.182752618879637</v>
      </c>
      <c r="CM769" t="n">
        <v>5.133564623752327</v>
      </c>
      <c r="EH769" t="n">
        <v>5.148</v>
      </c>
      <c r="ES769" t="n">
        <v>0.9399999999999999</v>
      </c>
      <c r="FD769" t="n">
        <v>0.46</v>
      </c>
      <c r="FF769" t="n">
        <v>20</v>
      </c>
      <c r="FG769" t="n">
        <v>0.8</v>
      </c>
      <c r="FH769" t="n">
        <v>16.8</v>
      </c>
      <c r="FI769" t="n">
        <v>-15.2</v>
      </c>
      <c r="FJ769" t="n">
        <v>0.604257681159484</v>
      </c>
      <c r="FK769" t="n">
        <v>0.6188310358307092</v>
      </c>
      <c r="FL769" t="n">
        <v>0.6197882286853149</v>
      </c>
      <c r="FM769" t="n">
        <v>0.6091465052706511</v>
      </c>
      <c r="HH769" t="n">
        <v>0.613</v>
      </c>
      <c r="HS769" t="n">
        <v>-23.37</v>
      </c>
      <c r="ID769" t="n">
        <v>1.07</v>
      </c>
      <c r="IF769" t="n">
        <v>20</v>
      </c>
      <c r="IG769" t="n">
        <v>8.4</v>
      </c>
      <c r="IH769" t="n">
        <v>176.4</v>
      </c>
      <c r="II769" t="n">
        <v>-159.6</v>
      </c>
      <c r="IJ769" t="n">
        <v>8.37788140860512</v>
      </c>
      <c r="IK769" t="n">
        <v>8.26902990989289</v>
      </c>
      <c r="IL769" t="n">
        <v>8.363866616797488</v>
      </c>
      <c r="IM769" t="n">
        <v>8.401412711953526</v>
      </c>
      <c r="IN769" t="n">
        <v>8.270245446036199</v>
      </c>
      <c r="KH769" t="n">
        <v>8.336</v>
      </c>
      <c r="KS769" t="n">
        <v>-0.76</v>
      </c>
      <c r="LD769" t="n">
        <v>0.67</v>
      </c>
    </row>
    <row r="770">
      <c r="A770" t="inlineStr">
        <is>
          <t>2026-04-01</t>
        </is>
      </c>
      <c r="B770" t="inlineStr">
        <is>
          <t>Renal 15</t>
        </is>
      </c>
      <c r="C770" t="inlineStr">
        <is>
          <t>00100000726040101</t>
        </is>
      </c>
      <c r="D770" t="inlineStr">
        <is>
          <t>ALB</t>
        </is>
      </c>
      <c r="F770" t="n">
        <v>8</v>
      </c>
      <c r="G770" t="n">
        <v>4.2</v>
      </c>
      <c r="H770" t="n">
        <v>37.8</v>
      </c>
      <c r="I770" t="n">
        <v>-29.4</v>
      </c>
      <c r="J770" t="n">
        <v>5.147007802209176</v>
      </c>
      <c r="K770" t="n">
        <v>5.119691838050155</v>
      </c>
      <c r="L770" t="n">
        <v>5.129835480388021</v>
      </c>
      <c r="M770" t="n">
        <v>5.093699999797311</v>
      </c>
      <c r="N770" t="n">
        <v>5.072103230045312</v>
      </c>
      <c r="O770" t="n">
        <v>4.851444760609152</v>
      </c>
      <c r="P770" t="n">
        <v>5.098888998357433</v>
      </c>
      <c r="Q770" t="n">
        <v>5.076750167683629</v>
      </c>
      <c r="BH770" t="n">
        <v>5.074</v>
      </c>
      <c r="BS770" t="n">
        <v>20.8</v>
      </c>
      <c r="CD770" t="n">
        <v>1.72</v>
      </c>
      <c r="CF770" t="n">
        <v>8</v>
      </c>
      <c r="CG770" t="n">
        <v>2.7</v>
      </c>
      <c r="CH770" t="n">
        <v>24.3</v>
      </c>
      <c r="CI770" t="n">
        <v>-18.9</v>
      </c>
      <c r="CJ770" t="n">
        <v>3.570288614676124</v>
      </c>
      <c r="CK770" t="n">
        <v>3.51675177858651</v>
      </c>
      <c r="CL770" t="n">
        <v>3.547104405024658</v>
      </c>
      <c r="CM770" t="n">
        <v>3.569746740831938</v>
      </c>
      <c r="CN770" t="n">
        <v>3.550013480586466</v>
      </c>
      <c r="EH770" t="n">
        <v>3.551</v>
      </c>
      <c r="ES770" t="n">
        <v>31.51</v>
      </c>
      <c r="FD770" t="n">
        <v>0.55</v>
      </c>
      <c r="FF770" t="n">
        <v>8</v>
      </c>
      <c r="FG770" t="n">
        <v>2.6</v>
      </c>
      <c r="FH770" t="n">
        <v>23.4</v>
      </c>
      <c r="FI770" t="n">
        <v>-18.2</v>
      </c>
      <c r="FJ770" t="n">
        <v>3.429409625856152</v>
      </c>
      <c r="FK770" t="n">
        <v>3.399227792092821</v>
      </c>
      <c r="FL770" t="n">
        <v>3.430661554752247</v>
      </c>
      <c r="FM770" t="n">
        <v>3.374368062324489</v>
      </c>
      <c r="HH770" t="n">
        <v>3.408</v>
      </c>
      <c r="HS770" t="n">
        <v>31.09</v>
      </c>
      <c r="ID770" t="n">
        <v>0.68</v>
      </c>
      <c r="IF770" t="n">
        <v>8</v>
      </c>
      <c r="IG770" t="n">
        <v>4.2</v>
      </c>
      <c r="IH770" t="n">
        <v>37.8</v>
      </c>
      <c r="II770" t="n">
        <v>-29.4</v>
      </c>
      <c r="IJ770" t="n">
        <v>5.132760720720628</v>
      </c>
      <c r="IK770" t="n">
        <v>5.15895276106983</v>
      </c>
      <c r="IL770" t="n">
        <v>5.138416048400861</v>
      </c>
      <c r="IM770" t="n">
        <v>5.174413891072771</v>
      </c>
      <c r="IN770" t="n">
        <v>5.122142739335369</v>
      </c>
      <c r="IO770" t="n">
        <v>5.148266473817721</v>
      </c>
      <c r="IP770" t="n">
        <v>5.083453544008704</v>
      </c>
      <c r="IQ770" t="n">
        <v>5.134213122874008</v>
      </c>
      <c r="KH770" t="n">
        <v>5.137</v>
      </c>
      <c r="KS770" t="n">
        <v>22.3</v>
      </c>
      <c r="LD770" t="n">
        <v>0.49</v>
      </c>
    </row>
    <row r="771">
      <c r="A771" t="inlineStr">
        <is>
          <t>2026-04-01</t>
        </is>
      </c>
      <c r="B771" t="inlineStr">
        <is>
          <t>Renal 15</t>
        </is>
      </c>
      <c r="C771" t="inlineStr">
        <is>
          <t>00100000726040101</t>
        </is>
      </c>
      <c r="D771" t="inlineStr">
        <is>
          <t>BUN</t>
        </is>
      </c>
      <c r="F771" t="n">
        <v>9</v>
      </c>
      <c r="G771" t="n">
        <v>14.8</v>
      </c>
      <c r="H771" t="n">
        <v>148</v>
      </c>
      <c r="I771" t="n">
        <v>-118.4</v>
      </c>
      <c r="J771" t="n">
        <v>15.07912368195256</v>
      </c>
      <c r="K771" t="n">
        <v>15.08089279630154</v>
      </c>
      <c r="L771" t="n">
        <v>15.05370340990659</v>
      </c>
      <c r="M771" t="n">
        <v>14.76232545267119</v>
      </c>
      <c r="N771" t="n">
        <v>14.59147358944097</v>
      </c>
      <c r="O771" t="n">
        <v>14.60428648520784</v>
      </c>
      <c r="P771" t="n">
        <v>14.47822418849795</v>
      </c>
      <c r="Q771" t="n">
        <v>14.79242212704752</v>
      </c>
      <c r="BH771" t="n">
        <v>14.805</v>
      </c>
      <c r="BS771" t="n">
        <v>0.04</v>
      </c>
      <c r="CD771" t="n">
        <v>1.52</v>
      </c>
      <c r="CF771" t="n">
        <v>9</v>
      </c>
      <c r="CG771" t="n">
        <v>44.7</v>
      </c>
      <c r="CH771" t="n">
        <v>447</v>
      </c>
      <c r="CI771" t="n">
        <v>-357.6</v>
      </c>
      <c r="CJ771" t="n">
        <v>45.83637832251468</v>
      </c>
      <c r="CK771" t="n">
        <v>45.94309502516523</v>
      </c>
      <c r="CL771" t="n">
        <v>45.96431931195196</v>
      </c>
      <c r="CM771" t="n">
        <v>46.39802553424919</v>
      </c>
      <c r="CN771" t="n">
        <v>45.23707879062832</v>
      </c>
      <c r="EH771" t="n">
        <v>45.876</v>
      </c>
      <c r="ES771" t="n">
        <v>2.63</v>
      </c>
      <c r="FD771" t="n">
        <v>0.8100000000000001</v>
      </c>
      <c r="FF771" t="n">
        <v>9</v>
      </c>
      <c r="FG771" t="n">
        <v>14.7</v>
      </c>
      <c r="FH771" t="n">
        <v>147</v>
      </c>
      <c r="FI771" t="n">
        <v>-117.6</v>
      </c>
      <c r="FJ771" t="n">
        <v>14.96868816730145</v>
      </c>
      <c r="FK771" t="n">
        <v>14.91473088536092</v>
      </c>
      <c r="FL771" t="n">
        <v>14.57988827775912</v>
      </c>
      <c r="FM771" t="n">
        <v>14.85443852853648</v>
      </c>
      <c r="HH771" t="n">
        <v>14.829</v>
      </c>
      <c r="HS771" t="n">
        <v>0.88</v>
      </c>
      <c r="ID771" t="n">
        <v>1.01</v>
      </c>
      <c r="IF771" t="n">
        <v>9</v>
      </c>
      <c r="IG771" t="n">
        <v>65.7</v>
      </c>
      <c r="IH771" t="n">
        <v>657</v>
      </c>
      <c r="II771" t="n">
        <v>-525.6</v>
      </c>
      <c r="IJ771" t="n">
        <v>67.50974239614716</v>
      </c>
      <c r="IK771" t="n">
        <v>67.10608900389504</v>
      </c>
      <c r="IL771" t="n">
        <v>67.54396858203661</v>
      </c>
      <c r="IM771" t="n">
        <v>68.32408603420035</v>
      </c>
      <c r="IN771" t="n">
        <v>66.03401406838655</v>
      </c>
      <c r="IO771" t="n">
        <v>66.04011318315757</v>
      </c>
      <c r="IP771" t="n">
        <v>67.46337505229923</v>
      </c>
      <c r="IQ771" t="n">
        <v>66.59899168585324</v>
      </c>
      <c r="KH771" t="n">
        <v>67.078</v>
      </c>
      <c r="KS771" t="n">
        <v>2.1</v>
      </c>
      <c r="LD771" t="n">
        <v>1.12</v>
      </c>
    </row>
    <row r="772">
      <c r="A772" t="inlineStr">
        <is>
          <t>2026-04-01</t>
        </is>
      </c>
      <c r="B772" t="inlineStr">
        <is>
          <t>Renal 15</t>
        </is>
      </c>
      <c r="C772" t="inlineStr">
        <is>
          <t>00100000726040101</t>
        </is>
      </c>
      <c r="D772" t="inlineStr">
        <is>
          <t>CREA</t>
        </is>
      </c>
      <c r="F772" t="n">
        <v>10</v>
      </c>
      <c r="G772" t="n">
        <v>1.5</v>
      </c>
      <c r="H772" t="n">
        <v>16.5</v>
      </c>
      <c r="I772" t="n">
        <v>-13.5</v>
      </c>
      <c r="J772" t="n">
        <v>1.217142183973573</v>
      </c>
      <c r="K772" t="n">
        <v>1.141978317801636</v>
      </c>
      <c r="L772" t="n">
        <v>1.205257239652433</v>
      </c>
      <c r="M772" t="n">
        <v>1.195588609495258</v>
      </c>
      <c r="N772" t="n">
        <v>1.176900750529374</v>
      </c>
      <c r="O772" t="n">
        <v>1.287797854221855</v>
      </c>
      <c r="P772" t="n">
        <v>1.185387116411353</v>
      </c>
      <c r="Q772" t="n">
        <v>1.16187793373142</v>
      </c>
      <c r="BH772" t="n">
        <v>1.196</v>
      </c>
      <c r="BS772" t="n">
        <v>-20.23</v>
      </c>
      <c r="CD772" t="n">
        <v>3.44</v>
      </c>
      <c r="CF772" t="n">
        <v>10</v>
      </c>
      <c r="CG772" t="n">
        <v>5.55</v>
      </c>
      <c r="CH772" t="n">
        <v>61.05</v>
      </c>
      <c r="CI772" t="n">
        <v>-49.95</v>
      </c>
      <c r="CJ772" t="n">
        <v>4.292294041798947</v>
      </c>
      <c r="CK772" t="n">
        <v>4.341135213949216</v>
      </c>
      <c r="CL772" t="n">
        <v>4.346366107108501</v>
      </c>
      <c r="CM772" t="n">
        <v>4.226048810995071</v>
      </c>
      <c r="CN772" t="n">
        <v>4.344056590253443</v>
      </c>
      <c r="EH772" t="n">
        <v>4.31</v>
      </c>
      <c r="ES772" t="n">
        <v>-22.34</v>
      </c>
      <c r="FD772" t="n">
        <v>1.08</v>
      </c>
      <c r="FF772" t="n">
        <v>10</v>
      </c>
      <c r="FG772" t="n">
        <v>0.97</v>
      </c>
      <c r="FH772" t="n">
        <v>10.67</v>
      </c>
      <c r="FI772" t="n">
        <v>-8.73</v>
      </c>
      <c r="FJ772" t="n">
        <v>0.6743063345816303</v>
      </c>
      <c r="FK772" t="n">
        <v>0.6358705330765808</v>
      </c>
      <c r="FL772" t="n">
        <v>0.6029405392373796</v>
      </c>
      <c r="FM772" t="n">
        <v>0.6264824680942052</v>
      </c>
      <c r="HH772" t="n">
        <v>0.635</v>
      </c>
      <c r="HS772" t="n">
        <v>-34.55</v>
      </c>
      <c r="ID772" t="n">
        <v>4.05</v>
      </c>
      <c r="IF772" t="n">
        <v>10</v>
      </c>
      <c r="IG772" t="n">
        <v>5.95</v>
      </c>
      <c r="IH772" t="n">
        <v>65.45</v>
      </c>
      <c r="II772" t="n">
        <v>-53.55</v>
      </c>
      <c r="IJ772" t="n">
        <v>5.115098479093028</v>
      </c>
      <c r="IK772" t="n">
        <v>4.991492823701946</v>
      </c>
      <c r="IL772" t="n">
        <v>5.06061461502362</v>
      </c>
      <c r="IM772" t="n">
        <v>5.056029238079589</v>
      </c>
      <c r="IN772" t="n">
        <v>4.82146726759463</v>
      </c>
      <c r="IO772" t="n">
        <v>5.033841903533062</v>
      </c>
      <c r="IP772" t="n">
        <v>4.884940458883878</v>
      </c>
      <c r="IQ772" t="n">
        <v>4.995327235818467</v>
      </c>
      <c r="KH772" t="n">
        <v>4.995</v>
      </c>
      <c r="KS772" t="n">
        <v>-16.05</v>
      </c>
      <c r="LD772" t="n">
        <v>1.82</v>
      </c>
    </row>
    <row r="773">
      <c r="A773" t="inlineStr">
        <is>
          <t>2026-04-01</t>
        </is>
      </c>
      <c r="B773" t="inlineStr">
        <is>
          <t>Renal 15</t>
        </is>
      </c>
      <c r="C773" t="inlineStr">
        <is>
          <t>00100000726040101</t>
        </is>
      </c>
      <c r="D773" t="inlineStr">
        <is>
          <t>Ca</t>
        </is>
      </c>
      <c r="G773" t="n">
        <v>9.1</v>
      </c>
      <c r="J773" t="n">
        <v>9.985599276990369</v>
      </c>
      <c r="K773" t="n">
        <v>10.0465219181305</v>
      </c>
      <c r="L773" t="n">
        <v>9.955110406571245</v>
      </c>
      <c r="M773" t="n">
        <v>9.684843967162433</v>
      </c>
      <c r="N773" t="n">
        <v>9.828022865519646</v>
      </c>
      <c r="O773" t="n">
        <v>9.815977436054435</v>
      </c>
      <c r="P773" t="n">
        <v>9.81854328029233</v>
      </c>
      <c r="Q773" t="n">
        <v>9.790198162492677</v>
      </c>
      <c r="BH773" t="n">
        <v>9.866</v>
      </c>
      <c r="BS773" t="n">
        <v>8.41</v>
      </c>
      <c r="CD773" t="n">
        <v>1.13</v>
      </c>
      <c r="CG773" t="n">
        <v>12.4</v>
      </c>
      <c r="CJ773" t="n">
        <v>13.2717069066313</v>
      </c>
      <c r="CK773" t="n">
        <v>13.06825803798221</v>
      </c>
      <c r="CL773" t="n">
        <v>12.53647904156891</v>
      </c>
      <c r="CM773" t="n">
        <v>13.07181116581771</v>
      </c>
      <c r="CN773" t="n">
        <v>13.04828975083329</v>
      </c>
      <c r="EH773" t="n">
        <v>12.999</v>
      </c>
      <c r="ES773" t="n">
        <v>4.83</v>
      </c>
      <c r="FD773" t="n">
        <v>1.89</v>
      </c>
      <c r="FG773" t="n">
        <v>5.9</v>
      </c>
      <c r="FJ773" t="n">
        <v>5.964065745876425</v>
      </c>
      <c r="FK773" t="n">
        <v>5.788532695151648</v>
      </c>
      <c r="FL773" t="n">
        <v>5.848213355890547</v>
      </c>
      <c r="FM773" t="n">
        <v>5.90824605186801</v>
      </c>
      <c r="HH773" t="n">
        <v>5.877</v>
      </c>
      <c r="HS773" t="n">
        <v>-0.39</v>
      </c>
      <c r="ID773" t="n">
        <v>1.12</v>
      </c>
      <c r="IG773" t="n">
        <v>12.7</v>
      </c>
      <c r="IJ773" t="n">
        <v>13.29144352109892</v>
      </c>
      <c r="IK773" t="n">
        <v>13.1385566479737</v>
      </c>
      <c r="IL773" t="n">
        <v>13.1759736799743</v>
      </c>
      <c r="IM773" t="n">
        <v>13.14085016406673</v>
      </c>
      <c r="IN773" t="n">
        <v>13.19983570620995</v>
      </c>
      <c r="IO773" t="n">
        <v>13.4112757230062</v>
      </c>
      <c r="IP773" t="n">
        <v>13.38788516787928</v>
      </c>
      <c r="IQ773" t="n">
        <v>13.28589452302877</v>
      </c>
      <c r="KH773" t="n">
        <v>13.254</v>
      </c>
      <c r="KS773" t="n">
        <v>4.36</v>
      </c>
      <c r="LD773" t="n">
        <v>0.76</v>
      </c>
    </row>
    <row r="774">
      <c r="A774" t="inlineStr">
        <is>
          <t>2026-04-01</t>
        </is>
      </c>
      <c r="B774" t="inlineStr">
        <is>
          <t>Renal 15</t>
        </is>
      </c>
      <c r="C774" t="inlineStr">
        <is>
          <t>00100000726040101</t>
        </is>
      </c>
      <c r="D774" t="inlineStr">
        <is>
          <t>GLU</t>
        </is>
      </c>
      <c r="F774" t="n">
        <v>8</v>
      </c>
      <c r="G774" t="n">
        <v>90.16</v>
      </c>
      <c r="H774" t="n">
        <v>811.4399999999999</v>
      </c>
      <c r="I774" t="n">
        <v>-631.12</v>
      </c>
      <c r="J774" t="n">
        <v>88.92418426129734</v>
      </c>
      <c r="K774" t="n">
        <v>87.88720821126643</v>
      </c>
      <c r="L774" t="n">
        <v>88.19782489002523</v>
      </c>
      <c r="M774" t="n">
        <v>87.74845101361589</v>
      </c>
      <c r="N774" t="n">
        <v>88.24940877626656</v>
      </c>
      <c r="O774" t="n">
        <v>89.48781076228829</v>
      </c>
      <c r="P774" t="n">
        <v>88.43151864603408</v>
      </c>
      <c r="Q774" t="n">
        <v>90.11100296722987</v>
      </c>
      <c r="BH774" t="n">
        <v>88.63</v>
      </c>
      <c r="BS774" t="n">
        <v>-1.7</v>
      </c>
      <c r="CD774" t="n">
        <v>0.87</v>
      </c>
      <c r="CF774" t="n">
        <v>8</v>
      </c>
      <c r="CG774" t="n">
        <v>293.02</v>
      </c>
      <c r="CH774" t="n">
        <v>2637.18</v>
      </c>
      <c r="CI774" t="n">
        <v>-2051.14</v>
      </c>
      <c r="CJ774" t="n">
        <v>294.6317601027107</v>
      </c>
      <c r="CK774" t="n">
        <v>290.4121325123414</v>
      </c>
      <c r="CL774" t="n">
        <v>289.5019451203907</v>
      </c>
      <c r="CM774" t="n">
        <v>289.8702770527004</v>
      </c>
      <c r="CN774" t="n">
        <v>291.2648593355643</v>
      </c>
      <c r="EH774" t="n">
        <v>291.136</v>
      </c>
      <c r="ES774" t="n">
        <v>-0.64</v>
      </c>
      <c r="FD774" t="n">
        <v>0.63</v>
      </c>
      <c r="FF774" t="n">
        <v>8</v>
      </c>
      <c r="FG774" t="n">
        <v>65.66</v>
      </c>
      <c r="FH774" t="n">
        <v>590.9399999999999</v>
      </c>
      <c r="FI774" t="n">
        <v>-459.62</v>
      </c>
      <c r="FJ774" t="n">
        <v>64.38131822408869</v>
      </c>
      <c r="FK774" t="n">
        <v>63.67978413262075</v>
      </c>
      <c r="FL774" t="n">
        <v>64.35322488151974</v>
      </c>
      <c r="FM774" t="n">
        <v>63.63341601790882</v>
      </c>
      <c r="HH774" t="n">
        <v>64.012</v>
      </c>
      <c r="HS774" t="n">
        <v>-2.51</v>
      </c>
      <c r="ID774" t="n">
        <v>0.5600000000000001</v>
      </c>
      <c r="IF774" t="n">
        <v>8</v>
      </c>
      <c r="IG774" t="n">
        <v>359.66</v>
      </c>
      <c r="IH774" t="n">
        <v>3236.94</v>
      </c>
      <c r="II774" t="n">
        <v>-2517.62</v>
      </c>
      <c r="IJ774" t="n">
        <v>345.0163915672547</v>
      </c>
      <c r="IK774" t="n">
        <v>348.8109867765934</v>
      </c>
      <c r="IL774" t="n">
        <v>350.7743059822678</v>
      </c>
      <c r="IM774" t="n">
        <v>350.7192148862241</v>
      </c>
      <c r="IN774" t="n">
        <v>347.1387740828339</v>
      </c>
      <c r="IO774" t="n">
        <v>350.5432823574537</v>
      </c>
      <c r="IP774" t="n">
        <v>347.7654593573258</v>
      </c>
      <c r="IQ774" t="n">
        <v>350.254399510887</v>
      </c>
      <c r="KH774" t="n">
        <v>348.878</v>
      </c>
      <c r="KS774" t="n">
        <v>-3</v>
      </c>
      <c r="LD774" t="n">
        <v>0.5600000000000001</v>
      </c>
    </row>
    <row r="775">
      <c r="A775" t="inlineStr">
        <is>
          <t>2026-04-01</t>
        </is>
      </c>
      <c r="B775" t="inlineStr">
        <is>
          <t>Renal 15</t>
        </is>
      </c>
      <c r="C775" t="inlineStr">
        <is>
          <t>00100000726040101</t>
        </is>
      </c>
      <c r="D775" t="inlineStr">
        <is>
          <t>PHOS</t>
        </is>
      </c>
      <c r="F775" t="n">
        <v>10</v>
      </c>
      <c r="G775" t="n">
        <v>3.3</v>
      </c>
      <c r="H775" t="n">
        <v>36.3</v>
      </c>
      <c r="I775" t="n">
        <v>-29.7</v>
      </c>
      <c r="J775" t="n">
        <v>3.050166066825766</v>
      </c>
      <c r="K775" t="n">
        <v>3.037051675151585</v>
      </c>
      <c r="L775" t="n">
        <v>3.121791955477336</v>
      </c>
      <c r="M775" t="n">
        <v>3.038440563416545</v>
      </c>
      <c r="N775" t="n">
        <v>3.033506869964565</v>
      </c>
      <c r="O775" t="n">
        <v>3.037218606370107</v>
      </c>
      <c r="P775" t="n">
        <v>3.059402851769604</v>
      </c>
      <c r="Q775" t="n">
        <v>3.042770031998221</v>
      </c>
      <c r="BH775" t="n">
        <v>3.053</v>
      </c>
      <c r="BS775" t="n">
        <v>-7.5</v>
      </c>
      <c r="CD775" t="n">
        <v>0.9</v>
      </c>
      <c r="CF775" t="n">
        <v>10</v>
      </c>
      <c r="CG775" t="n">
        <v>7.2</v>
      </c>
      <c r="CH775" t="n">
        <v>79.2</v>
      </c>
      <c r="CI775" t="n">
        <v>-64.8</v>
      </c>
      <c r="CJ775" t="n">
        <v>6.97617435484053</v>
      </c>
      <c r="CK775" t="n">
        <v>6.755405125315281</v>
      </c>
      <c r="CL775" t="n">
        <v>6.781255215353025</v>
      </c>
      <c r="CM775" t="n">
        <v>6.790176525171472</v>
      </c>
      <c r="CN775" t="n">
        <v>6.751764985079995</v>
      </c>
      <c r="EH775" t="n">
        <v>6.811</v>
      </c>
      <c r="ES775" t="n">
        <v>-5.4</v>
      </c>
      <c r="FD775" t="n">
        <v>1.23</v>
      </c>
      <c r="FF775" t="n">
        <v>10</v>
      </c>
      <c r="FG775" t="n">
        <v>1.9</v>
      </c>
      <c r="FH775" t="n">
        <v>20.9</v>
      </c>
      <c r="FI775" t="n">
        <v>-17.1</v>
      </c>
      <c r="FJ775" t="n">
        <v>1.852168632117559</v>
      </c>
      <c r="FK775" t="n">
        <v>1.8826009561663</v>
      </c>
      <c r="FL775" t="n">
        <v>1.902939581665948</v>
      </c>
      <c r="FM775" t="n">
        <v>1.844631127544836</v>
      </c>
      <c r="HH775" t="n">
        <v>1.871</v>
      </c>
      <c r="HS775" t="n">
        <v>-1.55</v>
      </c>
      <c r="ID775" t="n">
        <v>1.25</v>
      </c>
      <c r="IF775" t="n">
        <v>10</v>
      </c>
      <c r="IG775" t="n">
        <v>7.2</v>
      </c>
      <c r="IH775" t="n">
        <v>79.2</v>
      </c>
      <c r="II775" t="n">
        <v>-64.8</v>
      </c>
      <c r="IJ775" t="n">
        <v>6.978417477528067</v>
      </c>
      <c r="IK775" t="n">
        <v>7.091371076167939</v>
      </c>
      <c r="IL775" t="n">
        <v>6.96059437793862</v>
      </c>
      <c r="IM775" t="n">
        <v>7.013702853832116</v>
      </c>
      <c r="IN775" t="n">
        <v>6.805338905707536</v>
      </c>
      <c r="IO775" t="n">
        <v>7.009412919490035</v>
      </c>
      <c r="IP775" t="n">
        <v>6.807660782936059</v>
      </c>
      <c r="IQ775" t="n">
        <v>6.882512709133107</v>
      </c>
      <c r="KH775" t="n">
        <v>6.944</v>
      </c>
      <c r="KS775" t="n">
        <v>-3.56</v>
      </c>
      <c r="LD775" t="n">
        <v>1.38</v>
      </c>
    </row>
    <row r="776">
      <c r="A776" t="inlineStr">
        <is>
          <t>2026-04-01</t>
        </is>
      </c>
      <c r="B776" t="inlineStr">
        <is>
          <t>Renal 15</t>
        </is>
      </c>
      <c r="C776" t="inlineStr">
        <is>
          <t>00100000726040101</t>
        </is>
      </c>
      <c r="D776" t="inlineStr">
        <is>
          <t>TP</t>
        </is>
      </c>
      <c r="F776" t="n">
        <v>8</v>
      </c>
      <c r="G776" t="n">
        <v>6.4</v>
      </c>
      <c r="H776" t="n">
        <v>57.6</v>
      </c>
      <c r="I776" t="n">
        <v>-44.8</v>
      </c>
      <c r="J776" t="n">
        <v>6.319652936428265</v>
      </c>
      <c r="K776" t="n">
        <v>6.308384061538222</v>
      </c>
      <c r="L776" t="n">
        <v>6.282556597650362</v>
      </c>
      <c r="M776" t="n">
        <v>6.233459198951468</v>
      </c>
      <c r="N776" t="n">
        <v>6.14357768040054</v>
      </c>
      <c r="O776" t="n">
        <v>6.101830975241457</v>
      </c>
      <c r="P776" t="n">
        <v>6.178226491180826</v>
      </c>
      <c r="Q776" t="n">
        <v>6.177768529756353</v>
      </c>
      <c r="BH776" t="n">
        <v>6.218</v>
      </c>
      <c r="BS776" t="n">
        <v>-2.84</v>
      </c>
      <c r="CD776" t="n">
        <v>1.21</v>
      </c>
      <c r="CF776" t="n">
        <v>8</v>
      </c>
      <c r="CG776" t="n">
        <v>4.1</v>
      </c>
      <c r="CH776" t="n">
        <v>36.9</v>
      </c>
      <c r="CI776" t="n">
        <v>-28.7</v>
      </c>
      <c r="CJ776" t="n">
        <v>3.99009892193344</v>
      </c>
      <c r="CK776" t="n">
        <v>3.984103211634791</v>
      </c>
      <c r="CL776" t="n">
        <v>3.922986443829652</v>
      </c>
      <c r="CM776" t="n">
        <v>4.054701532506151</v>
      </c>
      <c r="CN776" t="n">
        <v>3.999831412697534</v>
      </c>
      <c r="EH776" t="n">
        <v>3.99</v>
      </c>
      <c r="ES776" t="n">
        <v>-2.67</v>
      </c>
      <c r="FD776" t="n">
        <v>1.05</v>
      </c>
      <c r="FF776" t="n">
        <v>8</v>
      </c>
      <c r="FG776" t="n">
        <v>4.2</v>
      </c>
      <c r="FH776" t="n">
        <v>37.8</v>
      </c>
      <c r="FI776" t="n">
        <v>-29.4</v>
      </c>
      <c r="FJ776" t="n">
        <v>3.770615500810518</v>
      </c>
      <c r="FK776" t="n">
        <v>3.700742276801662</v>
      </c>
      <c r="FL776" t="n">
        <v>3.782936634704221</v>
      </c>
      <c r="FM776" t="n">
        <v>3.702211307034809</v>
      </c>
      <c r="HH776" t="n">
        <v>3.739</v>
      </c>
      <c r="HS776" t="n">
        <v>-10.97</v>
      </c>
      <c r="ID776" t="n">
        <v>1.01</v>
      </c>
      <c r="IF776" t="n">
        <v>8</v>
      </c>
      <c r="IG776" t="n">
        <v>7.5</v>
      </c>
      <c r="IH776" t="n">
        <v>67.5</v>
      </c>
      <c r="II776" t="n">
        <v>-52.5</v>
      </c>
      <c r="IJ776" t="n">
        <v>7.164923896573379</v>
      </c>
      <c r="IK776" t="n">
        <v>7.249414033480913</v>
      </c>
      <c r="IL776" t="n">
        <v>7.155005308541696</v>
      </c>
      <c r="IM776" t="n">
        <v>7.203468720192416</v>
      </c>
      <c r="IN776" t="n">
        <v>7.036138049806585</v>
      </c>
      <c r="IO776" t="n">
        <v>7.054600050190929</v>
      </c>
      <c r="IP776" t="n">
        <v>7.092199080197551</v>
      </c>
      <c r="IQ776" t="n">
        <v>7.087815521267014</v>
      </c>
      <c r="KH776" t="n">
        <v>7.13</v>
      </c>
      <c r="KS776" t="n">
        <v>-4.93</v>
      </c>
      <c r="LD776" t="n">
        <v>0.98</v>
      </c>
    </row>
    <row r="777">
      <c r="A777" t="inlineStr">
        <is>
          <t>2026-03-31</t>
        </is>
      </c>
      <c r="B777" t="inlineStr">
        <is>
          <t>Large Animal 25</t>
        </is>
      </c>
      <c r="C777" t="inlineStr">
        <is>
          <t>00206106226033101</t>
        </is>
      </c>
      <c r="D777" t="inlineStr">
        <is>
          <t>ALP</t>
        </is>
      </c>
      <c r="F777" t="n">
        <v>20</v>
      </c>
      <c r="G777" t="n">
        <v>136</v>
      </c>
      <c r="H777" t="n">
        <v>2856</v>
      </c>
      <c r="I777" t="n">
        <v>-2584</v>
      </c>
      <c r="J777" t="n">
        <v>149.4178819512075</v>
      </c>
      <c r="K777" t="n">
        <v>149.062412453517</v>
      </c>
      <c r="L777" t="n">
        <v>148.6180776674262</v>
      </c>
      <c r="M777" t="n">
        <v>147.8036663789836</v>
      </c>
      <c r="N777" t="n">
        <v>150.6879285259607</v>
      </c>
      <c r="BH777" t="n">
        <v>149.118</v>
      </c>
      <c r="BS777" t="n">
        <v>9.65</v>
      </c>
      <c r="CD777" t="n">
        <v>0.64</v>
      </c>
      <c r="CF777" t="n">
        <v>20</v>
      </c>
      <c r="CG777" t="n">
        <v>456</v>
      </c>
      <c r="CH777" t="n">
        <v>9576</v>
      </c>
      <c r="CI777" t="n">
        <v>-8664</v>
      </c>
      <c r="CJ777" t="n">
        <v>492.5727481077983</v>
      </c>
      <c r="CK777" t="n">
        <v>491.0504712747968</v>
      </c>
      <c r="CL777" t="n">
        <v>479.6631129308548</v>
      </c>
      <c r="CM777" t="n">
        <v>484.6682349948115</v>
      </c>
      <c r="CN777" t="n">
        <v>489.2643584820239</v>
      </c>
      <c r="EH777" t="n">
        <v>487.444</v>
      </c>
      <c r="ES777" t="n">
        <v>6.9</v>
      </c>
      <c r="FD777" t="n">
        <v>0.97</v>
      </c>
      <c r="FF777" t="n">
        <v>20</v>
      </c>
      <c r="FG777" t="n">
        <v>75</v>
      </c>
      <c r="FH777" t="n">
        <v>1575</v>
      </c>
      <c r="FI777" t="n">
        <v>-1425</v>
      </c>
      <c r="FJ777" t="n">
        <v>77.45354802724273</v>
      </c>
      <c r="FK777" t="n">
        <v>77.72180003696747</v>
      </c>
      <c r="FL777" t="n">
        <v>78.55457096678396</v>
      </c>
      <c r="FM777" t="n">
        <v>77.98328024724211</v>
      </c>
      <c r="FN777" t="n">
        <v>77.11658403562744</v>
      </c>
      <c r="HH777" t="n">
        <v>77.76600000000001</v>
      </c>
      <c r="HS777" t="n">
        <v>3.69</v>
      </c>
      <c r="ID777" t="n">
        <v>0.63</v>
      </c>
      <c r="IF777" t="n">
        <v>20</v>
      </c>
      <c r="IG777" t="n">
        <v>251</v>
      </c>
      <c r="IH777" t="n">
        <v>5271</v>
      </c>
      <c r="II777" t="n">
        <v>-4769</v>
      </c>
      <c r="IJ777" t="n">
        <v>249.78466750543</v>
      </c>
      <c r="IK777" t="n">
        <v>249.1166096791255</v>
      </c>
      <c r="IL777" t="n">
        <v>249.2034592691007</v>
      </c>
      <c r="IM777" t="n">
        <v>248.5643102702175</v>
      </c>
      <c r="IN777" t="n">
        <v>251.1393846727522</v>
      </c>
      <c r="KH777" t="n">
        <v>249.562</v>
      </c>
      <c r="KS777" t="n">
        <v>-0.57</v>
      </c>
      <c r="LD777" t="n">
        <v>0.35</v>
      </c>
    </row>
    <row r="778">
      <c r="A778" t="inlineStr">
        <is>
          <t>2026-03-31</t>
        </is>
      </c>
      <c r="B778" t="inlineStr">
        <is>
          <t>Large Animal 25</t>
        </is>
      </c>
      <c r="C778" t="inlineStr">
        <is>
          <t>00206106226033101</t>
        </is>
      </c>
      <c r="D778" t="inlineStr">
        <is>
          <t>Ca</t>
        </is>
      </c>
      <c r="G778" t="n">
        <v>9.1</v>
      </c>
      <c r="J778" t="n">
        <v>9.777980906680648</v>
      </c>
      <c r="K778" t="n">
        <v>10.0769713710939</v>
      </c>
      <c r="L778" t="n">
        <v>9.918601653307784</v>
      </c>
      <c r="M778" t="n">
        <v>9.975500347026335</v>
      </c>
      <c r="N778" t="n">
        <v>9.621120072044755</v>
      </c>
      <c r="BH778" t="n">
        <v>9.874000000000001</v>
      </c>
      <c r="BS778" t="n">
        <v>8.51</v>
      </c>
      <c r="CD778" t="n">
        <v>1.61</v>
      </c>
      <c r="CG778" t="n">
        <v>12.4</v>
      </c>
      <c r="CJ778" t="n">
        <v>12.89543736287227</v>
      </c>
      <c r="CK778" t="n">
        <v>13.30904830373462</v>
      </c>
      <c r="CL778" t="n">
        <v>12.97802212755033</v>
      </c>
      <c r="CM778" t="n">
        <v>12.9279542722843</v>
      </c>
      <c r="CN778" t="n">
        <v>12.77782350448215</v>
      </c>
      <c r="EH778" t="n">
        <v>12.978</v>
      </c>
      <c r="ES778" t="n">
        <v>4.66</v>
      </c>
      <c r="FD778" t="n">
        <v>1.37</v>
      </c>
      <c r="FG778" t="n">
        <v>5.9</v>
      </c>
      <c r="FJ778" t="n">
        <v>5.977558787403808</v>
      </c>
      <c r="FK778" t="n">
        <v>5.965457711926708</v>
      </c>
      <c r="FL778" t="n">
        <v>5.733761227680297</v>
      </c>
      <c r="FM778" t="n">
        <v>5.908544579681823</v>
      </c>
      <c r="FN778" t="n">
        <v>5.688500416813525</v>
      </c>
      <c r="HH778" t="n">
        <v>5.855</v>
      </c>
      <c r="HS778" t="n">
        <v>-0.77</v>
      </c>
      <c r="ID778" t="n">
        <v>2.06</v>
      </c>
      <c r="IG778" t="n">
        <v>12.7</v>
      </c>
      <c r="IJ778" t="n">
        <v>13.18113433435223</v>
      </c>
      <c r="IK778" t="n">
        <v>13.29077745529514</v>
      </c>
      <c r="IL778" t="n">
        <v>13.38920714257111</v>
      </c>
      <c r="IM778" t="n">
        <v>12.94191962317124</v>
      </c>
      <c r="IN778" t="n">
        <v>12.70735536192949</v>
      </c>
      <c r="KH778" t="n">
        <v>13.102</v>
      </c>
      <c r="KS778" t="n">
        <v>3.17</v>
      </c>
      <c r="LD778" t="n">
        <v>1.89</v>
      </c>
    </row>
    <row r="779">
      <c r="A779" t="inlineStr">
        <is>
          <t>2026-03-31</t>
        </is>
      </c>
      <c r="B779" t="inlineStr">
        <is>
          <t>Large Animal 25</t>
        </is>
      </c>
      <c r="C779" t="inlineStr">
        <is>
          <t>00206106226033101</t>
        </is>
      </c>
      <c r="D779" t="inlineStr">
        <is>
          <t>Cl</t>
        </is>
      </c>
      <c r="F779" t="n">
        <v>5</v>
      </c>
      <c r="G779" t="n">
        <v>90</v>
      </c>
      <c r="H779" t="n">
        <v>540</v>
      </c>
      <c r="I779" t="n">
        <v>-360</v>
      </c>
      <c r="J779" t="n">
        <v>91.54402648886284</v>
      </c>
      <c r="K779" t="n">
        <v>97.86296056699328</v>
      </c>
      <c r="L779" t="n">
        <v>94.15475025272248</v>
      </c>
      <c r="M779" t="n">
        <v>96.68854324033715</v>
      </c>
      <c r="N779" t="n">
        <v>94.43777918938044</v>
      </c>
      <c r="BH779" t="n">
        <v>94.938</v>
      </c>
      <c r="BS779" t="n">
        <v>5.49</v>
      </c>
      <c r="CD779" t="n">
        <v>2.31</v>
      </c>
      <c r="CF779" t="n">
        <v>5</v>
      </c>
      <c r="CG779" t="n">
        <v>91</v>
      </c>
      <c r="CH779" t="n">
        <v>546</v>
      </c>
      <c r="CI779" t="n">
        <v>-364</v>
      </c>
      <c r="CJ779" t="n">
        <v>86.92634036954979</v>
      </c>
      <c r="CK779" t="n">
        <v>86.0588405958833</v>
      </c>
      <c r="CL779" t="n">
        <v>86.15834208616376</v>
      </c>
      <c r="CM779" t="n">
        <v>84.84930934194757</v>
      </c>
      <c r="CN779" t="n">
        <v>86.26726310123877</v>
      </c>
      <c r="EH779" t="n">
        <v>86.05200000000001</v>
      </c>
      <c r="ES779" t="n">
        <v>-5.44</v>
      </c>
      <c r="FD779" t="n">
        <v>0.78</v>
      </c>
      <c r="FF779" t="n">
        <v>5</v>
      </c>
      <c r="FG779" t="n">
        <v>77</v>
      </c>
      <c r="FH779" t="n">
        <v>462</v>
      </c>
      <c r="FI779" t="n">
        <v>-308</v>
      </c>
      <c r="FJ779" t="n">
        <v>78.63677401441591</v>
      </c>
      <c r="FK779" t="n">
        <v>76.30541187390017</v>
      </c>
      <c r="FL779" t="n">
        <v>77.16460335859202</v>
      </c>
      <c r="FM779" t="n">
        <v>77.35614706295529</v>
      </c>
      <c r="FN779" t="n">
        <v>77.68398889252262</v>
      </c>
      <c r="HH779" t="n">
        <v>77.429</v>
      </c>
      <c r="HS779" t="n">
        <v>0.5600000000000001</v>
      </c>
      <c r="ID779" t="n">
        <v>0.98</v>
      </c>
      <c r="IF779" t="n">
        <v>5</v>
      </c>
      <c r="IG779" t="n">
        <v>118</v>
      </c>
      <c r="IH779" t="n">
        <v>708</v>
      </c>
      <c r="II779" t="n">
        <v>-472</v>
      </c>
      <c r="IJ779" t="n">
        <v>120.0374980068244</v>
      </c>
      <c r="IK779" t="n">
        <v>117.8962231079581</v>
      </c>
      <c r="IL779" t="n">
        <v>115.7296084927836</v>
      </c>
      <c r="IM779" t="n">
        <v>116.9628320048164</v>
      </c>
      <c r="IN779" t="n">
        <v>121.6028644875174</v>
      </c>
      <c r="KH779" t="n">
        <v>118.446</v>
      </c>
      <c r="KS779" t="n">
        <v>0.38</v>
      </c>
      <c r="LD779" t="n">
        <v>1.79</v>
      </c>
    </row>
    <row r="780">
      <c r="A780" t="inlineStr">
        <is>
          <t>2026-03-31</t>
        </is>
      </c>
      <c r="B780" t="inlineStr">
        <is>
          <t>Large Animal 25</t>
        </is>
      </c>
      <c r="C780" t="inlineStr">
        <is>
          <t>00206106226033101</t>
        </is>
      </c>
      <c r="D780" t="inlineStr">
        <is>
          <t>K</t>
        </is>
      </c>
      <c r="G780" t="n">
        <v>3.9</v>
      </c>
      <c r="J780" t="n">
        <v>3.319746220163058</v>
      </c>
      <c r="K780" t="n">
        <v>3.354904599384715</v>
      </c>
      <c r="L780" t="n">
        <v>3.651164167586165</v>
      </c>
      <c r="M780" t="n">
        <v>3.556905923527273</v>
      </c>
      <c r="N780" t="n">
        <v>3.356650888906173</v>
      </c>
      <c r="BH780" t="n">
        <v>3.448</v>
      </c>
      <c r="BS780" t="n">
        <v>-11.59</v>
      </c>
      <c r="CD780" t="n">
        <v>3.82</v>
      </c>
      <c r="CG780" t="n">
        <v>6</v>
      </c>
      <c r="CJ780" t="n">
        <v>5.770613182337353</v>
      </c>
      <c r="CK780" t="n">
        <v>5.559723771397736</v>
      </c>
      <c r="CL780" t="n">
        <v>5.404145392880134</v>
      </c>
      <c r="CM780" t="n">
        <v>5.622850967476722</v>
      </c>
      <c r="CN780" t="n">
        <v>5.535419827197972</v>
      </c>
      <c r="EH780" t="n">
        <v>5.579</v>
      </c>
      <c r="ES780" t="n">
        <v>-7.02</v>
      </c>
      <c r="FD780" t="n">
        <v>2.14</v>
      </c>
      <c r="FG780" t="n">
        <v>2.2</v>
      </c>
      <c r="FJ780" t="n">
        <v>2.027349955407483</v>
      </c>
      <c r="FK780" t="n">
        <v>1.881364565003051</v>
      </c>
      <c r="FL780" t="n">
        <v>1.742437203219726</v>
      </c>
      <c r="FM780" t="n">
        <v>2.122723141463249</v>
      </c>
      <c r="FN780" t="n">
        <v>2.075726064354942</v>
      </c>
      <c r="HH780" t="n">
        <v>1.97</v>
      </c>
      <c r="HS780" t="n">
        <v>-10.46</v>
      </c>
      <c r="ID780" t="n">
        <v>7.09</v>
      </c>
      <c r="IG780" t="n">
        <v>8.4</v>
      </c>
      <c r="IJ780" t="n">
        <v>7.579186383238927</v>
      </c>
      <c r="IK780" t="n">
        <v>7.59101400420556</v>
      </c>
      <c r="IL780" t="n">
        <v>7.200547936227998</v>
      </c>
      <c r="IM780" t="n">
        <v>7.791210992158806</v>
      </c>
      <c r="IN780" t="n">
        <v>7.904079709834512</v>
      </c>
      <c r="KH780" t="n">
        <v>7.613</v>
      </c>
      <c r="KS780" t="n">
        <v>-9.369999999999999</v>
      </c>
      <c r="LD780" t="n">
        <v>3.15</v>
      </c>
    </row>
    <row r="781">
      <c r="A781" t="inlineStr">
        <is>
          <t>2026-03-31</t>
        </is>
      </c>
      <c r="B781" t="inlineStr">
        <is>
          <t>Large Animal 25</t>
        </is>
      </c>
      <c r="C781" t="inlineStr">
        <is>
          <t>00206106226033101</t>
        </is>
      </c>
      <c r="D781" t="inlineStr">
        <is>
          <t>Mg</t>
        </is>
      </c>
      <c r="F781" t="n">
        <v>15</v>
      </c>
      <c r="G781" t="n">
        <v>2.4</v>
      </c>
      <c r="H781" t="n">
        <v>38.4</v>
      </c>
      <c r="I781" t="n">
        <v>-33.6</v>
      </c>
      <c r="J781" t="n">
        <v>2.091953014656804</v>
      </c>
      <c r="K781" t="n">
        <v>2.210157435191369</v>
      </c>
      <c r="L781" t="n">
        <v>2.168189225234975</v>
      </c>
      <c r="M781" t="n">
        <v>2.208380797627029</v>
      </c>
      <c r="N781" t="n">
        <v>2.211586994380083</v>
      </c>
      <c r="BH781" t="n">
        <v>2.178</v>
      </c>
      <c r="BS781" t="n">
        <v>-9.25</v>
      </c>
      <c r="CD781" t="n">
        <v>2.11</v>
      </c>
      <c r="CF781" t="n">
        <v>15</v>
      </c>
      <c r="CG781" t="n">
        <v>4.4</v>
      </c>
      <c r="CH781" t="n">
        <v>70.40000000000001</v>
      </c>
      <c r="CI781" t="n">
        <v>-61.60000000000001</v>
      </c>
      <c r="CJ781" t="n">
        <v>4.46301023919956</v>
      </c>
      <c r="CK781" t="n">
        <v>4.341514747657455</v>
      </c>
      <c r="CL781" t="n">
        <v>4.37039996191869</v>
      </c>
      <c r="CM781" t="n">
        <v>4.380990950223001</v>
      </c>
      <c r="CN781" t="n">
        <v>4.468097787338689</v>
      </c>
      <c r="EH781" t="n">
        <v>4.405</v>
      </c>
      <c r="ES781" t="n">
        <v>0.11</v>
      </c>
      <c r="FD781" t="n">
        <v>1.16</v>
      </c>
      <c r="FF781" t="n">
        <v>15</v>
      </c>
      <c r="FG781" t="n">
        <v>1</v>
      </c>
      <c r="FH781" t="n">
        <v>16</v>
      </c>
      <c r="FI781" t="n">
        <v>-14</v>
      </c>
      <c r="FJ781" t="n">
        <v>0.9673791923880731</v>
      </c>
      <c r="FK781" t="n">
        <v>0.9479511580458725</v>
      </c>
      <c r="FL781" t="n">
        <v>0.9270134618009572</v>
      </c>
      <c r="FM781" t="n">
        <v>0.9589869965216732</v>
      </c>
      <c r="FN781" t="n">
        <v>1.002471534896229</v>
      </c>
      <c r="HH781" t="n">
        <v>0.961</v>
      </c>
      <c r="HS781" t="n">
        <v>-3.92</v>
      </c>
      <c r="ID781" t="n">
        <v>2.59</v>
      </c>
      <c r="IF781" t="n">
        <v>15</v>
      </c>
      <c r="IG781" t="n">
        <v>4</v>
      </c>
      <c r="IH781" t="n">
        <v>64</v>
      </c>
      <c r="II781" t="n">
        <v>-56</v>
      </c>
      <c r="IJ781" t="n">
        <v>3.640190575473251</v>
      </c>
      <c r="IK781" t="n">
        <v>3.731662278656815</v>
      </c>
      <c r="IL781" t="n">
        <v>3.636274639754765</v>
      </c>
      <c r="IM781" t="n">
        <v>3.712724184518007</v>
      </c>
      <c r="IN781" t="n">
        <v>3.80156953589314</v>
      </c>
      <c r="KH781" t="n">
        <v>3.704</v>
      </c>
      <c r="KS781" t="n">
        <v>-7.39</v>
      </c>
      <c r="LD781" t="n">
        <v>1.66</v>
      </c>
    </row>
    <row r="782">
      <c r="A782" t="inlineStr">
        <is>
          <t>2026-03-31</t>
        </is>
      </c>
      <c r="B782" t="inlineStr">
        <is>
          <t>Large Animal 25</t>
        </is>
      </c>
      <c r="C782" t="inlineStr">
        <is>
          <t>00206106226033101</t>
        </is>
      </c>
      <c r="D782" t="inlineStr">
        <is>
          <t>Na</t>
        </is>
      </c>
      <c r="G782" t="n">
        <v>141</v>
      </c>
      <c r="J782" t="n">
        <v>131.3194674771858</v>
      </c>
      <c r="K782" t="n">
        <v>131.0459832458041</v>
      </c>
      <c r="L782" t="n">
        <v>134.1278879558991</v>
      </c>
      <c r="M782" t="n">
        <v>132.1549135700949</v>
      </c>
      <c r="N782" t="n">
        <v>131.8648553300651</v>
      </c>
      <c r="BH782" t="n">
        <v>132.103</v>
      </c>
      <c r="BS782" t="n">
        <v>-6.31</v>
      </c>
      <c r="CD782" t="n">
        <v>0.82</v>
      </c>
      <c r="CG782" t="n">
        <v>129</v>
      </c>
      <c r="CJ782" t="n">
        <v>123.831991583738</v>
      </c>
      <c r="CK782" t="n">
        <v>124.2648258256506</v>
      </c>
      <c r="CL782" t="n">
        <v>122.6098812249937</v>
      </c>
      <c r="CM782" t="n">
        <v>123.7135763866905</v>
      </c>
      <c r="CN782" t="n">
        <v>122.2167803767343</v>
      </c>
      <c r="EH782" t="n">
        <v>123.327</v>
      </c>
      <c r="ES782" t="n">
        <v>-4.4</v>
      </c>
      <c r="FD782" t="n">
        <v>0.63</v>
      </c>
      <c r="FG782" t="n">
        <v>118</v>
      </c>
      <c r="FJ782" t="n">
        <v>114.540152777552</v>
      </c>
      <c r="FK782" t="n">
        <v>113.0577954698179</v>
      </c>
      <c r="FL782" t="n">
        <v>114.4659598491451</v>
      </c>
      <c r="FM782" t="n">
        <v>113.3877355277899</v>
      </c>
      <c r="FN782" t="n">
        <v>112.8492853073466</v>
      </c>
      <c r="HH782" t="n">
        <v>113.66</v>
      </c>
      <c r="HS782" t="n">
        <v>-3.68</v>
      </c>
      <c r="ID782" t="n">
        <v>0.62</v>
      </c>
      <c r="IG782" t="n">
        <v>166</v>
      </c>
      <c r="IJ782" t="n">
        <v>146.8342466599979</v>
      </c>
      <c r="IK782" t="n">
        <v>144.1847066809921</v>
      </c>
      <c r="IL782" t="n">
        <v>149.0148408659211</v>
      </c>
      <c r="IM782" t="n">
        <v>146.1398643989769</v>
      </c>
      <c r="IN782" t="n">
        <v>145.6389670304478</v>
      </c>
      <c r="KH782" t="n">
        <v>146.363</v>
      </c>
      <c r="KS782" t="n">
        <v>-11.83</v>
      </c>
      <c r="LD782" t="n">
        <v>1.08</v>
      </c>
    </row>
    <row r="783">
      <c r="A783" t="inlineStr">
        <is>
          <t>2026-03-31</t>
        </is>
      </c>
      <c r="B783" t="inlineStr">
        <is>
          <t>Large Animal 25</t>
        </is>
      </c>
      <c r="C783" t="inlineStr">
        <is>
          <t>00206106226033101</t>
        </is>
      </c>
      <c r="D783" t="inlineStr">
        <is>
          <t>PHOS</t>
        </is>
      </c>
      <c r="F783" t="n">
        <v>10</v>
      </c>
      <c r="G783" t="n">
        <v>3.3</v>
      </c>
      <c r="H783" t="n">
        <v>36.3</v>
      </c>
      <c r="I783" t="n">
        <v>-29.7</v>
      </c>
      <c r="J783" t="n">
        <v>3.119901717751275</v>
      </c>
      <c r="K783" t="n">
        <v>3.194227915219383</v>
      </c>
      <c r="L783" t="n">
        <v>3.089905476830046</v>
      </c>
      <c r="M783" t="n">
        <v>3.15592827400074</v>
      </c>
      <c r="N783" t="n">
        <v>3.171589489701196</v>
      </c>
      <c r="BH783" t="n">
        <v>3.146</v>
      </c>
      <c r="BS783" t="n">
        <v>-4.66</v>
      </c>
      <c r="CD783" t="n">
        <v>1.18</v>
      </c>
      <c r="CF783" t="n">
        <v>10</v>
      </c>
      <c r="CG783" t="n">
        <v>7.2</v>
      </c>
      <c r="CH783" t="n">
        <v>79.2</v>
      </c>
      <c r="CI783" t="n">
        <v>-64.8</v>
      </c>
      <c r="CJ783" t="n">
        <v>6.955684896705818</v>
      </c>
      <c r="CK783" t="n">
        <v>6.934865619337886</v>
      </c>
      <c r="CL783" t="n">
        <v>6.803298282898889</v>
      </c>
      <c r="CM783" t="n">
        <v>6.947883864389017</v>
      </c>
      <c r="CN783" t="n">
        <v>6.987065419335601</v>
      </c>
      <c r="EH783" t="n">
        <v>6.926</v>
      </c>
      <c r="ES783" t="n">
        <v>-3.81</v>
      </c>
      <c r="FD783" t="n">
        <v>0.92</v>
      </c>
      <c r="FF783" t="n">
        <v>10</v>
      </c>
      <c r="FG783" t="n">
        <v>1.9</v>
      </c>
      <c r="FH783" t="n">
        <v>20.9</v>
      </c>
      <c r="FI783" t="n">
        <v>-17.1</v>
      </c>
      <c r="FJ783" t="n">
        <v>1.908489006390244</v>
      </c>
      <c r="FK783" t="n">
        <v>1.854309543002096</v>
      </c>
      <c r="FL783" t="n">
        <v>1.826676104440678</v>
      </c>
      <c r="FM783" t="n">
        <v>1.844759119885291</v>
      </c>
      <c r="FN783" t="n">
        <v>1.821293628077046</v>
      </c>
      <c r="HH783" t="n">
        <v>1.851</v>
      </c>
      <c r="HS783" t="n">
        <v>-2.57</v>
      </c>
      <c r="ID783" t="n">
        <v>1.68</v>
      </c>
      <c r="IF783" t="n">
        <v>10</v>
      </c>
      <c r="IG783" t="n">
        <v>7.2</v>
      </c>
      <c r="IH783" t="n">
        <v>79.2</v>
      </c>
      <c r="II783" t="n">
        <v>-64.8</v>
      </c>
      <c r="IJ783" t="n">
        <v>7.016553022619262</v>
      </c>
      <c r="IK783" t="n">
        <v>7.125590440375675</v>
      </c>
      <c r="IL783" t="n">
        <v>7.125937610014062</v>
      </c>
      <c r="IM783" t="n">
        <v>6.992067301072697</v>
      </c>
      <c r="IN783" t="n">
        <v>7.092982862731144</v>
      </c>
      <c r="KH783" t="n">
        <v>7.071</v>
      </c>
      <c r="KS783" t="n">
        <v>-1.8</v>
      </c>
      <c r="LD783" t="n">
        <v>0.79</v>
      </c>
    </row>
    <row r="784">
      <c r="A784" t="inlineStr">
        <is>
          <t>2026-03-30</t>
        </is>
      </c>
      <c r="B784" t="inlineStr">
        <is>
          <t>Optimum Wellness 37</t>
        </is>
      </c>
      <c r="C784" t="inlineStr">
        <is>
          <t>00291929326033001</t>
        </is>
      </c>
      <c r="D784" t="inlineStr">
        <is>
          <t>AMY</t>
        </is>
      </c>
      <c r="F784" t="n">
        <v>10</v>
      </c>
      <c r="G784" t="n">
        <v>78</v>
      </c>
      <c r="H784" t="n">
        <v>858</v>
      </c>
      <c r="I784" t="n">
        <v>-702</v>
      </c>
      <c r="J784" t="n">
        <v>76.60701898154004</v>
      </c>
      <c r="K784" t="n">
        <v>75.97777691818058</v>
      </c>
      <c r="L784" t="n">
        <v>75.97531241221186</v>
      </c>
      <c r="M784" t="n">
        <v>76.18084031704596</v>
      </c>
      <c r="N784" t="n">
        <v>76.23645699675333</v>
      </c>
      <c r="O784" t="n">
        <v>75.37972215463087</v>
      </c>
      <c r="BH784" t="n">
        <v>76.06</v>
      </c>
      <c r="BS784" t="n">
        <v>-2.49</v>
      </c>
      <c r="CD784" t="n">
        <v>0.49</v>
      </c>
      <c r="CF784" t="n">
        <v>10</v>
      </c>
      <c r="CG784" t="n">
        <v>404</v>
      </c>
      <c r="CH784" t="n">
        <v>4444</v>
      </c>
      <c r="CI784" t="n">
        <v>-3636</v>
      </c>
      <c r="CJ784" t="n">
        <v>392.2937929800335</v>
      </c>
      <c r="CK784" t="n">
        <v>405.2999732679962</v>
      </c>
      <c r="CL784" t="n">
        <v>395.2212304353227</v>
      </c>
      <c r="CM784" t="n">
        <v>391.9373879478637</v>
      </c>
      <c r="CN784" t="n">
        <v>411.8200615512757</v>
      </c>
      <c r="CO784" t="n">
        <v>395.5469585517805</v>
      </c>
      <c r="EH784" t="n">
        <v>398.687</v>
      </c>
      <c r="ES784" t="n">
        <v>-1.32</v>
      </c>
      <c r="FD784" t="n">
        <v>1.84</v>
      </c>
      <c r="FF784" t="n">
        <v>10</v>
      </c>
      <c r="FG784" t="n">
        <v>63</v>
      </c>
      <c r="FH784" t="n">
        <v>693</v>
      </c>
      <c r="FI784" t="n">
        <v>-567</v>
      </c>
      <c r="FJ784" t="n">
        <v>63.82124396201829</v>
      </c>
      <c r="FK784" t="n">
        <v>64.61663077086118</v>
      </c>
      <c r="FL784" t="n">
        <v>62.94892022582597</v>
      </c>
      <c r="FM784" t="n">
        <v>63.36956682124</v>
      </c>
      <c r="FN784" t="n">
        <v>64.79160333760309</v>
      </c>
      <c r="FO784" t="n">
        <v>63.293187531909</v>
      </c>
      <c r="HH784" t="n">
        <v>63.807</v>
      </c>
      <c r="HS784" t="n">
        <v>1.28</v>
      </c>
      <c r="ID784" t="n">
        <v>1.07</v>
      </c>
      <c r="IF784" t="n">
        <v>10</v>
      </c>
      <c r="IG784" t="n">
        <v>297</v>
      </c>
      <c r="IH784" t="n">
        <v>3267</v>
      </c>
      <c r="II784" t="n">
        <v>-2673</v>
      </c>
      <c r="IJ784" t="n">
        <v>297.0491504267953</v>
      </c>
      <c r="IK784" t="n">
        <v>287.7427047682687</v>
      </c>
      <c r="IL784" t="n">
        <v>293.9513222503273</v>
      </c>
      <c r="IM784" t="n">
        <v>287.9210817327731</v>
      </c>
      <c r="IN784" t="n">
        <v>291.3820460435388</v>
      </c>
      <c r="KH784" t="n">
        <v>291.609</v>
      </c>
      <c r="KS784" t="n">
        <v>-1.82</v>
      </c>
      <c r="LD784" t="n">
        <v>1.22</v>
      </c>
    </row>
    <row r="785">
      <c r="A785" t="inlineStr">
        <is>
          <t>2026-03-30</t>
        </is>
      </c>
      <c r="B785" t="inlineStr">
        <is>
          <t>Optimum Wellness 37</t>
        </is>
      </c>
      <c r="C785" t="inlineStr">
        <is>
          <t>00291929326033001</t>
        </is>
      </c>
      <c r="D785" t="inlineStr">
        <is>
          <t>AST</t>
        </is>
      </c>
      <c r="F785" t="n">
        <v>15</v>
      </c>
      <c r="G785" t="n">
        <v>44</v>
      </c>
      <c r="H785" t="n">
        <v>704</v>
      </c>
      <c r="I785" t="n">
        <v>-616</v>
      </c>
      <c r="J785" t="n">
        <v>42.63612181929037</v>
      </c>
      <c r="K785" t="n">
        <v>43.0509823985213</v>
      </c>
      <c r="L785" t="n">
        <v>41.74797076577934</v>
      </c>
      <c r="M785" t="n">
        <v>42.43298795174479</v>
      </c>
      <c r="N785" t="n">
        <v>43.86493737733969</v>
      </c>
      <c r="O785" t="n">
        <v>45.27551060877685</v>
      </c>
      <c r="BH785" t="n">
        <v>43.168</v>
      </c>
      <c r="BS785" t="n">
        <v>-1.89</v>
      </c>
      <c r="CD785" t="n">
        <v>2.64</v>
      </c>
      <c r="CF785" t="n">
        <v>15</v>
      </c>
      <c r="CG785" t="n">
        <v>221</v>
      </c>
      <c r="CH785" t="n">
        <v>3536</v>
      </c>
      <c r="CI785" t="n">
        <v>-3094</v>
      </c>
      <c r="CJ785" t="n">
        <v>212.1464583757383</v>
      </c>
      <c r="CK785" t="n">
        <v>220.9176070327207</v>
      </c>
      <c r="CL785" t="n">
        <v>211.5646604767352</v>
      </c>
      <c r="CM785" t="n">
        <v>213.6818259349232</v>
      </c>
      <c r="CN785" t="n">
        <v>217.9919160500797</v>
      </c>
      <c r="CO785" t="n">
        <v>220.5920261747687</v>
      </c>
      <c r="EH785" t="n">
        <v>216.149</v>
      </c>
      <c r="ES785" t="n">
        <v>-2.19</v>
      </c>
      <c r="FD785" t="n">
        <v>1.78</v>
      </c>
      <c r="FF785" t="n">
        <v>15</v>
      </c>
      <c r="FG785" t="n">
        <v>45</v>
      </c>
      <c r="FH785" t="n">
        <v>720</v>
      </c>
      <c r="FI785" t="n">
        <v>-630</v>
      </c>
      <c r="FJ785" t="n">
        <v>50.31617288196959</v>
      </c>
      <c r="FK785" t="n">
        <v>42.50646792583778</v>
      </c>
      <c r="FL785" t="n">
        <v>43.64526787353581</v>
      </c>
      <c r="FM785" t="n">
        <v>43.16556045856815</v>
      </c>
      <c r="FN785" t="n">
        <v>42.00410874403908</v>
      </c>
      <c r="FO785" t="n">
        <v>35.32300035704155</v>
      </c>
      <c r="HH785" t="n">
        <v>42.827</v>
      </c>
      <c r="HS785" t="n">
        <v>-4.83</v>
      </c>
      <c r="ID785" t="n">
        <v>10.18</v>
      </c>
      <c r="IF785" t="n">
        <v>15</v>
      </c>
      <c r="IG785" t="n">
        <v>282</v>
      </c>
      <c r="IH785" t="n">
        <v>4512</v>
      </c>
      <c r="II785" t="n">
        <v>-3948</v>
      </c>
      <c r="IJ785" t="n">
        <v>260.7313052621591</v>
      </c>
      <c r="IK785" t="n">
        <v>257.8467238093025</v>
      </c>
      <c r="IL785" t="n">
        <v>261.6129102464105</v>
      </c>
      <c r="IM785" t="n">
        <v>261.5535083511508</v>
      </c>
      <c r="IN785" t="n">
        <v>256.7809731458974</v>
      </c>
      <c r="KH785" t="n">
        <v>259.705</v>
      </c>
      <c r="KS785" t="n">
        <v>-7.91</v>
      </c>
      <c r="LD785" t="n">
        <v>0.77</v>
      </c>
    </row>
    <row r="786">
      <c r="A786" t="inlineStr">
        <is>
          <t>2026-03-30</t>
        </is>
      </c>
      <c r="B786" t="inlineStr">
        <is>
          <t>Optimum Wellness 37</t>
        </is>
      </c>
      <c r="C786" t="inlineStr">
        <is>
          <t>00291929326033001</t>
        </is>
      </c>
      <c r="D786" t="inlineStr">
        <is>
          <t>CHOL</t>
        </is>
      </c>
      <c r="F786" t="n">
        <v>10</v>
      </c>
      <c r="G786" t="n">
        <v>228</v>
      </c>
      <c r="H786" t="n">
        <v>2508</v>
      </c>
      <c r="I786" t="n">
        <v>-2052</v>
      </c>
      <c r="J786" t="n">
        <v>227.1146323593472</v>
      </c>
      <c r="K786" t="n">
        <v>221.2127432342666</v>
      </c>
      <c r="L786" t="n">
        <v>230.1816042239289</v>
      </c>
      <c r="M786" t="n">
        <v>232.078744508021</v>
      </c>
      <c r="N786" t="n">
        <v>226.0797660702191</v>
      </c>
      <c r="O786" t="n">
        <v>226.8565938577792</v>
      </c>
      <c r="BH786" t="n">
        <v>227.254</v>
      </c>
      <c r="BS786" t="n">
        <v>-0.33</v>
      </c>
      <c r="CD786" t="n">
        <v>1.5</v>
      </c>
      <c r="CF786" t="n">
        <v>10</v>
      </c>
      <c r="CG786" t="n">
        <v>99</v>
      </c>
      <c r="CH786" t="n">
        <v>1089</v>
      </c>
      <c r="CI786" t="n">
        <v>-891</v>
      </c>
      <c r="CJ786" t="n">
        <v>90.52038963253709</v>
      </c>
      <c r="CK786" t="n">
        <v>84.01278689513384</v>
      </c>
      <c r="CL786" t="n">
        <v>89.09527736892004</v>
      </c>
      <c r="CM786" t="n">
        <v>95.10172244316445</v>
      </c>
      <c r="CN786" t="n">
        <v>100.9862507318316</v>
      </c>
      <c r="CO786" t="n">
        <v>83.41943572439401</v>
      </c>
      <c r="EH786" t="n">
        <v>90.523</v>
      </c>
      <c r="ES786" t="n">
        <v>-8.56</v>
      </c>
      <c r="FD786" t="n">
        <v>6.77</v>
      </c>
      <c r="FF786" t="n">
        <v>10</v>
      </c>
      <c r="FG786" t="n">
        <v>115</v>
      </c>
      <c r="FH786" t="n">
        <v>1265</v>
      </c>
      <c r="FI786" t="n">
        <v>-1035</v>
      </c>
      <c r="FJ786" t="n">
        <v>113.0280290368258</v>
      </c>
      <c r="FK786" t="n">
        <v>111.0812732373818</v>
      </c>
      <c r="FL786" t="n">
        <v>112.4385309907305</v>
      </c>
      <c r="FM786" t="n">
        <v>98.91449682065846</v>
      </c>
      <c r="FN786" t="n">
        <v>112.8851888102528</v>
      </c>
      <c r="FO786" t="n">
        <v>109.5060044252552</v>
      </c>
      <c r="HH786" t="n">
        <v>109.642</v>
      </c>
      <c r="HS786" t="n">
        <v>-4.66</v>
      </c>
      <c r="ID786" t="n">
        <v>4.51</v>
      </c>
      <c r="IF786" t="n">
        <v>10</v>
      </c>
      <c r="IG786" t="n">
        <v>269</v>
      </c>
      <c r="IH786" t="n">
        <v>2959</v>
      </c>
      <c r="II786" t="n">
        <v>-2421</v>
      </c>
      <c r="IJ786" t="n">
        <v>258.9801333578993</v>
      </c>
      <c r="IK786" t="n">
        <v>262.0306475802298</v>
      </c>
      <c r="IL786" t="n">
        <v>254.2899076794284</v>
      </c>
      <c r="IM786" t="n">
        <v>251.1423692555353</v>
      </c>
      <c r="IN786" t="n">
        <v>252.9880644568124</v>
      </c>
      <c r="KH786" t="n">
        <v>255.886</v>
      </c>
      <c r="KS786" t="n">
        <v>-4.88</v>
      </c>
      <c r="LD786" t="n">
        <v>1.57</v>
      </c>
    </row>
    <row r="787">
      <c r="A787" t="inlineStr">
        <is>
          <t>2026-03-30</t>
        </is>
      </c>
      <c r="B787" t="inlineStr">
        <is>
          <t>Optimum Wellness 37</t>
        </is>
      </c>
      <c r="C787" t="inlineStr">
        <is>
          <t>00291929326033001</t>
        </is>
      </c>
      <c r="D787" t="inlineStr">
        <is>
          <t>CK</t>
        </is>
      </c>
      <c r="F787" t="n">
        <v>20</v>
      </c>
      <c r="J787" t="n">
        <v>128.5354973784222</v>
      </c>
      <c r="K787" t="n">
        <v>128.5331179929405</v>
      </c>
      <c r="L787" t="n">
        <v>125.7186864545239</v>
      </c>
      <c r="M787" t="n">
        <v>120.1765553964437</v>
      </c>
      <c r="N787" t="n">
        <v>129.9474665745265</v>
      </c>
      <c r="O787" t="n">
        <v>121.0245764993871</v>
      </c>
      <c r="BH787" t="n">
        <v>125.656</v>
      </c>
      <c r="CD787" t="n">
        <v>3.02</v>
      </c>
      <c r="CF787" t="n">
        <v>20</v>
      </c>
      <c r="CJ787" t="n">
        <v>475.4176342508378</v>
      </c>
      <c r="CK787" t="n">
        <v>468.3461934964526</v>
      </c>
      <c r="CL787" t="n">
        <v>455.2241171344305</v>
      </c>
      <c r="CM787" t="n">
        <v>467.0097365079741</v>
      </c>
      <c r="CN787" t="n">
        <v>496.164245429279</v>
      </c>
      <c r="CO787" t="n">
        <v>460.0307146363859</v>
      </c>
      <c r="EH787" t="n">
        <v>470.365</v>
      </c>
      <c r="FD787" t="n">
        <v>2.8</v>
      </c>
      <c r="FF787" t="n">
        <v>20</v>
      </c>
      <c r="FJ787" t="n">
        <v>63.76212615529978</v>
      </c>
      <c r="FK787" t="n">
        <v>61.2472471682889</v>
      </c>
      <c r="FL787" t="n">
        <v>65.38545841605296</v>
      </c>
      <c r="FM787" t="n">
        <v>61.2257225765459</v>
      </c>
      <c r="FN787" t="n">
        <v>74.95976735185131</v>
      </c>
      <c r="FO787" t="n">
        <v>75.03971045071326</v>
      </c>
      <c r="HH787" t="n">
        <v>66.937</v>
      </c>
      <c r="ID787" t="n">
        <v>8.789999999999999</v>
      </c>
      <c r="IF787" t="n">
        <v>20</v>
      </c>
      <c r="IJ787" t="n">
        <v>569.6833984056949</v>
      </c>
      <c r="IK787" t="n">
        <v>579.6267030441527</v>
      </c>
      <c r="IL787" t="n">
        <v>598.7188732108457</v>
      </c>
      <c r="IM787" t="n">
        <v>597.1451234741572</v>
      </c>
      <c r="IN787" t="n">
        <v>603.9314365070163</v>
      </c>
      <c r="KH787" t="n">
        <v>589.821</v>
      </c>
      <c r="LD787" t="n">
        <v>2.2</v>
      </c>
    </row>
    <row r="788">
      <c r="A788" t="inlineStr">
        <is>
          <t>2026-03-30</t>
        </is>
      </c>
      <c r="B788" t="inlineStr">
        <is>
          <t>Optimum Wellness 37</t>
        </is>
      </c>
      <c r="C788" t="inlineStr">
        <is>
          <t>00291929326033001</t>
        </is>
      </c>
      <c r="D788" t="inlineStr">
        <is>
          <t>Ca</t>
        </is>
      </c>
      <c r="G788" t="n">
        <v>9.1</v>
      </c>
      <c r="J788" t="n">
        <v>9.617983601586477</v>
      </c>
      <c r="K788" t="n">
        <v>9.972891898556941</v>
      </c>
      <c r="L788" t="n">
        <v>9.903940495688131</v>
      </c>
      <c r="M788" t="n">
        <v>9.781015315825504</v>
      </c>
      <c r="N788" t="n">
        <v>9.824946915981934</v>
      </c>
      <c r="O788" t="n">
        <v>9.590334341056673</v>
      </c>
      <c r="BH788" t="n">
        <v>9.782</v>
      </c>
      <c r="BS788" t="n">
        <v>7.49</v>
      </c>
      <c r="CD788" t="n">
        <v>1.43</v>
      </c>
      <c r="CG788" t="n">
        <v>12.4</v>
      </c>
      <c r="CJ788" t="n">
        <v>12.79832883348867</v>
      </c>
      <c r="CK788" t="n">
        <v>12.85402613739191</v>
      </c>
      <c r="CL788" t="n">
        <v>13.16682720806867</v>
      </c>
      <c r="CM788" t="n">
        <v>13.01145840631839</v>
      </c>
      <c r="CN788" t="n">
        <v>13.64242578004983</v>
      </c>
      <c r="CO788" t="n">
        <v>12.85184396677888</v>
      </c>
      <c r="EH788" t="n">
        <v>13.054</v>
      </c>
      <c r="ES788" t="n">
        <v>5.28</v>
      </c>
      <c r="FD788" t="n">
        <v>2.23</v>
      </c>
      <c r="FG788" t="n">
        <v>5.9</v>
      </c>
      <c r="FJ788" t="n">
        <v>5.807699934398061</v>
      </c>
      <c r="FK788" t="n">
        <v>5.859494906360133</v>
      </c>
      <c r="FL788" t="n">
        <v>6.109155234811618</v>
      </c>
      <c r="FM788" t="n">
        <v>5.518770677260949</v>
      </c>
      <c r="FN788" t="n">
        <v>6.044647537926563</v>
      </c>
      <c r="FO788" t="n">
        <v>5.846685937315966</v>
      </c>
      <c r="HH788" t="n">
        <v>5.864</v>
      </c>
      <c r="HS788" t="n">
        <v>-0.6</v>
      </c>
      <c r="ID788" t="n">
        <v>3.23</v>
      </c>
      <c r="IG788" t="n">
        <v>12.7</v>
      </c>
      <c r="IJ788" t="n">
        <v>13.04934311270801</v>
      </c>
      <c r="IK788" t="n">
        <v>13.01196803374248</v>
      </c>
      <c r="IL788" t="n">
        <v>13.03001442844417</v>
      </c>
      <c r="IM788" t="n">
        <v>12.82038392364359</v>
      </c>
      <c r="IN788" t="n">
        <v>12.74398920884724</v>
      </c>
      <c r="KH788" t="n">
        <v>12.931</v>
      </c>
      <c r="KS788" t="n">
        <v>1.82</v>
      </c>
      <c r="LD788" t="n">
        <v>0.96</v>
      </c>
    </row>
    <row r="789">
      <c r="A789" t="inlineStr">
        <is>
          <t>2026-03-30</t>
        </is>
      </c>
      <c r="B789" t="inlineStr">
        <is>
          <t>Optimum Wellness 37</t>
        </is>
      </c>
      <c r="C789" t="inlineStr">
        <is>
          <t>00291929326033001</t>
        </is>
      </c>
      <c r="D789" t="inlineStr">
        <is>
          <t>GGT</t>
        </is>
      </c>
      <c r="F789" t="n">
        <v>15</v>
      </c>
      <c r="G789" t="n">
        <v>57</v>
      </c>
      <c r="H789" t="n">
        <v>912</v>
      </c>
      <c r="I789" t="n">
        <v>-798</v>
      </c>
      <c r="J789" t="n">
        <v>59.22099964408678</v>
      </c>
      <c r="K789" t="n">
        <v>60.13415886245723</v>
      </c>
      <c r="L789" t="n">
        <v>56.83903507529765</v>
      </c>
      <c r="M789" t="n">
        <v>57.81506964120219</v>
      </c>
      <c r="N789" t="n">
        <v>58.34901012088915</v>
      </c>
      <c r="O789" t="n">
        <v>55.30117152514097</v>
      </c>
      <c r="BH789" t="n">
        <v>57.943</v>
      </c>
      <c r="BS789" t="n">
        <v>1.65</v>
      </c>
      <c r="CD789" t="n">
        <v>2.71</v>
      </c>
      <c r="CF789" t="n">
        <v>15</v>
      </c>
      <c r="CG789" t="n">
        <v>164</v>
      </c>
      <c r="CH789" t="n">
        <v>2624</v>
      </c>
      <c r="CI789" t="n">
        <v>-2296</v>
      </c>
      <c r="CJ789" t="n">
        <v>163.0222009809367</v>
      </c>
      <c r="CK789" t="n">
        <v>168.3077844699814</v>
      </c>
      <c r="CL789" t="n">
        <v>165.6765112967537</v>
      </c>
      <c r="CM789" t="n">
        <v>166.1688299896078</v>
      </c>
      <c r="CN789" t="n">
        <v>168.1171246677282</v>
      </c>
      <c r="CO789" t="n">
        <v>166.1441064638539</v>
      </c>
      <c r="EH789" t="n">
        <v>166.239</v>
      </c>
      <c r="ES789" t="n">
        <v>1.37</v>
      </c>
      <c r="FD789" t="n">
        <v>1.06</v>
      </c>
      <c r="FF789" t="n">
        <v>15</v>
      </c>
      <c r="FG789" t="n">
        <v>23</v>
      </c>
      <c r="FH789" t="n">
        <v>368</v>
      </c>
      <c r="FI789" t="n">
        <v>-322</v>
      </c>
      <c r="FJ789" t="n">
        <v>22.79485853507188</v>
      </c>
      <c r="FK789" t="n">
        <v>23.98290314177001</v>
      </c>
      <c r="FL789" t="n">
        <v>23.43864413066645</v>
      </c>
      <c r="FM789" t="n">
        <v>22.76064259628026</v>
      </c>
      <c r="FN789" t="n">
        <v>23.36986921447921</v>
      </c>
      <c r="FO789" t="n">
        <v>23.41352529264234</v>
      </c>
      <c r="HH789" t="n">
        <v>23.293</v>
      </c>
      <c r="HS789" t="n">
        <v>1.28</v>
      </c>
      <c r="ID789" t="n">
        <v>1.8</v>
      </c>
      <c r="IF789" t="n">
        <v>15</v>
      </c>
      <c r="IG789" t="n">
        <v>126</v>
      </c>
      <c r="IH789" t="n">
        <v>2016</v>
      </c>
      <c r="II789" t="n">
        <v>-1764</v>
      </c>
      <c r="IJ789" t="n">
        <v>127.7389408979579</v>
      </c>
      <c r="IK789" t="n">
        <v>126.0667775917024</v>
      </c>
      <c r="IL789" t="n">
        <v>129.6106692933342</v>
      </c>
      <c r="IM789" t="n">
        <v>124.8497032487714</v>
      </c>
      <c r="IN789" t="n">
        <v>128.0404320306171</v>
      </c>
      <c r="KH789" t="n">
        <v>127.261</v>
      </c>
      <c r="KS789" t="n">
        <v>1</v>
      </c>
      <c r="LD789" t="n">
        <v>1.3</v>
      </c>
    </row>
    <row r="790">
      <c r="A790" t="inlineStr">
        <is>
          <t>2026-03-30</t>
        </is>
      </c>
      <c r="B790" t="inlineStr">
        <is>
          <t>Optimum Wellness 37</t>
        </is>
      </c>
      <c r="C790" t="inlineStr">
        <is>
          <t>00291929326033001</t>
        </is>
      </c>
      <c r="D790" t="inlineStr">
        <is>
          <t>PHOS</t>
        </is>
      </c>
      <c r="F790" t="n">
        <v>10</v>
      </c>
      <c r="G790" t="n">
        <v>3.3</v>
      </c>
      <c r="H790" t="n">
        <v>36.3</v>
      </c>
      <c r="I790" t="n">
        <v>-29.7</v>
      </c>
      <c r="J790" t="n">
        <v>3.051483303273717</v>
      </c>
      <c r="K790" t="n">
        <v>3.129124780013397</v>
      </c>
      <c r="L790" t="n">
        <v>3.165386167399102</v>
      </c>
      <c r="M790" t="n">
        <v>3.044951778621536</v>
      </c>
      <c r="N790" t="n">
        <v>3.121021849700993</v>
      </c>
      <c r="O790" t="n">
        <v>3.067556436289069</v>
      </c>
      <c r="BH790" t="n">
        <v>3.097</v>
      </c>
      <c r="BS790" t="n">
        <v>-6.16</v>
      </c>
      <c r="CD790" t="n">
        <v>1.44</v>
      </c>
      <c r="CF790" t="n">
        <v>10</v>
      </c>
      <c r="CG790" t="n">
        <v>7.2</v>
      </c>
      <c r="CH790" t="n">
        <v>79.2</v>
      </c>
      <c r="CI790" t="n">
        <v>-64.8</v>
      </c>
      <c r="CJ790" t="n">
        <v>7.005186075915099</v>
      </c>
      <c r="CK790" t="n">
        <v>7.003653746146023</v>
      </c>
      <c r="CL790" t="n">
        <v>6.895741332624077</v>
      </c>
      <c r="CM790" t="n">
        <v>6.895494632775553</v>
      </c>
      <c r="CN790" t="n">
        <v>7.180745801510212</v>
      </c>
      <c r="CO790" t="n">
        <v>6.866965114061497</v>
      </c>
      <c r="EH790" t="n">
        <v>6.975</v>
      </c>
      <c r="ES790" t="n">
        <v>-3.13</v>
      </c>
      <c r="FD790" t="n">
        <v>1.53</v>
      </c>
      <c r="FF790" t="n">
        <v>10</v>
      </c>
      <c r="FG790" t="n">
        <v>1.9</v>
      </c>
      <c r="FH790" t="n">
        <v>20.9</v>
      </c>
      <c r="FI790" t="n">
        <v>-17.1</v>
      </c>
      <c r="FJ790" t="n">
        <v>1.952688365033607</v>
      </c>
      <c r="FK790" t="n">
        <v>1.914160099218123</v>
      </c>
      <c r="FL790" t="n">
        <v>1.857257898948723</v>
      </c>
      <c r="FM790" t="n">
        <v>1.887262891561372</v>
      </c>
      <c r="FN790" t="n">
        <v>1.896632601187713</v>
      </c>
      <c r="FO790" t="n">
        <v>1.851107459893766</v>
      </c>
      <c r="HH790" t="n">
        <v>1.893</v>
      </c>
      <c r="HS790" t="n">
        <v>-0.36</v>
      </c>
      <c r="ID790" t="n">
        <v>1.82</v>
      </c>
      <c r="IF790" t="n">
        <v>10</v>
      </c>
      <c r="IG790" t="n">
        <v>7.2</v>
      </c>
      <c r="IH790" t="n">
        <v>79.2</v>
      </c>
      <c r="II790" t="n">
        <v>-64.8</v>
      </c>
      <c r="IJ790" t="n">
        <v>7.048651242014652</v>
      </c>
      <c r="IK790" t="n">
        <v>6.949516105536707</v>
      </c>
      <c r="IL790" t="n">
        <v>6.827599030926468</v>
      </c>
      <c r="IM790" t="n">
        <v>6.981295577135413</v>
      </c>
      <c r="IN790" t="n">
        <v>6.866289697957797</v>
      </c>
      <c r="KH790" t="n">
        <v>6.935</v>
      </c>
      <c r="KS790" t="n">
        <v>-3.69</v>
      </c>
      <c r="LD790" t="n">
        <v>1.15</v>
      </c>
    </row>
    <row r="791">
      <c r="A791" t="inlineStr">
        <is>
          <t>2026-03-30</t>
        </is>
      </c>
      <c r="B791" t="inlineStr">
        <is>
          <t>Optimum Wellness 37</t>
        </is>
      </c>
      <c r="C791" t="inlineStr">
        <is>
          <t>00291929326033001</t>
        </is>
      </c>
      <c r="D791" t="inlineStr">
        <is>
          <t>TBIL</t>
        </is>
      </c>
      <c r="F791" t="n">
        <v>20</v>
      </c>
      <c r="G791" t="n">
        <v>1.1</v>
      </c>
      <c r="H791" t="n">
        <v>23.1</v>
      </c>
      <c r="I791" t="n">
        <v>-20.9</v>
      </c>
      <c r="J791" t="n">
        <v>1.20131560380842</v>
      </c>
      <c r="K791" t="n">
        <v>1.156872875055403</v>
      </c>
      <c r="L791" t="n">
        <v>1.169957879010914</v>
      </c>
      <c r="M791" t="n">
        <v>1.18377395482804</v>
      </c>
      <c r="N791" t="n">
        <v>1.151188722761797</v>
      </c>
      <c r="O791" t="n">
        <v>1.202042636524009</v>
      </c>
      <c r="BH791" t="n">
        <v>1.178</v>
      </c>
      <c r="BS791" t="n">
        <v>7.05</v>
      </c>
      <c r="CD791" t="n">
        <v>1.69</v>
      </c>
      <c r="CF791" t="n">
        <v>20</v>
      </c>
      <c r="CG791" t="n">
        <v>5.1</v>
      </c>
      <c r="CH791" t="n">
        <v>107.1</v>
      </c>
      <c r="CI791" t="n">
        <v>-96.89999999999999</v>
      </c>
      <c r="CJ791" t="n">
        <v>5.151481225430447</v>
      </c>
      <c r="CK791" t="n">
        <v>5.008612179712222</v>
      </c>
      <c r="CL791" t="n">
        <v>5.079172179338301</v>
      </c>
      <c r="CM791" t="n">
        <v>5.071313863807025</v>
      </c>
      <c r="CN791" t="n">
        <v>5.265391083262954</v>
      </c>
      <c r="CO791" t="n">
        <v>5.048820445576603</v>
      </c>
      <c r="EH791" t="n">
        <v>5.104</v>
      </c>
      <c r="ES791" t="n">
        <v>0.08</v>
      </c>
      <c r="FD791" t="n">
        <v>1.64</v>
      </c>
      <c r="FF791" t="n">
        <v>20</v>
      </c>
      <c r="FG791" t="n">
        <v>0.8</v>
      </c>
      <c r="FH791" t="n">
        <v>16.8</v>
      </c>
      <c r="FI791" t="n">
        <v>-15.2</v>
      </c>
      <c r="FJ791" t="n">
        <v>0.571430276509755</v>
      </c>
      <c r="FK791" t="n">
        <v>0.6308853064495743</v>
      </c>
      <c r="FL791" t="n">
        <v>0.621251182081088</v>
      </c>
      <c r="FM791" t="n">
        <v>0.5826799052846745</v>
      </c>
      <c r="FN791" t="n">
        <v>0.5917907438059187</v>
      </c>
      <c r="FO791" t="n">
        <v>0.4519498408637617</v>
      </c>
      <c r="HH791" t="n">
        <v>0.575</v>
      </c>
      <c r="HS791" t="n">
        <v>-28.13</v>
      </c>
      <c r="ID791" t="n">
        <v>10.23</v>
      </c>
      <c r="IF791" t="n">
        <v>20</v>
      </c>
      <c r="IG791" t="n">
        <v>8.4</v>
      </c>
      <c r="IH791" t="n">
        <v>176.4</v>
      </c>
      <c r="II791" t="n">
        <v>-159.6</v>
      </c>
      <c r="IJ791" t="n">
        <v>7.993335182283421</v>
      </c>
      <c r="IK791" t="n">
        <v>8.15753519257489</v>
      </c>
      <c r="IL791" t="n">
        <v>8.291442638142634</v>
      </c>
      <c r="IM791" t="n">
        <v>8.132315846746661</v>
      </c>
      <c r="IN791" t="n">
        <v>8.376245714067437</v>
      </c>
      <c r="KH791" t="n">
        <v>8.19</v>
      </c>
      <c r="KS791" t="n">
        <v>-2.5</v>
      </c>
      <c r="LD791" t="n">
        <v>1.62</v>
      </c>
    </row>
    <row r="792">
      <c r="A792" t="inlineStr">
        <is>
          <t>2026-03-30</t>
        </is>
      </c>
      <c r="B792" t="inlineStr">
        <is>
          <t>Optimum Wellness 37</t>
        </is>
      </c>
      <c r="C792" t="inlineStr">
        <is>
          <t>00191929326033001</t>
        </is>
      </c>
      <c r="D792" t="inlineStr">
        <is>
          <t>ALB</t>
        </is>
      </c>
      <c r="F792" t="n">
        <v>8</v>
      </c>
      <c r="G792" t="n">
        <v>4.2</v>
      </c>
      <c r="H792" t="n">
        <v>37.8</v>
      </c>
      <c r="I792" t="n">
        <v>-29.4</v>
      </c>
      <c r="J792" t="n">
        <v>5.019186925734323</v>
      </c>
      <c r="K792" t="n">
        <v>4.84632625728078</v>
      </c>
      <c r="L792" t="n">
        <v>4.968430412509849</v>
      </c>
      <c r="M792" t="n">
        <v>5.020415570562254</v>
      </c>
      <c r="N792" t="n">
        <v>4.971581926313622</v>
      </c>
      <c r="O792" t="n">
        <v>4.903571318108725</v>
      </c>
      <c r="BH792" t="n">
        <v>4.955</v>
      </c>
      <c r="BS792" t="n">
        <v>17.97</v>
      </c>
      <c r="CD792" t="n">
        <v>1.26</v>
      </c>
      <c r="CF792" t="n">
        <v>8</v>
      </c>
      <c r="CG792" t="n">
        <v>2.7</v>
      </c>
      <c r="CH792" t="n">
        <v>24.3</v>
      </c>
      <c r="CI792" t="n">
        <v>-18.9</v>
      </c>
      <c r="CJ792" t="n">
        <v>3.511017094840055</v>
      </c>
      <c r="CK792" t="n">
        <v>3.424960514124026</v>
      </c>
      <c r="CL792" t="n">
        <v>3.440556565021652</v>
      </c>
      <c r="CM792" t="n">
        <v>3.47325388363465</v>
      </c>
      <c r="CN792" t="n">
        <v>3.48055608275949</v>
      </c>
      <c r="CO792" t="n">
        <v>3.421731843327285</v>
      </c>
      <c r="EH792" t="n">
        <v>3.459</v>
      </c>
      <c r="ES792" t="n">
        <v>28.1</v>
      </c>
      <c r="FD792" t="n">
        <v>0.93</v>
      </c>
      <c r="FF792" t="n">
        <v>8</v>
      </c>
      <c r="FG792" t="n">
        <v>2.6</v>
      </c>
      <c r="FH792" t="n">
        <v>23.4</v>
      </c>
      <c r="FI792" t="n">
        <v>-18.2</v>
      </c>
      <c r="FJ792" t="n">
        <v>3.288591003326365</v>
      </c>
      <c r="FK792" t="n">
        <v>3.356541611494212</v>
      </c>
      <c r="FL792" t="n">
        <v>3.351684872315598</v>
      </c>
      <c r="FM792" t="n">
        <v>3.285117221982298</v>
      </c>
      <c r="FN792" t="n">
        <v>3.314021670254761</v>
      </c>
      <c r="FO792" t="n">
        <v>3.301225986083087</v>
      </c>
      <c r="HH792" t="n">
        <v>3.316</v>
      </c>
      <c r="HS792" t="n">
        <v>27.55</v>
      </c>
      <c r="ID792" t="n">
        <v>0.86</v>
      </c>
      <c r="IF792" t="n">
        <v>8</v>
      </c>
      <c r="IG792" t="n">
        <v>4.2</v>
      </c>
      <c r="IH792" t="n">
        <v>37.8</v>
      </c>
      <c r="II792" t="n">
        <v>-29.4</v>
      </c>
      <c r="IJ792" t="n">
        <v>4.994385134671838</v>
      </c>
      <c r="IK792" t="n">
        <v>5.041270499747284</v>
      </c>
      <c r="IL792" t="n">
        <v>4.953079433263827</v>
      </c>
      <c r="IM792" t="n">
        <v>4.993651768543682</v>
      </c>
      <c r="IN792" t="n">
        <v>4.935760236149237</v>
      </c>
      <c r="KH792" t="n">
        <v>4.984</v>
      </c>
      <c r="KS792" t="n">
        <v>18.66</v>
      </c>
      <c r="LD792" t="n">
        <v>0.74</v>
      </c>
    </row>
    <row r="793">
      <c r="A793" t="inlineStr">
        <is>
          <t>2026-03-30</t>
        </is>
      </c>
      <c r="B793" t="inlineStr">
        <is>
          <t>Optimum Wellness 37</t>
        </is>
      </c>
      <c r="C793" t="inlineStr">
        <is>
          <t>00191929326033001</t>
        </is>
      </c>
      <c r="D793" t="inlineStr">
        <is>
          <t>ALP</t>
        </is>
      </c>
      <c r="F793" t="n">
        <v>20</v>
      </c>
      <c r="G793" t="n">
        <v>136</v>
      </c>
      <c r="H793" t="n">
        <v>2856</v>
      </c>
      <c r="I793" t="n">
        <v>-2584</v>
      </c>
      <c r="J793" t="n">
        <v>139.5846196168242</v>
      </c>
      <c r="K793" t="n">
        <v>141.6992401527091</v>
      </c>
      <c r="L793" t="n">
        <v>140.7538299828739</v>
      </c>
      <c r="M793" t="n">
        <v>139.2900194155206</v>
      </c>
      <c r="N793" t="n">
        <v>140.9770969810362</v>
      </c>
      <c r="O793" t="n">
        <v>140.1601981403823</v>
      </c>
      <c r="BH793" t="n">
        <v>140.411</v>
      </c>
      <c r="BS793" t="n">
        <v>3.24</v>
      </c>
      <c r="CD793" t="n">
        <v>0.59</v>
      </c>
      <c r="CF793" t="n">
        <v>20</v>
      </c>
      <c r="CG793" t="n">
        <v>456</v>
      </c>
      <c r="CH793" t="n">
        <v>9576</v>
      </c>
      <c r="CI793" t="n">
        <v>-8664</v>
      </c>
      <c r="CJ793" t="n">
        <v>439.7670698182534</v>
      </c>
      <c r="CK793" t="n">
        <v>451.7086528224544</v>
      </c>
      <c r="CL793" t="n">
        <v>439.4608168229036</v>
      </c>
      <c r="CM793" t="n">
        <v>439.2355483584147</v>
      </c>
      <c r="CN793" t="n">
        <v>435.366972741513</v>
      </c>
      <c r="CO793" t="n">
        <v>443.2810948276143</v>
      </c>
      <c r="EH793" t="n">
        <v>441.47</v>
      </c>
      <c r="ES793" t="n">
        <v>-3.19</v>
      </c>
      <c r="FD793" t="n">
        <v>1.16</v>
      </c>
      <c r="FF793" t="n">
        <v>20</v>
      </c>
      <c r="FG793" t="n">
        <v>75</v>
      </c>
      <c r="FH793" t="n">
        <v>1575</v>
      </c>
      <c r="FI793" t="n">
        <v>-1425</v>
      </c>
      <c r="FJ793" t="n">
        <v>77.15935125304509</v>
      </c>
      <c r="FK793" t="n">
        <v>77.33802707469215</v>
      </c>
      <c r="FL793" t="n">
        <v>76.46232574870307</v>
      </c>
      <c r="FM793" t="n">
        <v>76.6257749098209</v>
      </c>
      <c r="FN793" t="n">
        <v>76.31427710466724</v>
      </c>
      <c r="FO793" t="n">
        <v>76.36074893907002</v>
      </c>
      <c r="HH793" t="n">
        <v>76.70999999999999</v>
      </c>
      <c r="HS793" t="n">
        <v>2.28</v>
      </c>
      <c r="ID793" t="n">
        <v>0.52</v>
      </c>
      <c r="IF793" t="n">
        <v>20</v>
      </c>
      <c r="IG793" t="n">
        <v>251</v>
      </c>
      <c r="IH793" t="n">
        <v>5271</v>
      </c>
      <c r="II793" t="n">
        <v>-4769</v>
      </c>
      <c r="IJ793" t="n">
        <v>214.0938856849837</v>
      </c>
      <c r="IK793" t="n">
        <v>217.431982760188</v>
      </c>
      <c r="IL793" t="n">
        <v>217.0031455754221</v>
      </c>
      <c r="IM793" t="n">
        <v>216.484321134792</v>
      </c>
      <c r="IN793" t="n">
        <v>217.9843090990577</v>
      </c>
      <c r="KH793" t="n">
        <v>216.6</v>
      </c>
      <c r="KS793" t="n">
        <v>-13.71</v>
      </c>
      <c r="LD793" t="n">
        <v>0.62</v>
      </c>
    </row>
    <row r="794">
      <c r="A794" t="inlineStr">
        <is>
          <t>2026-03-30</t>
        </is>
      </c>
      <c r="B794" t="inlineStr">
        <is>
          <t>Optimum Wellness 37</t>
        </is>
      </c>
      <c r="C794" t="inlineStr">
        <is>
          <t>00191929326033001</t>
        </is>
      </c>
      <c r="D794" t="inlineStr">
        <is>
          <t>ALT</t>
        </is>
      </c>
      <c r="F794" t="n">
        <v>15</v>
      </c>
      <c r="G794" t="n">
        <v>28</v>
      </c>
      <c r="H794" t="n">
        <v>448</v>
      </c>
      <c r="I794" t="n">
        <v>-392</v>
      </c>
      <c r="J794" t="n">
        <v>29.60673276267995</v>
      </c>
      <c r="K794" t="n">
        <v>26.91523361086518</v>
      </c>
      <c r="L794" t="n">
        <v>29.00114782948827</v>
      </c>
      <c r="M794" t="n">
        <v>-8.292010590867331</v>
      </c>
      <c r="N794" t="n">
        <v>28.66672450918043</v>
      </c>
      <c r="O794" t="n">
        <v>26.72604174328021</v>
      </c>
      <c r="BH794" t="n">
        <v>22.104</v>
      </c>
      <c r="BS794" t="n">
        <v>-21.06</v>
      </c>
      <c r="CD794" t="n">
        <v>61.68</v>
      </c>
      <c r="CF794" t="n">
        <v>15</v>
      </c>
      <c r="CG794" t="n">
        <v>115</v>
      </c>
      <c r="CH794" t="n">
        <v>1840</v>
      </c>
      <c r="CI794" t="n">
        <v>-1610</v>
      </c>
      <c r="CJ794" t="n">
        <v>121.8998862335405</v>
      </c>
      <c r="CK794" t="n">
        <v>123.8257141545221</v>
      </c>
      <c r="CL794" t="n">
        <v>122.6797054974903</v>
      </c>
      <c r="CM794" t="n">
        <v>117.9042269570866</v>
      </c>
      <c r="CN794" t="n">
        <v>123.2774087619956</v>
      </c>
      <c r="CO794" t="n">
        <v>117.211846033258</v>
      </c>
      <c r="EH794" t="n">
        <v>121.133</v>
      </c>
      <c r="ES794" t="n">
        <v>5.33</v>
      </c>
      <c r="FD794" t="n">
        <v>2.15</v>
      </c>
      <c r="FF794" t="n">
        <v>15</v>
      </c>
      <c r="FG794" t="n">
        <v>26</v>
      </c>
      <c r="FH794" t="n">
        <v>416</v>
      </c>
      <c r="FI794" t="n">
        <v>-364</v>
      </c>
      <c r="FJ794" t="n">
        <v>19.13349251826617</v>
      </c>
      <c r="FK794" t="n">
        <v>20.37789295932665</v>
      </c>
      <c r="FL794" t="n">
        <v>22.99216073016484</v>
      </c>
      <c r="FM794" t="n">
        <v>25.09505715968615</v>
      </c>
      <c r="FN794" t="n">
        <v>24.49075025996562</v>
      </c>
      <c r="FO794" t="n">
        <v>20.99455212722865</v>
      </c>
      <c r="HH794" t="n">
        <v>22.181</v>
      </c>
      <c r="HS794" t="n">
        <v>-14.69</v>
      </c>
      <c r="ID794" t="n">
        <v>9.81</v>
      </c>
      <c r="IF794" t="n">
        <v>15</v>
      </c>
      <c r="IG794" t="n">
        <v>217</v>
      </c>
      <c r="IH794" t="n">
        <v>3472</v>
      </c>
      <c r="II794" t="n">
        <v>-3038</v>
      </c>
      <c r="IJ794" t="n">
        <v>207.5341223017841</v>
      </c>
      <c r="IK794" t="n">
        <v>210.1569351127471</v>
      </c>
      <c r="IL794" t="n">
        <v>203.9532619031253</v>
      </c>
      <c r="IM794" t="n">
        <v>205.3924616827095</v>
      </c>
      <c r="IN794" t="n">
        <v>208.0744413157826</v>
      </c>
      <c r="KH794" t="n">
        <v>207.022</v>
      </c>
      <c r="KS794" t="n">
        <v>-4.6</v>
      </c>
      <c r="LD794" t="n">
        <v>1.04</v>
      </c>
    </row>
    <row r="795">
      <c r="A795" t="inlineStr">
        <is>
          <t>2026-03-30</t>
        </is>
      </c>
      <c r="B795" t="inlineStr">
        <is>
          <t>Optimum Wellness 37</t>
        </is>
      </c>
      <c r="C795" t="inlineStr">
        <is>
          <t>00191929326033001</t>
        </is>
      </c>
      <c r="D795" t="inlineStr">
        <is>
          <t>BA</t>
        </is>
      </c>
      <c r="J795" t="n">
        <v>2.125357551868424</v>
      </c>
      <c r="K795" t="n">
        <v>1.813787111928005</v>
      </c>
      <c r="L795" t="n">
        <v>1.892068463489013</v>
      </c>
      <c r="M795" t="n">
        <v>1.439529306005652</v>
      </c>
      <c r="N795" t="n">
        <v>2.027345567643968</v>
      </c>
      <c r="BH795" t="n">
        <v>1.86</v>
      </c>
      <c r="CD795" t="n">
        <v>12.69</v>
      </c>
      <c r="CJ795" t="n">
        <v>1.416036398146346</v>
      </c>
      <c r="CK795" t="n">
        <v>2.282329632776534</v>
      </c>
      <c r="CL795" t="n">
        <v>2.170061833902928</v>
      </c>
      <c r="CM795" t="n">
        <v>1.867543484673149</v>
      </c>
      <c r="CN795" t="n">
        <v>1.59565296698581</v>
      </c>
      <c r="EH795" t="n">
        <v>1.866</v>
      </c>
      <c r="FD795" t="n">
        <v>17.63</v>
      </c>
      <c r="FJ795" t="n">
        <v>10.93162629205089</v>
      </c>
      <c r="FK795" t="n">
        <v>9.757984613977321</v>
      </c>
      <c r="FL795" t="n">
        <v>11.20855274132632</v>
      </c>
      <c r="FM795" t="n">
        <v>10.59448245287777</v>
      </c>
      <c r="FN795" t="n">
        <v>10.37132352636296</v>
      </c>
      <c r="HH795" t="n">
        <v>10.573</v>
      </c>
      <c r="ID795" t="n">
        <v>4.71</v>
      </c>
      <c r="IJ795" t="n">
        <v>9.162296137030651</v>
      </c>
      <c r="IK795" t="n">
        <v>9.102900875908974</v>
      </c>
      <c r="IL795" t="n">
        <v>10.14135928485369</v>
      </c>
      <c r="IM795" t="n">
        <v>9.83475590525045</v>
      </c>
      <c r="IN795" t="n">
        <v>9.560551231838009</v>
      </c>
      <c r="KH795" t="n">
        <v>9.56</v>
      </c>
      <c r="LD795" t="n">
        <v>4.13</v>
      </c>
    </row>
    <row r="796">
      <c r="A796" t="inlineStr">
        <is>
          <t>2026-03-30</t>
        </is>
      </c>
      <c r="B796" t="inlineStr">
        <is>
          <t>Optimum Wellness 37</t>
        </is>
      </c>
      <c r="C796" t="inlineStr">
        <is>
          <t>00191929326033001</t>
        </is>
      </c>
      <c r="D796" t="inlineStr">
        <is>
          <t>BUN</t>
        </is>
      </c>
      <c r="F796" t="n">
        <v>9</v>
      </c>
      <c r="G796" t="n">
        <v>14.8</v>
      </c>
      <c r="H796" t="n">
        <v>148</v>
      </c>
      <c r="I796" t="n">
        <v>-118.4</v>
      </c>
      <c r="J796" t="n">
        <v>14.23816586374609</v>
      </c>
      <c r="K796" t="n">
        <v>13.64483870527389</v>
      </c>
      <c r="L796" t="n">
        <v>13.82416428659513</v>
      </c>
      <c r="M796" t="n">
        <v>14.22195083693854</v>
      </c>
      <c r="N796" t="n">
        <v>13.76923934346916</v>
      </c>
      <c r="O796" t="n">
        <v>14.04389131712288</v>
      </c>
      <c r="BH796" t="n">
        <v>13.957</v>
      </c>
      <c r="BS796" t="n">
        <v>-5.7</v>
      </c>
      <c r="CD796" t="n">
        <v>1.62</v>
      </c>
      <c r="CF796" t="n">
        <v>9</v>
      </c>
      <c r="CG796" t="n">
        <v>44.7</v>
      </c>
      <c r="CH796" t="n">
        <v>447</v>
      </c>
      <c r="CI796" t="n">
        <v>-357.6</v>
      </c>
      <c r="CJ796" t="n">
        <v>44.21948933044546</v>
      </c>
      <c r="CK796" t="n">
        <v>44.0118329372095</v>
      </c>
      <c r="CL796" t="n">
        <v>42.25232815738089</v>
      </c>
      <c r="CM796" t="n">
        <v>43.84046831009459</v>
      </c>
      <c r="CN796" t="n">
        <v>43.12073338401945</v>
      </c>
      <c r="CO796" t="n">
        <v>43.42895853328203</v>
      </c>
      <c r="EH796" t="n">
        <v>43.479</v>
      </c>
      <c r="ES796" t="n">
        <v>-2.73</v>
      </c>
      <c r="FD796" t="n">
        <v>1.51</v>
      </c>
      <c r="FF796" t="n">
        <v>9</v>
      </c>
      <c r="FG796" t="n">
        <v>14.7</v>
      </c>
      <c r="FH796" t="n">
        <v>147</v>
      </c>
      <c r="FI796" t="n">
        <v>-117.6</v>
      </c>
      <c r="FJ796" t="n">
        <v>14.36238821035363</v>
      </c>
      <c r="FK796" t="n">
        <v>14.25377481798757</v>
      </c>
      <c r="FL796" t="n">
        <v>14.29298429949676</v>
      </c>
      <c r="FM796" t="n">
        <v>14.08121623722979</v>
      </c>
      <c r="FN796" t="n">
        <v>14.11362539657886</v>
      </c>
      <c r="FO796" t="n">
        <v>14.21069726687501</v>
      </c>
      <c r="HH796" t="n">
        <v>14.219</v>
      </c>
      <c r="HS796" t="n">
        <v>-3.27</v>
      </c>
      <c r="ID796" t="n">
        <v>0.6899999999999999</v>
      </c>
      <c r="IF796" t="n">
        <v>9</v>
      </c>
      <c r="IG796" t="n">
        <v>65.7</v>
      </c>
      <c r="IH796" t="n">
        <v>657</v>
      </c>
      <c r="II796" t="n">
        <v>-525.6</v>
      </c>
      <c r="IJ796" t="n">
        <v>63.91932204813434</v>
      </c>
      <c r="IK796" t="n">
        <v>63.44284832972843</v>
      </c>
      <c r="IL796" t="n">
        <v>63.60305810012419</v>
      </c>
      <c r="IM796" t="n">
        <v>62.33444427032457</v>
      </c>
      <c r="IN796" t="n">
        <v>63.70215438961382</v>
      </c>
      <c r="KH796" t="n">
        <v>63.4</v>
      </c>
      <c r="KS796" t="n">
        <v>-3.5</v>
      </c>
      <c r="LD796" t="n">
        <v>0.88</v>
      </c>
    </row>
    <row r="797">
      <c r="A797" t="inlineStr">
        <is>
          <t>2026-03-30</t>
        </is>
      </c>
      <c r="B797" t="inlineStr">
        <is>
          <t>Optimum Wellness 37</t>
        </is>
      </c>
      <c r="C797" t="inlineStr">
        <is>
          <t>00191929326033001</t>
        </is>
      </c>
      <c r="D797" t="inlineStr">
        <is>
          <t>CREA</t>
        </is>
      </c>
      <c r="F797" t="n">
        <v>10</v>
      </c>
      <c r="G797" t="n">
        <v>1.5</v>
      </c>
      <c r="H797" t="n">
        <v>16.5</v>
      </c>
      <c r="I797" t="n">
        <v>-13.5</v>
      </c>
      <c r="J797" t="n">
        <v>1.188152897192527</v>
      </c>
      <c r="K797" t="n">
        <v>1.215145114295816</v>
      </c>
      <c r="L797" t="n">
        <v>1.287350726197576</v>
      </c>
      <c r="M797" t="n">
        <v>1.139487393103589</v>
      </c>
      <c r="N797" t="n">
        <v>1.204340787999592</v>
      </c>
      <c r="O797" t="n">
        <v>1.217403491123545</v>
      </c>
      <c r="BH797" t="n">
        <v>1.209</v>
      </c>
      <c r="BS797" t="n">
        <v>-19.42</v>
      </c>
      <c r="CD797" t="n">
        <v>3.63</v>
      </c>
      <c r="CF797" t="n">
        <v>10</v>
      </c>
      <c r="CG797" t="n">
        <v>5.55</v>
      </c>
      <c r="CH797" t="n">
        <v>61.05</v>
      </c>
      <c r="CI797" t="n">
        <v>-49.95</v>
      </c>
      <c r="CJ797" t="n">
        <v>4.630753654933411</v>
      </c>
      <c r="CK797" t="n">
        <v>4.474074059097364</v>
      </c>
      <c r="CL797" t="n">
        <v>4.42156074326946</v>
      </c>
      <c r="CM797" t="n">
        <v>4.431142030065404</v>
      </c>
      <c r="CN797" t="n">
        <v>4.489258919737238</v>
      </c>
      <c r="CO797" t="n">
        <v>4.563485141523158</v>
      </c>
      <c r="EH797" t="n">
        <v>4.502</v>
      </c>
      <c r="ES797" t="n">
        <v>-18.89</v>
      </c>
      <c r="FD797" t="n">
        <v>1.64</v>
      </c>
      <c r="FF797" t="n">
        <v>10</v>
      </c>
      <c r="FG797" t="n">
        <v>0.97</v>
      </c>
      <c r="FH797" t="n">
        <v>10.67</v>
      </c>
      <c r="FI797" t="n">
        <v>-8.73</v>
      </c>
      <c r="FJ797" t="n">
        <v>0.6478494964655855</v>
      </c>
      <c r="FK797" t="n">
        <v>0.6805617141819437</v>
      </c>
      <c r="FL797" t="n">
        <v>0.7236910326968412</v>
      </c>
      <c r="FM797" t="n">
        <v>0.751104450799622</v>
      </c>
      <c r="FN797" t="n">
        <v>0.7335905910294537</v>
      </c>
      <c r="FO797" t="n">
        <v>0.783526039839015</v>
      </c>
      <c r="HH797" t="n">
        <v>0.72</v>
      </c>
      <c r="HS797" t="n">
        <v>-25.77</v>
      </c>
      <c r="ID797" t="n">
        <v>6.2</v>
      </c>
      <c r="IF797" t="n">
        <v>10</v>
      </c>
      <c r="IG797" t="n">
        <v>5.95</v>
      </c>
      <c r="IH797" t="n">
        <v>65.45</v>
      </c>
      <c r="II797" t="n">
        <v>-53.55</v>
      </c>
      <c r="IJ797" t="n">
        <v>5.001217668676096</v>
      </c>
      <c r="IK797" t="n">
        <v>5.23441189580642</v>
      </c>
      <c r="IL797" t="n">
        <v>5.405997397149148</v>
      </c>
      <c r="IM797" t="n">
        <v>5.300928961061631</v>
      </c>
      <c r="IN797" t="n">
        <v>5.332641254108747</v>
      </c>
      <c r="KH797" t="n">
        <v>5.255</v>
      </c>
      <c r="KS797" t="n">
        <v>-11.68</v>
      </c>
      <c r="LD797" t="n">
        <v>2.63</v>
      </c>
    </row>
    <row r="798">
      <c r="A798" t="inlineStr">
        <is>
          <t>2026-03-30</t>
        </is>
      </c>
      <c r="B798" t="inlineStr">
        <is>
          <t>Optimum Wellness 37</t>
        </is>
      </c>
      <c r="C798" t="inlineStr">
        <is>
          <t>00191929326033001</t>
        </is>
      </c>
      <c r="D798" t="inlineStr">
        <is>
          <t>Cl</t>
        </is>
      </c>
      <c r="F798" t="n">
        <v>5</v>
      </c>
      <c r="G798" t="n">
        <v>90</v>
      </c>
      <c r="H798" t="n">
        <v>540</v>
      </c>
      <c r="I798" t="n">
        <v>-360</v>
      </c>
      <c r="J798" t="n">
        <v>90.85576563147922</v>
      </c>
      <c r="K798" t="n">
        <v>92.13720608124068</v>
      </c>
      <c r="L798" t="n">
        <v>92.87518774909073</v>
      </c>
      <c r="M798" t="n">
        <v>93.46794546971141</v>
      </c>
      <c r="N798" t="n">
        <v>94.30651119197231</v>
      </c>
      <c r="BH798" t="n">
        <v>92.729</v>
      </c>
      <c r="BS798" t="n">
        <v>3.03</v>
      </c>
      <c r="CD798" t="n">
        <v>1.27</v>
      </c>
      <c r="CF798" t="n">
        <v>5</v>
      </c>
      <c r="CG798" t="n">
        <v>91</v>
      </c>
      <c r="CH798" t="n">
        <v>546</v>
      </c>
      <c r="CI798" t="n">
        <v>-364</v>
      </c>
      <c r="CJ798" t="n">
        <v>87.23694113595235</v>
      </c>
      <c r="CK798" t="n">
        <v>86.56125304778938</v>
      </c>
      <c r="CL798" t="n">
        <v>86.12917619922098</v>
      </c>
      <c r="CM798" t="n">
        <v>87.08605208438895</v>
      </c>
      <c r="CN798" t="n">
        <v>85.46152526181456</v>
      </c>
      <c r="EH798" t="n">
        <v>86.495</v>
      </c>
      <c r="ES798" t="n">
        <v>-4.95</v>
      </c>
      <c r="FD798" t="n">
        <v>0.75</v>
      </c>
      <c r="FF798" t="n">
        <v>5</v>
      </c>
      <c r="FG798" t="n">
        <v>77</v>
      </c>
      <c r="FH798" t="n">
        <v>462</v>
      </c>
      <c r="FI798" t="n">
        <v>-308</v>
      </c>
      <c r="FJ798" t="n">
        <v>75.74781550209009</v>
      </c>
      <c r="FK798" t="n">
        <v>77.92101299505475</v>
      </c>
      <c r="FL798" t="n">
        <v>75.8034745103009</v>
      </c>
      <c r="FM798" t="n">
        <v>77.16581636722331</v>
      </c>
      <c r="FN798" t="n">
        <v>77.29073351288734</v>
      </c>
      <c r="HH798" t="n">
        <v>76.786</v>
      </c>
      <c r="HS798" t="n">
        <v>-0.28</v>
      </c>
      <c r="ID798" t="n">
        <v>1.12</v>
      </c>
      <c r="IF798" t="n">
        <v>5</v>
      </c>
      <c r="IG798" t="n">
        <v>118</v>
      </c>
      <c r="IH798" t="n">
        <v>708</v>
      </c>
      <c r="II798" t="n">
        <v>-472</v>
      </c>
      <c r="IJ798" t="n">
        <v>118.4724858151187</v>
      </c>
      <c r="IK798" t="n">
        <v>116.72486001341</v>
      </c>
      <c r="IL798" t="n">
        <v>115.2725423782437</v>
      </c>
      <c r="IM798" t="n">
        <v>117.2736692955091</v>
      </c>
      <c r="IN798" t="n">
        <v>119.4713439548177</v>
      </c>
      <c r="KH798" t="n">
        <v>117.443</v>
      </c>
      <c r="KS798" t="n">
        <v>-0.47</v>
      </c>
      <c r="LD798" t="n">
        <v>1.23</v>
      </c>
    </row>
    <row r="799">
      <c r="A799" t="inlineStr">
        <is>
          <t>2026-03-30</t>
        </is>
      </c>
      <c r="B799" t="inlineStr">
        <is>
          <t>Optimum Wellness 37</t>
        </is>
      </c>
      <c r="C799" t="inlineStr">
        <is>
          <t>00191929326033001</t>
        </is>
      </c>
      <c r="D799" t="inlineStr">
        <is>
          <t>GLU</t>
        </is>
      </c>
      <c r="F799" t="n">
        <v>8</v>
      </c>
      <c r="G799" t="n">
        <v>90.16</v>
      </c>
      <c r="H799" t="n">
        <v>811.4399999999999</v>
      </c>
      <c r="I799" t="n">
        <v>-631.12</v>
      </c>
      <c r="J799" t="n">
        <v>90.8198339635484</v>
      </c>
      <c r="K799" t="n">
        <v>88.8435376542057</v>
      </c>
      <c r="L799" t="n">
        <v>90.36742152907308</v>
      </c>
      <c r="M799" t="n">
        <v>90.19919718080061</v>
      </c>
      <c r="N799" t="n">
        <v>90.5900443189208</v>
      </c>
      <c r="O799" t="n">
        <v>89.7506933535642</v>
      </c>
      <c r="BH799" t="n">
        <v>90.095</v>
      </c>
      <c r="BS799" t="n">
        <v>-0.07000000000000001</v>
      </c>
      <c r="CD799" t="n">
        <v>0.72</v>
      </c>
      <c r="CF799" t="n">
        <v>8</v>
      </c>
      <c r="CG799" t="n">
        <v>293.02</v>
      </c>
      <c r="CH799" t="n">
        <v>2637.18</v>
      </c>
      <c r="CI799" t="n">
        <v>-2051.14</v>
      </c>
      <c r="CJ799" t="n">
        <v>292.2377478851579</v>
      </c>
      <c r="CK799" t="n">
        <v>298.0440679981147</v>
      </c>
      <c r="CL799" t="n">
        <v>294.2587349951199</v>
      </c>
      <c r="CM799" t="n">
        <v>296.9597011436198</v>
      </c>
      <c r="CN799" t="n">
        <v>293.3806488368934</v>
      </c>
      <c r="CO799" t="n">
        <v>293.3924055047714</v>
      </c>
      <c r="EH799" t="n">
        <v>294.712</v>
      </c>
      <c r="ES799" t="n">
        <v>0.58</v>
      </c>
      <c r="FD799" t="n">
        <v>0.71</v>
      </c>
      <c r="FF799" t="n">
        <v>8</v>
      </c>
      <c r="FG799" t="n">
        <v>65.66</v>
      </c>
      <c r="FH799" t="n">
        <v>590.9399999999999</v>
      </c>
      <c r="FI799" t="n">
        <v>-459.62</v>
      </c>
      <c r="FJ799" t="n">
        <v>65.41280243594838</v>
      </c>
      <c r="FK799" t="n">
        <v>66.14447125946549</v>
      </c>
      <c r="FL799" t="n">
        <v>65.5256532940445</v>
      </c>
      <c r="FM799" t="n">
        <v>65.74331302352263</v>
      </c>
      <c r="FN799" t="n">
        <v>63.88679340386995</v>
      </c>
      <c r="FO799" t="n">
        <v>64.11826935239884</v>
      </c>
      <c r="HH799" t="n">
        <v>65.139</v>
      </c>
      <c r="HS799" t="n">
        <v>-0.79</v>
      </c>
      <c r="ID799" t="n">
        <v>1.29</v>
      </c>
      <c r="IF799" t="n">
        <v>8</v>
      </c>
      <c r="IG799" t="n">
        <v>359.66</v>
      </c>
      <c r="IH799" t="n">
        <v>3236.94</v>
      </c>
      <c r="II799" t="n">
        <v>-2517.62</v>
      </c>
      <c r="IJ799" t="n">
        <v>352.3950505263867</v>
      </c>
      <c r="IK799" t="n">
        <v>357.7613553361585</v>
      </c>
      <c r="IL799" t="n">
        <v>352.4688135024579</v>
      </c>
      <c r="IM799" t="n">
        <v>355.0705945919837</v>
      </c>
      <c r="IN799" t="n">
        <v>357.036149030401</v>
      </c>
      <c r="KH799" t="n">
        <v>354.946</v>
      </c>
      <c r="KS799" t="n">
        <v>-1.31</v>
      </c>
      <c r="LD799" t="n">
        <v>0.63</v>
      </c>
    </row>
    <row r="800">
      <c r="A800" t="inlineStr">
        <is>
          <t>2026-03-30</t>
        </is>
      </c>
      <c r="B800" t="inlineStr">
        <is>
          <t>Optimum Wellness 37</t>
        </is>
      </c>
      <c r="C800" t="inlineStr">
        <is>
          <t>00191929326033001</t>
        </is>
      </c>
      <c r="D800" t="inlineStr">
        <is>
          <t>K</t>
        </is>
      </c>
      <c r="G800" t="n">
        <v>3.9</v>
      </c>
      <c r="J800" t="n">
        <v>3.32087931811879</v>
      </c>
      <c r="K800" t="n">
        <v>3.130346018895148</v>
      </c>
      <c r="L800" t="n">
        <v>3.350024955479375</v>
      </c>
      <c r="M800" t="n">
        <v>3.325592182195312</v>
      </c>
      <c r="N800" t="n">
        <v>3.264942136330874</v>
      </c>
      <c r="BH800" t="n">
        <v>3.278</v>
      </c>
      <c r="BS800" t="n">
        <v>-15.94</v>
      </c>
      <c r="CD800" t="n">
        <v>2.41</v>
      </c>
      <c r="CG800" t="n">
        <v>6</v>
      </c>
      <c r="CJ800" t="n">
        <v>5.333682482677164</v>
      </c>
      <c r="CK800" t="n">
        <v>5.55215534218051</v>
      </c>
      <c r="CL800" t="n">
        <v>5.709480454138037</v>
      </c>
      <c r="CM800" t="n">
        <v>5.628598132055997</v>
      </c>
      <c r="CN800" t="n">
        <v>5.5261100826046</v>
      </c>
      <c r="EH800" t="n">
        <v>5.55</v>
      </c>
      <c r="ES800" t="n">
        <v>-7.5</v>
      </c>
      <c r="FD800" t="n">
        <v>2.26</v>
      </c>
      <c r="FG800" t="n">
        <v>2.2</v>
      </c>
      <c r="FJ800" t="n">
        <v>1.965148994406246</v>
      </c>
      <c r="FK800" t="n">
        <v>1.856996096013496</v>
      </c>
      <c r="FL800" t="n">
        <v>1.973364614387215</v>
      </c>
      <c r="FM800" t="n">
        <v>2.130363402594951</v>
      </c>
      <c r="FN800" t="n">
        <v>1.965713906602332</v>
      </c>
      <c r="HH800" t="n">
        <v>1.978</v>
      </c>
      <c r="HS800" t="n">
        <v>-10.08</v>
      </c>
      <c r="ID800" t="n">
        <v>4.42</v>
      </c>
      <c r="IG800" t="n">
        <v>8.4</v>
      </c>
      <c r="IJ800" t="n">
        <v>7.627931498787643</v>
      </c>
      <c r="IK800" t="n">
        <v>7.499342809973987</v>
      </c>
      <c r="IL800" t="n">
        <v>7.658085192974836</v>
      </c>
      <c r="IM800" t="n">
        <v>7.667893605474038</v>
      </c>
      <c r="IN800" t="n">
        <v>7.677526935520106</v>
      </c>
      <c r="KH800" t="n">
        <v>7.626</v>
      </c>
      <c r="KS800" t="n">
        <v>-9.210000000000001</v>
      </c>
      <c r="LD800" t="n">
        <v>0.86</v>
      </c>
    </row>
    <row r="801">
      <c r="A801" t="inlineStr">
        <is>
          <t>2026-03-30</t>
        </is>
      </c>
      <c r="B801" t="inlineStr">
        <is>
          <t>Optimum Wellness 37</t>
        </is>
      </c>
      <c r="C801" t="inlineStr">
        <is>
          <t>00191929326033001</t>
        </is>
      </c>
      <c r="D801" t="inlineStr">
        <is>
          <t>Na</t>
        </is>
      </c>
      <c r="G801" t="n">
        <v>141</v>
      </c>
      <c r="J801" t="n">
        <v>129.6427118858758</v>
      </c>
      <c r="K801" t="n">
        <v>133.1105756179734</v>
      </c>
      <c r="L801" t="n">
        <v>129.3531630883944</v>
      </c>
      <c r="M801" t="n">
        <v>130.9493262408982</v>
      </c>
      <c r="N801" t="n">
        <v>130.5087369924742</v>
      </c>
      <c r="BH801" t="n">
        <v>130.713</v>
      </c>
      <c r="BS801" t="n">
        <v>-7.3</v>
      </c>
      <c r="CD801" t="n">
        <v>1.02</v>
      </c>
      <c r="CG801" t="n">
        <v>129</v>
      </c>
      <c r="CJ801" t="n">
        <v>120.5730282837762</v>
      </c>
      <c r="CK801" t="n">
        <v>124.5382241839822</v>
      </c>
      <c r="CL801" t="n">
        <v>125.6571872307959</v>
      </c>
      <c r="CM801" t="n">
        <v>122.4703838091623</v>
      </c>
      <c r="CN801" t="n">
        <v>120.9709582690312</v>
      </c>
      <c r="EH801" t="n">
        <v>122.842</v>
      </c>
      <c r="ES801" t="n">
        <v>-4.77</v>
      </c>
      <c r="FD801" t="n">
        <v>1.61</v>
      </c>
      <c r="FG801" t="n">
        <v>118</v>
      </c>
      <c r="FJ801" t="n">
        <v>115.1960381314916</v>
      </c>
      <c r="FK801" t="n">
        <v>112.4972840375905</v>
      </c>
      <c r="FL801" t="n">
        <v>113.9610181358073</v>
      </c>
      <c r="FM801" t="n">
        <v>114.659028374761</v>
      </c>
      <c r="FN801" t="n">
        <v>113.7465093968525</v>
      </c>
      <c r="HH801" t="n">
        <v>114.012</v>
      </c>
      <c r="HS801" t="n">
        <v>-3.38</v>
      </c>
      <c r="ID801" t="n">
        <v>0.8</v>
      </c>
      <c r="IG801" t="n">
        <v>166</v>
      </c>
      <c r="IJ801" t="n">
        <v>144.9336625836452</v>
      </c>
      <c r="IK801" t="n">
        <v>143.2544929348163</v>
      </c>
      <c r="IL801" t="n">
        <v>146.2748433724333</v>
      </c>
      <c r="IM801" t="n">
        <v>145.3489971103092</v>
      </c>
      <c r="IN801" t="n">
        <v>145.2896335856286</v>
      </c>
      <c r="KH801" t="n">
        <v>145.02</v>
      </c>
      <c r="KS801" t="n">
        <v>-12.64</v>
      </c>
      <c r="LD801" t="n">
        <v>0.68</v>
      </c>
    </row>
    <row r="802">
      <c r="A802" t="inlineStr">
        <is>
          <t>2026-03-30</t>
        </is>
      </c>
      <c r="B802" t="inlineStr">
        <is>
          <t>Optimum Wellness 37</t>
        </is>
      </c>
      <c r="C802" t="inlineStr">
        <is>
          <t>00191929326033001</t>
        </is>
      </c>
      <c r="D802" t="inlineStr">
        <is>
          <t>P-LIPA</t>
        </is>
      </c>
      <c r="F802" t="n">
        <v>30</v>
      </c>
      <c r="J802" t="n">
        <v>59.13649559234642</v>
      </c>
      <c r="K802" t="n">
        <v>59.16635693863637</v>
      </c>
      <c r="L802" t="n">
        <v>57.54689282071364</v>
      </c>
      <c r="M802" t="n">
        <v>61.98936260256758</v>
      </c>
      <c r="N802" t="n">
        <v>57.39076092387043</v>
      </c>
      <c r="BH802" t="n">
        <v>59.046</v>
      </c>
      <c r="CD802" t="n">
        <v>2.8</v>
      </c>
      <c r="CF802" t="n">
        <v>30</v>
      </c>
      <c r="CJ802" t="n">
        <v>73.1791729347173</v>
      </c>
      <c r="CK802" t="n">
        <v>77.63808989789253</v>
      </c>
      <c r="CL802" t="n">
        <v>72.87991063434363</v>
      </c>
      <c r="CM802" t="n">
        <v>77.94341162389607</v>
      </c>
      <c r="CN802" t="n">
        <v>73.5133960388399</v>
      </c>
      <c r="EH802" t="n">
        <v>75.03100000000001</v>
      </c>
      <c r="FD802" t="n">
        <v>3.02</v>
      </c>
      <c r="FF802" t="n">
        <v>30</v>
      </c>
      <c r="FJ802" t="n">
        <v>28.89669396231439</v>
      </c>
      <c r="FK802" t="n">
        <v>28.41527259227474</v>
      </c>
      <c r="FL802" t="n">
        <v>28.76640185090451</v>
      </c>
      <c r="FM802" t="n">
        <v>30.04207790611654</v>
      </c>
      <c r="FN802" t="n">
        <v>30.605751707975</v>
      </c>
      <c r="HH802" t="n">
        <v>29.345</v>
      </c>
      <c r="ID802" t="n">
        <v>2.84</v>
      </c>
      <c r="IF802" t="n">
        <v>30</v>
      </c>
      <c r="IJ802" t="n">
        <v>102.684832144686</v>
      </c>
      <c r="IK802" t="n">
        <v>95.97792719601517</v>
      </c>
      <c r="IL802" t="n">
        <v>100.128025357729</v>
      </c>
      <c r="IM802" t="n">
        <v>103.8102575956947</v>
      </c>
      <c r="IN802" t="n">
        <v>98.70701249054783</v>
      </c>
      <c r="KH802" t="n">
        <v>100.262</v>
      </c>
      <c r="LD802" t="n">
        <v>2.79</v>
      </c>
    </row>
    <row r="803">
      <c r="A803" t="inlineStr">
        <is>
          <t>2026-03-30</t>
        </is>
      </c>
      <c r="B803" t="inlineStr">
        <is>
          <t>Optimum Wellness 37</t>
        </is>
      </c>
      <c r="C803" t="inlineStr">
        <is>
          <t>00191929326033001</t>
        </is>
      </c>
      <c r="D803" t="inlineStr">
        <is>
          <t>TCO2</t>
        </is>
      </c>
      <c r="F803" t="n">
        <v>20</v>
      </c>
      <c r="G803" t="n">
        <v>32.5</v>
      </c>
      <c r="H803" t="n">
        <v>682.5</v>
      </c>
      <c r="I803" t="n">
        <v>-617.5</v>
      </c>
      <c r="J803" t="n">
        <v>34.87131625331332</v>
      </c>
      <c r="K803" t="n">
        <v>35.46347523265896</v>
      </c>
      <c r="L803" t="n">
        <v>37.40561348123214</v>
      </c>
      <c r="M803" t="n">
        <v>35.09989608463854</v>
      </c>
      <c r="N803" t="n">
        <v>36.68743259808865</v>
      </c>
      <c r="BH803" t="n">
        <v>35.906</v>
      </c>
      <c r="BS803" t="n">
        <v>10.48</v>
      </c>
      <c r="CD803" t="n">
        <v>2.72</v>
      </c>
      <c r="CF803" t="n">
        <v>20</v>
      </c>
      <c r="CG803" t="n">
        <v>21.2</v>
      </c>
      <c r="CH803" t="n">
        <v>445.2</v>
      </c>
      <c r="CI803" t="n">
        <v>-402.8</v>
      </c>
      <c r="CJ803" t="n">
        <v>24.07351898444079</v>
      </c>
      <c r="CK803" t="n">
        <v>20.41358127271078</v>
      </c>
      <c r="CL803" t="n">
        <v>18.54044744248174</v>
      </c>
      <c r="CM803" t="n">
        <v>21.40156483972173</v>
      </c>
      <c r="CN803" t="n">
        <v>20.59060885543621</v>
      </c>
      <c r="EH803" t="n">
        <v>21.004</v>
      </c>
      <c r="ES803" t="n">
        <v>-0.92</v>
      </c>
      <c r="FD803" t="n">
        <v>8.56</v>
      </c>
      <c r="FF803" t="n">
        <v>20</v>
      </c>
      <c r="FG803" t="n">
        <v>17.3</v>
      </c>
      <c r="FH803" t="n">
        <v>363.3</v>
      </c>
      <c r="FI803" t="n">
        <v>-328.7</v>
      </c>
      <c r="FJ803" t="n">
        <v>18.98442828359559</v>
      </c>
      <c r="FK803" t="n">
        <v>22.11927867179498</v>
      </c>
      <c r="FL803" t="n">
        <v>18.59779287384995</v>
      </c>
      <c r="FM803" t="n">
        <v>21.87818057023331</v>
      </c>
      <c r="FN803" t="n">
        <v>18.7126841376855</v>
      </c>
      <c r="HH803" t="n">
        <v>20.058</v>
      </c>
      <c r="HS803" t="n">
        <v>15.94</v>
      </c>
      <c r="ID803" t="n">
        <v>7.93</v>
      </c>
      <c r="IF803" t="n">
        <v>20</v>
      </c>
      <c r="IG803" t="n">
        <v>26.7</v>
      </c>
      <c r="IH803" t="n">
        <v>560.6999999999999</v>
      </c>
      <c r="II803" t="n">
        <v>-507.3</v>
      </c>
      <c r="IJ803" t="n">
        <v>27.43736509726704</v>
      </c>
      <c r="IK803" t="n">
        <v>28.04744500287999</v>
      </c>
      <c r="IL803" t="n">
        <v>27.75657480809955</v>
      </c>
      <c r="IM803" t="n">
        <v>28.17881615930596</v>
      </c>
      <c r="IN803" t="n">
        <v>26.8371021455766</v>
      </c>
      <c r="KH803" t="n">
        <v>27.651</v>
      </c>
      <c r="KS803" t="n">
        <v>3.56</v>
      </c>
      <c r="LD803" t="n">
        <v>1.74</v>
      </c>
    </row>
    <row r="804">
      <c r="A804" t="inlineStr">
        <is>
          <t>2026-03-30</t>
        </is>
      </c>
      <c r="B804" t="inlineStr">
        <is>
          <t>Optimum Wellness 37</t>
        </is>
      </c>
      <c r="C804" t="inlineStr">
        <is>
          <t>00191929326033001</t>
        </is>
      </c>
      <c r="D804" t="inlineStr">
        <is>
          <t>TP</t>
        </is>
      </c>
      <c r="F804" t="n">
        <v>8</v>
      </c>
      <c r="G804" t="n">
        <v>6.4</v>
      </c>
      <c r="H804" t="n">
        <v>57.6</v>
      </c>
      <c r="I804" t="n">
        <v>-44.8</v>
      </c>
      <c r="J804" t="n">
        <v>6.204219606963338</v>
      </c>
      <c r="K804" t="n">
        <v>6.067481373362357</v>
      </c>
      <c r="L804" t="n">
        <v>6.127959599977512</v>
      </c>
      <c r="M804" t="n">
        <v>6.155347737255155</v>
      </c>
      <c r="N804" t="n">
        <v>6.16474185705923</v>
      </c>
      <c r="O804" t="n">
        <v>6.11408537538046</v>
      </c>
      <c r="BH804" t="n">
        <v>6.139</v>
      </c>
      <c r="BS804" t="n">
        <v>-4.08</v>
      </c>
      <c r="CD804" t="n">
        <v>0.7</v>
      </c>
      <c r="CF804" t="n">
        <v>8</v>
      </c>
      <c r="CG804" t="n">
        <v>4.1</v>
      </c>
      <c r="CH804" t="n">
        <v>36.9</v>
      </c>
      <c r="CI804" t="n">
        <v>-28.7</v>
      </c>
      <c r="CJ804" t="n">
        <v>3.962828266936957</v>
      </c>
      <c r="CK804" t="n">
        <v>4.017058164785441</v>
      </c>
      <c r="CL804" t="n">
        <v>4.034834672607554</v>
      </c>
      <c r="CM804" t="n">
        <v>3.964323961086313</v>
      </c>
      <c r="CN804" t="n">
        <v>4.01588870349515</v>
      </c>
      <c r="CO804" t="n">
        <v>3.957539815827392</v>
      </c>
      <c r="EH804" t="n">
        <v>3.992</v>
      </c>
      <c r="ES804" t="n">
        <v>-2.63</v>
      </c>
      <c r="FD804" t="n">
        <v>0.78</v>
      </c>
      <c r="FF804" t="n">
        <v>8</v>
      </c>
      <c r="FG804" t="n">
        <v>4.2</v>
      </c>
      <c r="FH804" t="n">
        <v>37.8</v>
      </c>
      <c r="FI804" t="n">
        <v>-29.4</v>
      </c>
      <c r="FJ804" t="n">
        <v>3.709763629715344</v>
      </c>
      <c r="FK804" t="n">
        <v>3.709078784417923</v>
      </c>
      <c r="FL804" t="n">
        <v>3.725596197429615</v>
      </c>
      <c r="FM804" t="n">
        <v>3.750525891046453</v>
      </c>
      <c r="FN804" t="n">
        <v>3.726419462991488</v>
      </c>
      <c r="FO804" t="n">
        <v>3.69501356234784</v>
      </c>
      <c r="HH804" t="n">
        <v>3.719</v>
      </c>
      <c r="HS804" t="n">
        <v>-11.44</v>
      </c>
      <c r="ID804" t="n">
        <v>0.47</v>
      </c>
      <c r="IF804" t="n">
        <v>8</v>
      </c>
      <c r="IG804" t="n">
        <v>7.5</v>
      </c>
      <c r="IH804" t="n">
        <v>67.5</v>
      </c>
      <c r="II804" t="n">
        <v>-52.5</v>
      </c>
      <c r="IJ804" t="n">
        <v>7.044294341086339</v>
      </c>
      <c r="IK804" t="n">
        <v>7.166383393015462</v>
      </c>
      <c r="IL804" t="n">
        <v>7.025514831083008</v>
      </c>
      <c r="IM804" t="n">
        <v>7.127869822590567</v>
      </c>
      <c r="IN804" t="n">
        <v>7.10053521743284</v>
      </c>
      <c r="KH804" t="n">
        <v>7.093</v>
      </c>
      <c r="KS804" t="n">
        <v>-5.43</v>
      </c>
      <c r="LD804" t="n">
        <v>0.73</v>
      </c>
    </row>
    <row r="805">
      <c r="A805" t="inlineStr">
        <is>
          <t>2026-03-30</t>
        </is>
      </c>
      <c r="B805" t="inlineStr">
        <is>
          <t>Optimum Wellness 37</t>
        </is>
      </c>
      <c r="C805" t="inlineStr">
        <is>
          <t>00191929326033001</t>
        </is>
      </c>
      <c r="D805" t="inlineStr">
        <is>
          <t>TRIG</t>
        </is>
      </c>
      <c r="F805" t="n">
        <v>15</v>
      </c>
      <c r="J805" t="n">
        <v>172.1587431060386</v>
      </c>
      <c r="K805" t="n">
        <v>167.6482738460479</v>
      </c>
      <c r="L805" t="n">
        <v>175.4447667278699</v>
      </c>
      <c r="M805" t="n">
        <v>173.1351837827595</v>
      </c>
      <c r="N805" t="n">
        <v>169.0978091028518</v>
      </c>
      <c r="BH805" t="n">
        <v>171.497</v>
      </c>
      <c r="CD805" t="n">
        <v>1.63</v>
      </c>
      <c r="CF805" t="n">
        <v>15</v>
      </c>
      <c r="CJ805" t="n">
        <v>95.51022766505282</v>
      </c>
      <c r="CK805" t="n">
        <v>93.62409637267389</v>
      </c>
      <c r="CL805" t="n">
        <v>92.17491994620094</v>
      </c>
      <c r="CM805" t="n">
        <v>92.65768239311464</v>
      </c>
      <c r="CN805" t="n">
        <v>93.19195638647949</v>
      </c>
      <c r="EH805" t="n">
        <v>93.432</v>
      </c>
      <c r="FD805" t="n">
        <v>1.23</v>
      </c>
      <c r="FF805" t="n">
        <v>15</v>
      </c>
      <c r="FJ805" t="n">
        <v>104.6827719936299</v>
      </c>
      <c r="FK805" t="n">
        <v>108.3671688049978</v>
      </c>
      <c r="FL805" t="n">
        <v>101.7224562428389</v>
      </c>
      <c r="FM805" t="n">
        <v>105.3031343680555</v>
      </c>
      <c r="FN805" t="n">
        <v>104.8675932496645</v>
      </c>
      <c r="HH805" t="n">
        <v>104.989</v>
      </c>
      <c r="ID805" t="n">
        <v>2.01</v>
      </c>
      <c r="IF805" t="n">
        <v>15</v>
      </c>
      <c r="IJ805" t="n">
        <v>199.4071755891975</v>
      </c>
      <c r="IK805" t="n">
        <v>205.4703894195682</v>
      </c>
      <c r="IL805" t="n">
        <v>197.8403206382445</v>
      </c>
      <c r="IM805" t="n">
        <v>198.4850163871608</v>
      </c>
      <c r="IN805" t="n">
        <v>199.0873521658937</v>
      </c>
      <c r="KH805" t="n">
        <v>200.058</v>
      </c>
      <c r="LD805" t="n">
        <v>1.38</v>
      </c>
    </row>
    <row r="806">
      <c r="A806" t="inlineStr">
        <is>
          <t>2026-03-28</t>
        </is>
      </c>
      <c r="B806" t="inlineStr">
        <is>
          <t>Avian &amp; Reptile 26</t>
        </is>
      </c>
      <c r="C806" t="inlineStr">
        <is>
          <t>00106306426032701</t>
        </is>
      </c>
      <c r="D806" t="inlineStr">
        <is>
          <t>ALP</t>
        </is>
      </c>
      <c r="F806" t="n">
        <v>20</v>
      </c>
      <c r="G806" t="n">
        <v>136</v>
      </c>
      <c r="H806" t="n">
        <v>2856</v>
      </c>
      <c r="I806" t="n">
        <v>-2584</v>
      </c>
      <c r="J806" t="n">
        <v>148.4450330872808</v>
      </c>
      <c r="K806" t="n">
        <v>150.873250447551</v>
      </c>
      <c r="L806" t="n">
        <v>148.8776471036344</v>
      </c>
      <c r="M806" t="n">
        <v>151.1905506421568</v>
      </c>
      <c r="N806" t="n">
        <v>190.7052617093213</v>
      </c>
      <c r="O806" t="n">
        <v>150.1828829521469</v>
      </c>
      <c r="BH806" t="n">
        <v>156.712</v>
      </c>
      <c r="BS806" t="n">
        <v>15.23</v>
      </c>
      <c r="CD806" t="n">
        <v>9.720000000000001</v>
      </c>
      <c r="CF806" t="n">
        <v>20</v>
      </c>
      <c r="CG806" t="n">
        <v>456</v>
      </c>
      <c r="CH806" t="n">
        <v>9576</v>
      </c>
      <c r="CI806" t="n">
        <v>-8664</v>
      </c>
      <c r="CJ806" t="n">
        <v>485.763064843862</v>
      </c>
      <c r="CK806" t="n">
        <v>478.8548276133625</v>
      </c>
      <c r="CL806" t="n">
        <v>480.5513986853471</v>
      </c>
      <c r="CM806" t="n">
        <v>478.772960535982</v>
      </c>
      <c r="CN806" t="n">
        <v>489.2602335941165</v>
      </c>
      <c r="EH806" t="n">
        <v>482.64</v>
      </c>
      <c r="ES806" t="n">
        <v>5.84</v>
      </c>
      <c r="FD806" t="n">
        <v>0.87</v>
      </c>
      <c r="FF806" t="n">
        <v>20</v>
      </c>
      <c r="FG806" t="n">
        <v>75</v>
      </c>
      <c r="FH806" t="n">
        <v>1575</v>
      </c>
      <c r="FI806" t="n">
        <v>-1425</v>
      </c>
      <c r="FJ806" t="n">
        <v>78.59131853986285</v>
      </c>
      <c r="FK806" t="n">
        <v>76.95433561798384</v>
      </c>
      <c r="FL806" t="n">
        <v>76.85545093200986</v>
      </c>
      <c r="FM806" t="n">
        <v>77.34673407219391</v>
      </c>
      <c r="FN806" t="n">
        <v>76.94603565139715</v>
      </c>
      <c r="FO806" t="n">
        <v>76.6733269338025</v>
      </c>
      <c r="HH806" t="n">
        <v>77.22799999999999</v>
      </c>
      <c r="HS806" t="n">
        <v>2.97</v>
      </c>
      <c r="ID806" t="n">
        <v>0.83</v>
      </c>
      <c r="IF806" t="n">
        <v>20</v>
      </c>
      <c r="IG806" t="n">
        <v>251</v>
      </c>
      <c r="IH806" t="n">
        <v>5271</v>
      </c>
      <c r="II806" t="n">
        <v>-4769</v>
      </c>
      <c r="IJ806" t="n">
        <v>246.7794918652767</v>
      </c>
      <c r="IK806" t="n">
        <v>245.9351100768174</v>
      </c>
      <c r="IL806" t="n">
        <v>243.5389680663023</v>
      </c>
      <c r="IM806" t="n">
        <v>242.7921948717712</v>
      </c>
      <c r="IN806" t="n">
        <v>244.467978228952</v>
      </c>
      <c r="KH806" t="n">
        <v>244.703</v>
      </c>
      <c r="KS806" t="n">
        <v>-2.51</v>
      </c>
      <c r="LD806" t="n">
        <v>0.6</v>
      </c>
    </row>
    <row r="807">
      <c r="A807" t="inlineStr">
        <is>
          <t>2026-03-28</t>
        </is>
      </c>
      <c r="B807" t="inlineStr">
        <is>
          <t>Avian &amp; Reptile 26</t>
        </is>
      </c>
      <c r="C807" t="inlineStr">
        <is>
          <t>00106306426032701</t>
        </is>
      </c>
      <c r="D807" t="inlineStr">
        <is>
          <t>BA</t>
        </is>
      </c>
      <c r="J807" t="n">
        <v>2.977853356397394</v>
      </c>
      <c r="K807" t="n">
        <v>3.325016655302211</v>
      </c>
      <c r="L807" t="n">
        <v>2.849624808973665</v>
      </c>
      <c r="M807" t="n">
        <v>3.5647448551554</v>
      </c>
      <c r="N807" t="n">
        <v>8.407618030851889</v>
      </c>
      <c r="O807" t="n">
        <v>2.938308137752848</v>
      </c>
      <c r="BH807" t="n">
        <v>4.011</v>
      </c>
      <c r="CD807" t="n">
        <v>49.42</v>
      </c>
      <c r="CJ807" t="n">
        <v>3.170541796334984</v>
      </c>
      <c r="CK807" t="n">
        <v>2.286024297845935</v>
      </c>
      <c r="CL807" t="n">
        <v>2.874421316089335</v>
      </c>
      <c r="CM807" t="n">
        <v>3.244835298962291</v>
      </c>
      <c r="CN807" t="n">
        <v>2.241812267546272</v>
      </c>
      <c r="EH807" t="n">
        <v>2.764</v>
      </c>
      <c r="FD807" t="n">
        <v>15.44</v>
      </c>
      <c r="FJ807" t="n">
        <v>12.02496535492544</v>
      </c>
      <c r="FK807" t="n">
        <v>11.30130731209392</v>
      </c>
      <c r="FL807" t="n">
        <v>10.85136169178089</v>
      </c>
      <c r="FM807" t="n">
        <v>11.35544618490187</v>
      </c>
      <c r="FN807" t="n">
        <v>12.08753052770742</v>
      </c>
      <c r="FO807" t="n">
        <v>12.06685298273744</v>
      </c>
      <c r="HH807" t="n">
        <v>11.615</v>
      </c>
      <c r="ID807" t="n">
        <v>4.08</v>
      </c>
      <c r="IJ807" t="n">
        <v>10.50217076255059</v>
      </c>
      <c r="IK807" t="n">
        <v>9.339511225535396</v>
      </c>
      <c r="IL807" t="n">
        <v>10.16192778476676</v>
      </c>
      <c r="IM807" t="n">
        <v>11.07287881307215</v>
      </c>
      <c r="IN807" t="n">
        <v>9.531384910999291</v>
      </c>
      <c r="KH807" t="n">
        <v>10.122</v>
      </c>
      <c r="LD807" t="n">
        <v>6.27</v>
      </c>
    </row>
    <row r="808">
      <c r="A808" t="inlineStr">
        <is>
          <t>2026-03-28</t>
        </is>
      </c>
      <c r="B808" t="inlineStr">
        <is>
          <t>Avian &amp; Reptile 26</t>
        </is>
      </c>
      <c r="C808" t="inlineStr">
        <is>
          <t>00106306426032701</t>
        </is>
      </c>
      <c r="D808" t="inlineStr">
        <is>
          <t>BUN</t>
        </is>
      </c>
      <c r="F808" t="n">
        <v>9</v>
      </c>
      <c r="G808" t="n">
        <v>14.8</v>
      </c>
      <c r="H808" t="n">
        <v>148</v>
      </c>
      <c r="I808" t="n">
        <v>-118.4</v>
      </c>
      <c r="J808" t="n">
        <v>14.29885993269022</v>
      </c>
      <c r="K808" t="n">
        <v>14.11207227072994</v>
      </c>
      <c r="L808" t="n">
        <v>14.11516273593448</v>
      </c>
      <c r="M808" t="n">
        <v>14.37889123293631</v>
      </c>
      <c r="N808" t="n">
        <v>-122.3394153766428</v>
      </c>
      <c r="O808" t="n">
        <v>14.34278990205414</v>
      </c>
      <c r="BH808" t="n">
        <v>-8.515000000000001</v>
      </c>
      <c r="BS808" t="n">
        <v>-157.54</v>
      </c>
      <c r="CD808" t="n">
        <v>597.79</v>
      </c>
      <c r="CF808" t="n">
        <v>9</v>
      </c>
      <c r="CG808" t="n">
        <v>44.7</v>
      </c>
      <c r="CH808" t="n">
        <v>447</v>
      </c>
      <c r="CI808" t="n">
        <v>-357.6</v>
      </c>
      <c r="CJ808" t="n">
        <v>44.44344637709977</v>
      </c>
      <c r="CK808" t="n">
        <v>44.13256936148911</v>
      </c>
      <c r="CL808" t="n">
        <v>44.57894716941843</v>
      </c>
      <c r="CM808" t="n">
        <v>44.69911210817836</v>
      </c>
      <c r="CN808" t="n">
        <v>43.63278145255387</v>
      </c>
      <c r="EH808" t="n">
        <v>44.297</v>
      </c>
      <c r="ES808" t="n">
        <v>-0.9</v>
      </c>
      <c r="FD808" t="n">
        <v>0.86</v>
      </c>
      <c r="FF808" t="n">
        <v>9</v>
      </c>
      <c r="FG808" t="n">
        <v>14.7</v>
      </c>
      <c r="FH808" t="n">
        <v>147</v>
      </c>
      <c r="FI808" t="n">
        <v>-117.6</v>
      </c>
      <c r="FJ808" t="n">
        <v>14.60101994279866</v>
      </c>
      <c r="FK808" t="n">
        <v>14.46866989492421</v>
      </c>
      <c r="FL808" t="n">
        <v>14.17653915641931</v>
      </c>
      <c r="FM808" t="n">
        <v>14.25634444140667</v>
      </c>
      <c r="FN808" t="n">
        <v>14.51266297661096</v>
      </c>
      <c r="FO808" t="n">
        <v>14.21855869339284</v>
      </c>
      <c r="HH808" t="n">
        <v>14.372</v>
      </c>
      <c r="HS808" t="n">
        <v>-2.23</v>
      </c>
      <c r="ID808" t="n">
        <v>1.12</v>
      </c>
      <c r="IF808" t="n">
        <v>9</v>
      </c>
      <c r="IG808" t="n">
        <v>65.7</v>
      </c>
      <c r="IH808" t="n">
        <v>657</v>
      </c>
      <c r="II808" t="n">
        <v>-525.6</v>
      </c>
      <c r="IJ808" t="n">
        <v>65.12386345512238</v>
      </c>
      <c r="IK808" t="n">
        <v>65.43825366307811</v>
      </c>
      <c r="IL808" t="n">
        <v>65.93835149138306</v>
      </c>
      <c r="IM808" t="n">
        <v>65.57040798691317</v>
      </c>
      <c r="IN808" t="n">
        <v>65.16874153138787</v>
      </c>
      <c r="KH808" t="n">
        <v>65.44799999999999</v>
      </c>
      <c r="KS808" t="n">
        <v>-0.38</v>
      </c>
      <c r="LD808" t="n">
        <v>0.45</v>
      </c>
    </row>
    <row r="809">
      <c r="A809" t="inlineStr">
        <is>
          <t>2026-03-28</t>
        </is>
      </c>
      <c r="B809" t="inlineStr">
        <is>
          <t>Avian &amp; Reptile 26</t>
        </is>
      </c>
      <c r="C809" t="inlineStr">
        <is>
          <t>00106306426032701</t>
        </is>
      </c>
      <c r="D809" t="inlineStr">
        <is>
          <t>CHOL</t>
        </is>
      </c>
      <c r="F809" t="n">
        <v>10</v>
      </c>
      <c r="G809" t="n">
        <v>228</v>
      </c>
      <c r="H809" t="n">
        <v>2508</v>
      </c>
      <c r="I809" t="n">
        <v>-2052</v>
      </c>
      <c r="J809" t="n">
        <v>236.6251437135811</v>
      </c>
      <c r="K809" t="n">
        <v>229.9541077455264</v>
      </c>
      <c r="L809" t="n">
        <v>232.2737110744936</v>
      </c>
      <c r="M809" t="n">
        <v>232.5862849300409</v>
      </c>
      <c r="N809" t="n">
        <v>235.5110987761777</v>
      </c>
      <c r="O809" t="n">
        <v>231.2986749913497</v>
      </c>
      <c r="BH809" t="n">
        <v>233.042</v>
      </c>
      <c r="BS809" t="n">
        <v>2.21</v>
      </c>
      <c r="CD809" t="n">
        <v>1</v>
      </c>
      <c r="CF809" t="n">
        <v>10</v>
      </c>
      <c r="CG809" t="n">
        <v>99</v>
      </c>
      <c r="CH809" t="n">
        <v>1089</v>
      </c>
      <c r="CI809" t="n">
        <v>-891</v>
      </c>
      <c r="CJ809" t="n">
        <v>93.20987115996765</v>
      </c>
      <c r="CK809" t="n">
        <v>101.3983036611862</v>
      </c>
      <c r="CL809" t="n">
        <v>101.0544792253032</v>
      </c>
      <c r="CM809" t="n">
        <v>95.17700174590409</v>
      </c>
      <c r="CN809" t="n">
        <v>95.33282957097174</v>
      </c>
      <c r="EH809" t="n">
        <v>97.23399999999999</v>
      </c>
      <c r="ES809" t="n">
        <v>-1.78</v>
      </c>
      <c r="FD809" t="n">
        <v>3.44</v>
      </c>
      <c r="FF809" t="n">
        <v>10</v>
      </c>
      <c r="FG809" t="n">
        <v>115</v>
      </c>
      <c r="FH809" t="n">
        <v>1265</v>
      </c>
      <c r="FI809" t="n">
        <v>-1035</v>
      </c>
      <c r="FJ809" t="n">
        <v>117.4213819168093</v>
      </c>
      <c r="FK809" t="n">
        <v>111.3157545845457</v>
      </c>
      <c r="FL809" t="n">
        <v>114.9742425819733</v>
      </c>
      <c r="FM809" t="n">
        <v>113.0768024722325</v>
      </c>
      <c r="FN809" t="n">
        <v>109.8781930197076</v>
      </c>
      <c r="FO809" t="n">
        <v>113.2550482342244</v>
      </c>
      <c r="HH809" t="n">
        <v>113.32</v>
      </c>
      <c r="HS809" t="n">
        <v>-1.46</v>
      </c>
      <c r="ID809" t="n">
        <v>2.15</v>
      </c>
      <c r="IF809" t="n">
        <v>10</v>
      </c>
      <c r="IG809" t="n">
        <v>269</v>
      </c>
      <c r="IH809" t="n">
        <v>2959</v>
      </c>
      <c r="II809" t="n">
        <v>-2421</v>
      </c>
      <c r="IJ809" t="n">
        <v>259.4352886011712</v>
      </c>
      <c r="IK809" t="n">
        <v>269.5866017203082</v>
      </c>
      <c r="IL809" t="n">
        <v>265.1766770532986</v>
      </c>
      <c r="IM809" t="n">
        <v>264.0066710979445</v>
      </c>
      <c r="IN809" t="n">
        <v>262.9763842560486</v>
      </c>
      <c r="KH809" t="n">
        <v>264.236</v>
      </c>
      <c r="KS809" t="n">
        <v>-1.77</v>
      </c>
      <c r="LD809" t="n">
        <v>1.25</v>
      </c>
    </row>
    <row r="810">
      <c r="A810" t="inlineStr">
        <is>
          <t>2026-03-28</t>
        </is>
      </c>
      <c r="B810" t="inlineStr">
        <is>
          <t>Avian &amp; Reptile 26</t>
        </is>
      </c>
      <c r="C810" t="inlineStr">
        <is>
          <t>00106306426032701</t>
        </is>
      </c>
      <c r="D810" t="inlineStr">
        <is>
          <t>GGT</t>
        </is>
      </c>
      <c r="F810" t="n">
        <v>15</v>
      </c>
      <c r="G810" t="n">
        <v>57</v>
      </c>
      <c r="H810" t="n">
        <v>912</v>
      </c>
      <c r="I810" t="n">
        <v>-798</v>
      </c>
      <c r="J810" t="n">
        <v>62.53946121661489</v>
      </c>
      <c r="K810" t="n">
        <v>57.91852527606978</v>
      </c>
      <c r="L810" t="n">
        <v>58.91723071503225</v>
      </c>
      <c r="M810" t="n">
        <v>58.95915064155074</v>
      </c>
      <c r="N810" t="n">
        <v>-26.32008925651297</v>
      </c>
      <c r="O810" t="n">
        <v>56.72903130514364</v>
      </c>
      <c r="BH810" t="n">
        <v>44.791</v>
      </c>
      <c r="BS810" t="n">
        <v>-21.42</v>
      </c>
      <c r="CD810" t="n">
        <v>71.11</v>
      </c>
      <c r="CF810" t="n">
        <v>15</v>
      </c>
      <c r="CG810" t="n">
        <v>164</v>
      </c>
      <c r="CH810" t="n">
        <v>2624</v>
      </c>
      <c r="CI810" t="n">
        <v>-2296</v>
      </c>
      <c r="CJ810" t="n">
        <v>166.7258297240051</v>
      </c>
      <c r="CK810" t="n">
        <v>165.2910342023891</v>
      </c>
      <c r="CL810" t="n">
        <v>163.2151600066302</v>
      </c>
      <c r="CM810" t="n">
        <v>164.4965134072435</v>
      </c>
      <c r="CN810" t="n">
        <v>164.2255944339472</v>
      </c>
      <c r="EH810" t="n">
        <v>164.791</v>
      </c>
      <c r="ES810" t="n">
        <v>0.48</v>
      </c>
      <c r="FD810" t="n">
        <v>0.71</v>
      </c>
      <c r="FF810" t="n">
        <v>15</v>
      </c>
      <c r="FG810" t="n">
        <v>23</v>
      </c>
      <c r="FH810" t="n">
        <v>368</v>
      </c>
      <c r="FI810" t="n">
        <v>-322</v>
      </c>
      <c r="FJ810" t="n">
        <v>31.06613793270279</v>
      </c>
      <c r="FK810" t="n">
        <v>22.46304061240669</v>
      </c>
      <c r="FL810" t="n">
        <v>23.35750287968864</v>
      </c>
      <c r="FM810" t="n">
        <v>24.12309650148229</v>
      </c>
      <c r="FN810" t="n">
        <v>24.18634388044713</v>
      </c>
      <c r="FO810" t="n">
        <v>22.76395017868276</v>
      </c>
      <c r="HH810" t="n">
        <v>24.66</v>
      </c>
      <c r="HS810" t="n">
        <v>7.22</v>
      </c>
      <c r="ID810" t="n">
        <v>11.9</v>
      </c>
      <c r="IF810" t="n">
        <v>15</v>
      </c>
      <c r="IG810" t="n">
        <v>126</v>
      </c>
      <c r="IH810" t="n">
        <v>2016</v>
      </c>
      <c r="II810" t="n">
        <v>-1764</v>
      </c>
      <c r="IJ810" t="n">
        <v>130.0527305133284</v>
      </c>
      <c r="IK810" t="n">
        <v>128.9950819715453</v>
      </c>
      <c r="IL810" t="n">
        <v>129.0779295163501</v>
      </c>
      <c r="IM810" t="n">
        <v>124.6285728541451</v>
      </c>
      <c r="IN810" t="n">
        <v>129.1513669121211</v>
      </c>
      <c r="KH810" t="n">
        <v>128.381</v>
      </c>
      <c r="KS810" t="n">
        <v>1.89</v>
      </c>
      <c r="LD810" t="n">
        <v>1.49</v>
      </c>
    </row>
    <row r="811">
      <c r="A811" t="inlineStr">
        <is>
          <t>2026-03-28</t>
        </is>
      </c>
      <c r="B811" t="inlineStr">
        <is>
          <t>Avian &amp; Reptile 26</t>
        </is>
      </c>
      <c r="C811" t="inlineStr">
        <is>
          <t>00106306426032701</t>
        </is>
      </c>
      <c r="D811" t="inlineStr">
        <is>
          <t>K</t>
        </is>
      </c>
      <c r="G811" t="n">
        <v>3.9</v>
      </c>
      <c r="J811" t="n">
        <v>3.482931459687987</v>
      </c>
      <c r="K811" t="n">
        <v>3.389318659766529</v>
      </c>
      <c r="L811" t="n">
        <v>3.279347379474794</v>
      </c>
      <c r="M811" t="n">
        <v>3.49531577318591</v>
      </c>
      <c r="N811" t="n">
        <v>-8.386680350502655</v>
      </c>
      <c r="O811" t="n">
        <v>3.357230375169422</v>
      </c>
      <c r="BH811" t="n">
        <v>1.436</v>
      </c>
      <c r="BS811" t="n">
        <v>-63.17</v>
      </c>
      <c r="CD811" t="n">
        <v>305.91</v>
      </c>
      <c r="CG811" t="n">
        <v>6</v>
      </c>
      <c r="CJ811" t="n">
        <v>5.714831579477106</v>
      </c>
      <c r="CK811" t="n">
        <v>5.542394553847959</v>
      </c>
      <c r="CL811" t="n">
        <v>5.619887866671329</v>
      </c>
      <c r="CM811" t="n">
        <v>5.593635546975124</v>
      </c>
      <c r="CN811" t="n">
        <v>5.495647323141828</v>
      </c>
      <c r="EH811" t="n">
        <v>5.593</v>
      </c>
      <c r="ES811" t="n">
        <v>-6.78</v>
      </c>
      <c r="FD811" t="n">
        <v>1.33</v>
      </c>
      <c r="FG811" t="n">
        <v>2.2</v>
      </c>
      <c r="FJ811" t="n">
        <v>2.077913908392686</v>
      </c>
      <c r="FK811" t="n">
        <v>2.057065263779161</v>
      </c>
      <c r="FL811" t="n">
        <v>1.936454226872915</v>
      </c>
      <c r="FM811" t="n">
        <v>2.018884259849926</v>
      </c>
      <c r="FN811" t="n">
        <v>2.254371749145865</v>
      </c>
      <c r="FO811" t="n">
        <v>2.084955165584716</v>
      </c>
      <c r="HH811" t="n">
        <v>2.072</v>
      </c>
      <c r="HS811" t="n">
        <v>-5.84</v>
      </c>
      <c r="ID811" t="n">
        <v>4.62</v>
      </c>
      <c r="IG811" t="n">
        <v>8.4</v>
      </c>
      <c r="IJ811" t="n">
        <v>7.684260062162201</v>
      </c>
      <c r="IK811" t="n">
        <v>7.617083638261983</v>
      </c>
      <c r="IL811" t="n">
        <v>7.631978120228606</v>
      </c>
      <c r="IM811" t="n">
        <v>7.637269901050253</v>
      </c>
      <c r="IN811" t="n">
        <v>7.692690305205435</v>
      </c>
      <c r="KH811" t="n">
        <v>7.653</v>
      </c>
      <c r="KS811" t="n">
        <v>-8.9</v>
      </c>
      <c r="LD811" t="n">
        <v>0.39</v>
      </c>
    </row>
    <row r="812">
      <c r="A812" t="inlineStr">
        <is>
          <t>2026-03-28</t>
        </is>
      </c>
      <c r="B812" t="inlineStr">
        <is>
          <t>Avian &amp; Reptile 26</t>
        </is>
      </c>
      <c r="C812" t="inlineStr">
        <is>
          <t>00106306426032701</t>
        </is>
      </c>
      <c r="D812" t="inlineStr">
        <is>
          <t>LDH</t>
        </is>
      </c>
      <c r="F812" t="n">
        <v>15</v>
      </c>
      <c r="J812" t="n">
        <v>271.8240658318583</v>
      </c>
      <c r="K812" t="n">
        <v>240.6433369511408</v>
      </c>
      <c r="L812" t="n">
        <v>254.9704373748754</v>
      </c>
      <c r="M812" t="n">
        <v>239.4056306487578</v>
      </c>
      <c r="N812" t="n">
        <v>251.1073473385008</v>
      </c>
      <c r="O812" t="n">
        <v>263.3882741284688</v>
      </c>
      <c r="BH812" t="n">
        <v>253.557</v>
      </c>
      <c r="CD812" t="n">
        <v>4.57</v>
      </c>
      <c r="CF812" t="n">
        <v>15</v>
      </c>
      <c r="CJ812" t="n">
        <v>630.4538509197686</v>
      </c>
      <c r="CK812" t="n">
        <v>616.7535328148053</v>
      </c>
      <c r="CL812" t="n">
        <v>629.0370996486533</v>
      </c>
      <c r="CM812" t="n">
        <v>621.1822223509282</v>
      </c>
      <c r="CN812" t="n">
        <v>628.0172820308622</v>
      </c>
      <c r="EH812" t="n">
        <v>625.0890000000001</v>
      </c>
      <c r="FD812" t="n">
        <v>0.84</v>
      </c>
      <c r="FF812" t="n">
        <v>15</v>
      </c>
      <c r="FJ812" t="n">
        <v>162.4388655238944</v>
      </c>
      <c r="FK812" t="n">
        <v>171.0260701990297</v>
      </c>
      <c r="FL812" t="n">
        <v>160.3627160116924</v>
      </c>
      <c r="FM812" t="n">
        <v>160.4243524080186</v>
      </c>
      <c r="FN812" t="n">
        <v>167.4948428434661</v>
      </c>
      <c r="FO812" t="n">
        <v>173.7921241587368</v>
      </c>
      <c r="HH812" t="n">
        <v>165.923</v>
      </c>
      <c r="ID812" t="n">
        <v>3.15</v>
      </c>
      <c r="IF812" t="n">
        <v>15</v>
      </c>
      <c r="IJ812" t="n">
        <v>771.8754528395207</v>
      </c>
      <c r="IK812" t="n">
        <v>748.9961087298049</v>
      </c>
      <c r="IL812" t="n">
        <v>759.3594141819252</v>
      </c>
      <c r="IM812" t="n">
        <v>753.8833631578495</v>
      </c>
      <c r="IN812" t="n">
        <v>747.8570593423771</v>
      </c>
      <c r="KH812" t="n">
        <v>756.394</v>
      </c>
      <c r="LD812" t="n">
        <v>1.16</v>
      </c>
    </row>
    <row r="813">
      <c r="A813" t="inlineStr">
        <is>
          <t>2026-03-28</t>
        </is>
      </c>
      <c r="B813" t="inlineStr">
        <is>
          <t>Avian &amp; Reptile 26</t>
        </is>
      </c>
      <c r="C813" t="inlineStr">
        <is>
          <t>00106306426032701</t>
        </is>
      </c>
      <c r="D813" t="inlineStr">
        <is>
          <t>Na</t>
        </is>
      </c>
      <c r="G813" t="n">
        <v>141</v>
      </c>
      <c r="J813" t="n">
        <v>131.8888487293738</v>
      </c>
      <c r="K813" t="n">
        <v>130.8618246511047</v>
      </c>
      <c r="L813" t="n">
        <v>130.2317337575177</v>
      </c>
      <c r="M813" t="n">
        <v>131.7226251151897</v>
      </c>
      <c r="N813" t="n">
        <v>156.321791633357</v>
      </c>
      <c r="O813" t="n">
        <v>130.2356766539588</v>
      </c>
      <c r="BH813" t="n">
        <v>135.21</v>
      </c>
      <c r="BS813" t="n">
        <v>-4.11</v>
      </c>
      <c r="CD813" t="n">
        <v>7</v>
      </c>
      <c r="CG813" t="n">
        <v>129</v>
      </c>
      <c r="CJ813" t="n">
        <v>123.5079213907289</v>
      </c>
      <c r="CK813" t="n">
        <v>122.2056070685803</v>
      </c>
      <c r="CL813" t="n">
        <v>122.9322593820566</v>
      </c>
      <c r="CM813" t="n">
        <v>124.303802783521</v>
      </c>
      <c r="CN813" t="n">
        <v>121.2790900540012</v>
      </c>
      <c r="EH813" t="n">
        <v>122.846</v>
      </c>
      <c r="ES813" t="n">
        <v>-4.77</v>
      </c>
      <c r="FD813" t="n">
        <v>0.85</v>
      </c>
      <c r="FG813" t="n">
        <v>118</v>
      </c>
      <c r="FJ813" t="n">
        <v>115.8333135578953</v>
      </c>
      <c r="FK813" t="n">
        <v>114.0752025643392</v>
      </c>
      <c r="FL813" t="n">
        <v>113.2463981862321</v>
      </c>
      <c r="FM813" t="n">
        <v>113.8060627162719</v>
      </c>
      <c r="FN813" t="n">
        <v>113.8507477938429</v>
      </c>
      <c r="FO813" t="n">
        <v>113.744785865182</v>
      </c>
      <c r="HH813" t="n">
        <v>114.093</v>
      </c>
      <c r="HS813" t="n">
        <v>-3.31</v>
      </c>
      <c r="ID813" t="n">
        <v>0.72</v>
      </c>
      <c r="IG813" t="n">
        <v>166</v>
      </c>
      <c r="IJ813" t="n">
        <v>146.4104344798107</v>
      </c>
      <c r="IK813" t="n">
        <v>145.5450039720631</v>
      </c>
      <c r="IL813" t="n">
        <v>149.880864198081</v>
      </c>
      <c r="IM813" t="n">
        <v>146.3271422547731</v>
      </c>
      <c r="IN813" t="n">
        <v>144.2117729799423</v>
      </c>
      <c r="KH813" t="n">
        <v>146.475</v>
      </c>
      <c r="KS813" t="n">
        <v>-11.76</v>
      </c>
      <c r="LD813" t="n">
        <v>1.28</v>
      </c>
    </row>
    <row r="814">
      <c r="A814" t="inlineStr">
        <is>
          <t>2026-03-27</t>
        </is>
      </c>
      <c r="B814" t="inlineStr">
        <is>
          <t>Coagulation</t>
        </is>
      </c>
      <c r="C814" t="inlineStr">
        <is>
          <t>130126032701</t>
        </is>
      </c>
      <c r="D814" t="inlineStr">
        <is>
          <t>APTT</t>
        </is>
      </c>
      <c r="J814" t="n">
        <v>29.75432</v>
      </c>
      <c r="K814" t="n">
        <v>29.75432</v>
      </c>
      <c r="L814" t="n">
        <v>29.75432</v>
      </c>
      <c r="BH814" t="n">
        <v>29.754</v>
      </c>
      <c r="CD814" t="n">
        <v>0</v>
      </c>
      <c r="CJ814" t="n">
        <v>80.85988</v>
      </c>
      <c r="CK814" t="n">
        <v>80.85988</v>
      </c>
      <c r="CL814" t="n">
        <v>80.85988</v>
      </c>
      <c r="EH814" t="n">
        <v>80.86</v>
      </c>
      <c r="FD814" t="n">
        <v>0</v>
      </c>
    </row>
    <row r="815">
      <c r="A815" t="inlineStr">
        <is>
          <t>2026-03-27</t>
        </is>
      </c>
      <c r="B815" t="inlineStr">
        <is>
          <t>Coagulation</t>
        </is>
      </c>
      <c r="C815" t="inlineStr">
        <is>
          <t>130126032701</t>
        </is>
      </c>
      <c r="D815" t="inlineStr">
        <is>
          <t>FIB</t>
        </is>
      </c>
      <c r="J815" t="n">
        <v>207.392</v>
      </c>
      <c r="K815" t="n">
        <v>207.392</v>
      </c>
      <c r="L815" t="n">
        <v>207.392</v>
      </c>
      <c r="BH815" t="n">
        <v>207.392</v>
      </c>
      <c r="CD815" t="n">
        <v>0</v>
      </c>
      <c r="CJ815" t="n">
        <v>115.664</v>
      </c>
      <c r="CK815" t="n">
        <v>115.664</v>
      </c>
      <c r="CL815" t="n">
        <v>115.664</v>
      </c>
      <c r="EH815" t="n">
        <v>115.664</v>
      </c>
      <c r="FD815" t="n">
        <v>0</v>
      </c>
    </row>
    <row r="816">
      <c r="A816" t="inlineStr">
        <is>
          <t>2026-03-27</t>
        </is>
      </c>
      <c r="B816" t="inlineStr">
        <is>
          <t>Coagulation</t>
        </is>
      </c>
      <c r="C816" t="inlineStr">
        <is>
          <t>130126032701</t>
        </is>
      </c>
      <c r="D816" t="inlineStr">
        <is>
          <t>PT</t>
        </is>
      </c>
      <c r="J816" t="n">
        <v>11.506417</v>
      </c>
      <c r="K816" t="n">
        <v>11.506417</v>
      </c>
      <c r="L816" t="n">
        <v>11.506417</v>
      </c>
      <c r="BH816" t="n">
        <v>11.506</v>
      </c>
      <c r="CD816" t="n">
        <v>0</v>
      </c>
      <c r="CJ816" t="n">
        <v>18.629833</v>
      </c>
      <c r="CK816" t="n">
        <v>18.629833</v>
      </c>
      <c r="CL816" t="n">
        <v>18.629833</v>
      </c>
      <c r="EH816" t="n">
        <v>18.63</v>
      </c>
      <c r="FD816" t="n">
        <v>0</v>
      </c>
    </row>
    <row r="817">
      <c r="A817" t="inlineStr">
        <is>
          <t>2026-03-27</t>
        </is>
      </c>
      <c r="B817" t="inlineStr">
        <is>
          <t>COAG</t>
        </is>
      </c>
      <c r="C817" t="inlineStr">
        <is>
          <t>00100030126032701</t>
        </is>
      </c>
      <c r="D817" t="inlineStr">
        <is>
          <t>APTT</t>
        </is>
      </c>
      <c r="J817" t="n">
        <v>29.48828</v>
      </c>
      <c r="K817" t="n">
        <v>28.476655</v>
      </c>
      <c r="L817" t="n">
        <v>29.48828</v>
      </c>
      <c r="M817" t="n">
        <v>27.81232</v>
      </c>
      <c r="N817" t="n">
        <v>27.779855</v>
      </c>
      <c r="O817" t="n">
        <v>27.978395</v>
      </c>
      <c r="P817" t="n">
        <v>27.5596</v>
      </c>
      <c r="Q817" t="n">
        <v>27.94468</v>
      </c>
      <c r="R817" t="n">
        <v>26.64207499999999</v>
      </c>
      <c r="BH817" t="n">
        <v>28.125</v>
      </c>
      <c r="CD817" t="n">
        <v>2.9</v>
      </c>
      <c r="CJ817" t="n">
        <v>41.830555</v>
      </c>
      <c r="CK817" t="n">
        <v>48.83932</v>
      </c>
      <c r="CL817" t="n">
        <v>42.83392</v>
      </c>
      <c r="CM817" t="n">
        <v>49.16321500000002</v>
      </c>
      <c r="CN817" t="n">
        <v>41.11983500000001</v>
      </c>
      <c r="CO817" t="n">
        <v>42.74145500000001</v>
      </c>
      <c r="CP817" t="n">
        <v>40.770475</v>
      </c>
      <c r="CQ817" t="n">
        <v>43.58264</v>
      </c>
      <c r="CR817" t="n">
        <v>40.42511500000001</v>
      </c>
      <c r="CS817" t="n">
        <v>45.226795</v>
      </c>
      <c r="EH817" t="n">
        <v>43.653</v>
      </c>
      <c r="FD817" t="n">
        <v>6.86</v>
      </c>
      <c r="FJ817" t="n">
        <v>83.71953500000002</v>
      </c>
      <c r="FK817" t="n">
        <v>122.56732</v>
      </c>
      <c r="FL817" t="n">
        <v>85.95508000000002</v>
      </c>
      <c r="FM817" t="n">
        <v>97.38737499999999</v>
      </c>
      <c r="FN817" t="n">
        <v>104.96176</v>
      </c>
      <c r="FO817" t="n">
        <v>87.70348000000001</v>
      </c>
      <c r="FP817" t="n">
        <v>89.83456000000001</v>
      </c>
      <c r="FQ817" t="n">
        <v>125.896795</v>
      </c>
      <c r="FR817" t="n">
        <v>102.59068</v>
      </c>
      <c r="FS817" t="n">
        <v>73.63895500000001</v>
      </c>
      <c r="HH817" t="n">
        <v>97.426</v>
      </c>
      <c r="ID817" t="n">
        <v>16.43</v>
      </c>
    </row>
    <row r="818">
      <c r="A818" t="inlineStr">
        <is>
          <t>2026-03-27</t>
        </is>
      </c>
      <c r="B818" t="inlineStr">
        <is>
          <t>COAG</t>
        </is>
      </c>
      <c r="C818" t="inlineStr">
        <is>
          <t>00100030126032701</t>
        </is>
      </c>
      <c r="D818" t="inlineStr">
        <is>
          <t>FIBR</t>
        </is>
      </c>
      <c r="J818" t="n">
        <v>257.078</v>
      </c>
      <c r="K818" t="n">
        <v>253.802</v>
      </c>
      <c r="L818" t="n">
        <v>260.9</v>
      </c>
      <c r="M818" t="n">
        <v>255.167</v>
      </c>
      <c r="N818" t="n">
        <v>244.793</v>
      </c>
      <c r="O818" t="n">
        <v>259.535</v>
      </c>
      <c r="P818" t="n">
        <v>238.787</v>
      </c>
      <c r="Q818" t="n">
        <v>254.894</v>
      </c>
      <c r="R818" t="n">
        <v>234.692</v>
      </c>
      <c r="BH818" t="n">
        <v>250.499</v>
      </c>
      <c r="CD818" t="n">
        <v>3.41</v>
      </c>
      <c r="CJ818" t="n">
        <v>203.843</v>
      </c>
      <c r="CK818" t="n">
        <v>201.386</v>
      </c>
      <c r="CL818" t="n">
        <v>235.238</v>
      </c>
      <c r="CM818" t="n">
        <v>222.68</v>
      </c>
      <c r="CN818" t="n">
        <v>228.686</v>
      </c>
      <c r="CO818" t="n">
        <v>238.514</v>
      </c>
      <c r="CP818" t="n">
        <v>234.692</v>
      </c>
      <c r="CQ818" t="n">
        <v>235.511</v>
      </c>
      <c r="CR818" t="n">
        <v>252.164</v>
      </c>
      <c r="CS818" t="n">
        <v>227.594</v>
      </c>
      <c r="EH818" t="n">
        <v>228.031</v>
      </c>
      <c r="FD818" t="n">
        <v>6.46</v>
      </c>
      <c r="FJ818" t="n">
        <v>127.403</v>
      </c>
      <c r="FK818" t="n">
        <v>80.447</v>
      </c>
      <c r="FL818" t="n">
        <v>106.382</v>
      </c>
      <c r="FM818" t="n">
        <v>16.29199999999997</v>
      </c>
      <c r="FN818" t="n">
        <v>47.41399999999999</v>
      </c>
      <c r="FO818" t="n">
        <v>90.82099999999997</v>
      </c>
      <c r="FP818" t="n">
        <v>62.97500000000002</v>
      </c>
      <c r="FQ818" t="n">
        <v>52.05500000000001</v>
      </c>
      <c r="FR818" t="n">
        <v>83.99599999999998</v>
      </c>
      <c r="HH818" t="n">
        <v>74.19799999999999</v>
      </c>
      <c r="ID818" t="n">
        <v>42.54</v>
      </c>
    </row>
    <row r="819">
      <c r="A819" t="inlineStr">
        <is>
          <t>2026-03-27</t>
        </is>
      </c>
      <c r="B819" t="inlineStr">
        <is>
          <t>COAG</t>
        </is>
      </c>
      <c r="C819" t="inlineStr">
        <is>
          <t>00100030126032701</t>
        </is>
      </c>
      <c r="D819" t="inlineStr">
        <is>
          <t>PT</t>
        </is>
      </c>
      <c r="J819" t="n">
        <v>10.874212</v>
      </c>
      <c r="K819" t="n">
        <v>10.817428</v>
      </c>
      <c r="L819" t="n">
        <v>11.128552</v>
      </c>
      <c r="M819" t="n">
        <v>15.191593</v>
      </c>
      <c r="N819" t="n">
        <v>11.240968</v>
      </c>
      <c r="O819" t="n">
        <v>14.207332</v>
      </c>
      <c r="P819" t="n">
        <v>11.824852</v>
      </c>
      <c r="Q819" t="n">
        <v>11.976025</v>
      </c>
      <c r="R819" t="n">
        <v>15.1549</v>
      </c>
      <c r="BH819" t="n">
        <v>12.471</v>
      </c>
      <c r="CD819" t="n">
        <v>13.16</v>
      </c>
      <c r="CJ819" t="n">
        <v>27.35140000000001</v>
      </c>
      <c r="CK819" t="n">
        <v>25.568017</v>
      </c>
      <c r="CL819" t="n">
        <v>22.42041700000001</v>
      </c>
      <c r="CM819" t="n">
        <v>25.685953</v>
      </c>
      <c r="CN819" t="n">
        <v>26.644372</v>
      </c>
      <c r="CO819" t="n">
        <v>26.8594</v>
      </c>
      <c r="CP819" t="n">
        <v>23.427025</v>
      </c>
      <c r="EH819" t="n">
        <v>25.422</v>
      </c>
      <c r="FD819" t="n">
        <v>6.71</v>
      </c>
      <c r="FJ819" t="n">
        <v>18.4522</v>
      </c>
      <c r="FK819" t="n">
        <v>20.141017</v>
      </c>
      <c r="FL819" t="n">
        <v>18.155848</v>
      </c>
      <c r="FM819" t="n">
        <v>20.478625</v>
      </c>
      <c r="FN819" t="n">
        <v>20.916673</v>
      </c>
      <c r="FO819" t="n">
        <v>19.48209700000001</v>
      </c>
      <c r="FP819" t="n">
        <v>20.653672</v>
      </c>
      <c r="FQ819" t="n">
        <v>21.375625</v>
      </c>
      <c r="FR819" t="n">
        <v>21.45341200000001</v>
      </c>
      <c r="FS819" t="n">
        <v>20.026753</v>
      </c>
      <c r="HH819" t="n">
        <v>20.114</v>
      </c>
      <c r="ID819" t="n">
        <v>5.32</v>
      </c>
    </row>
    <row r="820">
      <c r="A820" t="inlineStr">
        <is>
          <t>2026-03-27</t>
        </is>
      </c>
      <c r="B820" t="inlineStr">
        <is>
          <t>Liver 11</t>
        </is>
      </c>
      <c r="C820" t="inlineStr">
        <is>
          <t>00100000226032701</t>
        </is>
      </c>
      <c r="D820" t="inlineStr">
        <is>
          <t>ALB</t>
        </is>
      </c>
      <c r="F820" t="n">
        <v>8</v>
      </c>
      <c r="G820" t="n">
        <v>4.2</v>
      </c>
      <c r="H820" t="n">
        <v>37.8</v>
      </c>
      <c r="I820" t="n">
        <v>-29.4</v>
      </c>
      <c r="J820" t="n">
        <v>4.957398652439416</v>
      </c>
      <c r="K820" t="n">
        <v>5.000738820306187</v>
      </c>
      <c r="L820" t="n">
        <v>5.071672855735379</v>
      </c>
      <c r="M820" t="n">
        <v>4.965409595181318</v>
      </c>
      <c r="N820" t="n">
        <v>4.832648899964301</v>
      </c>
      <c r="BH820" t="n">
        <v>4.966</v>
      </c>
      <c r="BS820" t="n">
        <v>18.23</v>
      </c>
      <c r="CD820" t="n">
        <v>1.57</v>
      </c>
      <c r="CF820" t="n">
        <v>8</v>
      </c>
      <c r="CG820" t="n">
        <v>2.7</v>
      </c>
      <c r="CH820" t="n">
        <v>24.3</v>
      </c>
      <c r="CI820" t="n">
        <v>-18.9</v>
      </c>
      <c r="CJ820" t="n">
        <v>3.534489614606006</v>
      </c>
      <c r="CK820" t="n">
        <v>3.414178677422827</v>
      </c>
      <c r="CL820" t="n">
        <v>3.683231301952103</v>
      </c>
      <c r="CM820" t="n">
        <v>3.558101937690748</v>
      </c>
      <c r="CN820" t="n">
        <v>3.415922296931399</v>
      </c>
      <c r="EH820" t="n">
        <v>3.521</v>
      </c>
      <c r="ES820" t="n">
        <v>30.41</v>
      </c>
      <c r="FD820" t="n">
        <v>2.85</v>
      </c>
      <c r="FF820" t="n">
        <v>8</v>
      </c>
      <c r="FG820" t="n">
        <v>2.6</v>
      </c>
      <c r="FH820" t="n">
        <v>23.4</v>
      </c>
      <c r="FI820" t="n">
        <v>-18.2</v>
      </c>
      <c r="FJ820" t="n">
        <v>3.315342365532667</v>
      </c>
      <c r="FK820" t="n">
        <v>3.370935262448158</v>
      </c>
      <c r="FL820" t="n">
        <v>3.396361447658221</v>
      </c>
      <c r="FM820" t="n">
        <v>3.381776173199877</v>
      </c>
      <c r="FN820" t="n">
        <v>3.297302085769532</v>
      </c>
      <c r="HH820" t="n">
        <v>3.352</v>
      </c>
      <c r="HS820" t="n">
        <v>28.94</v>
      </c>
      <c r="ID820" t="n">
        <v>1.16</v>
      </c>
      <c r="IF820" t="n">
        <v>8</v>
      </c>
      <c r="IG820" t="n">
        <v>4.2</v>
      </c>
      <c r="IH820" t="n">
        <v>37.8</v>
      </c>
      <c r="II820" t="n">
        <v>-29.4</v>
      </c>
      <c r="IJ820" t="n">
        <v>4.881723311678654</v>
      </c>
      <c r="IK820" t="n">
        <v>4.94280476361762</v>
      </c>
      <c r="IL820" t="n">
        <v>4.997896046928033</v>
      </c>
      <c r="IM820" t="n">
        <v>4.994251624596444</v>
      </c>
      <c r="IN820" t="n">
        <v>4.827420588867056</v>
      </c>
      <c r="KH820" t="n">
        <v>4.929</v>
      </c>
      <c r="KS820" t="n">
        <v>17.35</v>
      </c>
      <c r="LD820" t="n">
        <v>1.34</v>
      </c>
    </row>
    <row r="821">
      <c r="A821" t="inlineStr">
        <is>
          <t>2026-03-27</t>
        </is>
      </c>
      <c r="B821" t="inlineStr">
        <is>
          <t>Liver 11</t>
        </is>
      </c>
      <c r="C821" t="inlineStr">
        <is>
          <t>00100000226032701</t>
        </is>
      </c>
      <c r="D821" t="inlineStr">
        <is>
          <t>ALP</t>
        </is>
      </c>
      <c r="F821" t="n">
        <v>20</v>
      </c>
      <c r="G821" t="n">
        <v>136</v>
      </c>
      <c r="H821" t="n">
        <v>2856</v>
      </c>
      <c r="I821" t="n">
        <v>-2584</v>
      </c>
      <c r="J821" t="n">
        <v>143.6600024371904</v>
      </c>
      <c r="K821" t="n">
        <v>145.3202115924814</v>
      </c>
      <c r="L821" t="n">
        <v>146.3827147254683</v>
      </c>
      <c r="M821" t="n">
        <v>146.7413165238328</v>
      </c>
      <c r="N821" t="n">
        <v>144.898049803146</v>
      </c>
      <c r="BH821" t="n">
        <v>145.4</v>
      </c>
      <c r="BS821" t="n">
        <v>6.91</v>
      </c>
      <c r="CD821" t="n">
        <v>0.76</v>
      </c>
      <c r="CF821" t="n">
        <v>20</v>
      </c>
      <c r="CG821" t="n">
        <v>456</v>
      </c>
      <c r="CH821" t="n">
        <v>9576</v>
      </c>
      <c r="CI821" t="n">
        <v>-8664</v>
      </c>
      <c r="CJ821" t="n">
        <v>461.3724749107372</v>
      </c>
      <c r="CK821" t="n">
        <v>445.3201319543582</v>
      </c>
      <c r="CL821" t="n">
        <v>451.6805726394008</v>
      </c>
      <c r="CM821" t="n">
        <v>453.5960646105391</v>
      </c>
      <c r="CN821" t="n">
        <v>454.9414356228809</v>
      </c>
      <c r="EH821" t="n">
        <v>453.382</v>
      </c>
      <c r="ES821" t="n">
        <v>-0.57</v>
      </c>
      <c r="FD821" t="n">
        <v>1.14</v>
      </c>
      <c r="FF821" t="n">
        <v>20</v>
      </c>
      <c r="FG821" t="n">
        <v>75</v>
      </c>
      <c r="FH821" t="n">
        <v>1575</v>
      </c>
      <c r="FI821" t="n">
        <v>-1425</v>
      </c>
      <c r="FJ821" t="n">
        <v>78.07973654339014</v>
      </c>
      <c r="FK821" t="n">
        <v>77.19153998520979</v>
      </c>
      <c r="FL821" t="n">
        <v>77.6336534159565</v>
      </c>
      <c r="FM821" t="n">
        <v>78.01179491600685</v>
      </c>
      <c r="FN821" t="n">
        <v>78.19590825958147</v>
      </c>
      <c r="HH821" t="n">
        <v>77.82299999999999</v>
      </c>
      <c r="HS821" t="n">
        <v>3.76</v>
      </c>
      <c r="ID821" t="n">
        <v>0.47</v>
      </c>
      <c r="IF821" t="n">
        <v>20</v>
      </c>
      <c r="IG821" t="n">
        <v>251</v>
      </c>
      <c r="IH821" t="n">
        <v>5271</v>
      </c>
      <c r="II821" t="n">
        <v>-4769</v>
      </c>
      <c r="IJ821" t="n">
        <v>222.1364520402552</v>
      </c>
      <c r="IK821" t="n">
        <v>224.478690402147</v>
      </c>
      <c r="IL821" t="n">
        <v>221.2807837614974</v>
      </c>
      <c r="IM821" t="n">
        <v>224.0870611081352</v>
      </c>
      <c r="IN821" t="n">
        <v>223.7971769882184</v>
      </c>
      <c r="KH821" t="n">
        <v>223.156</v>
      </c>
      <c r="KS821" t="n">
        <v>-11.09</v>
      </c>
      <c r="LD821" t="n">
        <v>0.55</v>
      </c>
    </row>
    <row r="822">
      <c r="A822" t="inlineStr">
        <is>
          <t>2026-03-27</t>
        </is>
      </c>
      <c r="B822" t="inlineStr">
        <is>
          <t>Liver 11</t>
        </is>
      </c>
      <c r="C822" t="inlineStr">
        <is>
          <t>00100000226032701</t>
        </is>
      </c>
      <c r="D822" t="inlineStr">
        <is>
          <t>ALT</t>
        </is>
      </c>
      <c r="F822" t="n">
        <v>15</v>
      </c>
      <c r="G822" t="n">
        <v>28</v>
      </c>
      <c r="H822" t="n">
        <v>448</v>
      </c>
      <c r="I822" t="n">
        <v>-392</v>
      </c>
      <c r="J822" t="n">
        <v>24.93260906437705</v>
      </c>
      <c r="K822" t="n">
        <v>27.48492176885621</v>
      </c>
      <c r="L822" t="n">
        <v>30.47135382423858</v>
      </c>
      <c r="M822" t="n">
        <v>27.62612520992379</v>
      </c>
      <c r="N822" t="n">
        <v>23.66339651753869</v>
      </c>
      <c r="BH822" t="n">
        <v>26.836</v>
      </c>
      <c r="BS822" t="n">
        <v>-4.16</v>
      </c>
      <c r="CD822" t="n">
        <v>8.81</v>
      </c>
      <c r="CF822" t="n">
        <v>15</v>
      </c>
      <c r="CG822" t="n">
        <v>115</v>
      </c>
      <c r="CH822" t="n">
        <v>1840</v>
      </c>
      <c r="CI822" t="n">
        <v>-1610</v>
      </c>
      <c r="CJ822" t="n">
        <v>116.2446588802383</v>
      </c>
      <c r="CK822" t="n">
        <v>118.0223173342562</v>
      </c>
      <c r="CL822" t="n">
        <v>114.9552593765879</v>
      </c>
      <c r="CM822" t="n">
        <v>120.5864374296079</v>
      </c>
      <c r="CN822" t="n">
        <v>117.8907076964749</v>
      </c>
      <c r="EH822" t="n">
        <v>117.54</v>
      </c>
      <c r="ES822" t="n">
        <v>2.21</v>
      </c>
      <c r="FD822" t="n">
        <v>1.61</v>
      </c>
      <c r="FF822" t="n">
        <v>15</v>
      </c>
      <c r="FG822" t="n">
        <v>26</v>
      </c>
      <c r="FH822" t="n">
        <v>416</v>
      </c>
      <c r="FI822" t="n">
        <v>-364</v>
      </c>
      <c r="FJ822" t="n">
        <v>15.87510516595371</v>
      </c>
      <c r="FK822" t="n">
        <v>26.19635174207725</v>
      </c>
      <c r="FL822" t="n">
        <v>23.08145296595332</v>
      </c>
      <c r="FM822" t="n">
        <v>20.62150734801454</v>
      </c>
      <c r="FN822" t="n">
        <v>23.25710700883504</v>
      </c>
      <c r="HH822" t="n">
        <v>21.806</v>
      </c>
      <c r="HS822" t="n">
        <v>-16.13</v>
      </c>
      <c r="ID822" t="n">
        <v>15.83</v>
      </c>
      <c r="IF822" t="n">
        <v>15</v>
      </c>
      <c r="IG822" t="n">
        <v>217</v>
      </c>
      <c r="IH822" t="n">
        <v>3472</v>
      </c>
      <c r="II822" t="n">
        <v>-3038</v>
      </c>
      <c r="IJ822" t="n">
        <v>197.4570623580605</v>
      </c>
      <c r="IK822" t="n">
        <v>205.8367852627864</v>
      </c>
      <c r="IL822" t="n">
        <v>177.5314090063169</v>
      </c>
      <c r="IM822" t="n">
        <v>201.2551035425155</v>
      </c>
      <c r="IN822" t="n">
        <v>208.3643821409463</v>
      </c>
      <c r="KH822" t="n">
        <v>198.089</v>
      </c>
      <c r="KS822" t="n">
        <v>-8.710000000000001</v>
      </c>
      <c r="LD822" t="n">
        <v>5.52</v>
      </c>
    </row>
    <row r="823">
      <c r="A823" t="inlineStr">
        <is>
          <t>2026-03-27</t>
        </is>
      </c>
      <c r="B823" t="inlineStr">
        <is>
          <t>Liver 11</t>
        </is>
      </c>
      <c r="C823" t="inlineStr">
        <is>
          <t>00100000226032701</t>
        </is>
      </c>
      <c r="D823" t="inlineStr">
        <is>
          <t>AST</t>
        </is>
      </c>
      <c r="F823" t="n">
        <v>15</v>
      </c>
      <c r="G823" t="n">
        <v>44</v>
      </c>
      <c r="H823" t="n">
        <v>704</v>
      </c>
      <c r="I823" t="n">
        <v>-616</v>
      </c>
      <c r="J823" t="n">
        <v>41.23524479522064</v>
      </c>
      <c r="K823" t="n">
        <v>41.97377699837496</v>
      </c>
      <c r="L823" t="n">
        <v>43.69917415198392</v>
      </c>
      <c r="M823" t="n">
        <v>43.33416385283133</v>
      </c>
      <c r="N823" t="n">
        <v>46.67409610020184</v>
      </c>
      <c r="BH823" t="n">
        <v>43.383</v>
      </c>
      <c r="BS823" t="n">
        <v>-1.4</v>
      </c>
      <c r="CD823" t="n">
        <v>4.32</v>
      </c>
      <c r="CF823" t="n">
        <v>15</v>
      </c>
      <c r="CG823" t="n">
        <v>221</v>
      </c>
      <c r="CH823" t="n">
        <v>3536</v>
      </c>
      <c r="CI823" t="n">
        <v>-3094</v>
      </c>
      <c r="CJ823" t="n">
        <v>217.8721809797667</v>
      </c>
      <c r="CK823" t="n">
        <v>212.1449084489614</v>
      </c>
      <c r="CL823" t="n">
        <v>215.2671863182732</v>
      </c>
      <c r="CM823" t="n">
        <v>216.3460501439862</v>
      </c>
      <c r="CN823" t="n">
        <v>218.6908294189074</v>
      </c>
      <c r="EH823" t="n">
        <v>216.064</v>
      </c>
      <c r="ES823" t="n">
        <v>-2.23</v>
      </c>
      <c r="FD823" t="n">
        <v>1.06</v>
      </c>
      <c r="FF823" t="n">
        <v>15</v>
      </c>
      <c r="FG823" t="n">
        <v>45</v>
      </c>
      <c r="FH823" t="n">
        <v>720</v>
      </c>
      <c r="FI823" t="n">
        <v>-630</v>
      </c>
      <c r="FJ823" t="n">
        <v>42.99408876780222</v>
      </c>
      <c r="FK823" t="n">
        <v>43.44195077330473</v>
      </c>
      <c r="FL823" t="n">
        <v>42.85315762297813</v>
      </c>
      <c r="FM823" t="n">
        <v>42.78865899508101</v>
      </c>
      <c r="FN823" t="n">
        <v>44.17527972073503</v>
      </c>
      <c r="HH823" t="n">
        <v>43.251</v>
      </c>
      <c r="HS823" t="n">
        <v>-3.89</v>
      </c>
      <c r="ID823" t="n">
        <v>1.19</v>
      </c>
      <c r="IF823" t="n">
        <v>15</v>
      </c>
      <c r="IG823" t="n">
        <v>282</v>
      </c>
      <c r="IH823" t="n">
        <v>4512</v>
      </c>
      <c r="II823" t="n">
        <v>-3948</v>
      </c>
      <c r="IJ823" t="n">
        <v>257.2952589678529</v>
      </c>
      <c r="IK823" t="n">
        <v>264.3272168777232</v>
      </c>
      <c r="IL823" t="n">
        <v>261.3549463310731</v>
      </c>
      <c r="IM823" t="n">
        <v>255.5062328935267</v>
      </c>
      <c r="IN823" t="n">
        <v>262.9757359424869</v>
      </c>
      <c r="KH823" t="n">
        <v>260.292</v>
      </c>
      <c r="KS823" t="n">
        <v>-7.7</v>
      </c>
      <c r="LD823" t="n">
        <v>1.29</v>
      </c>
    </row>
    <row r="824">
      <c r="A824" t="inlineStr">
        <is>
          <t>2026-03-27</t>
        </is>
      </c>
      <c r="B824" t="inlineStr">
        <is>
          <t>Liver 11</t>
        </is>
      </c>
      <c r="C824" t="inlineStr">
        <is>
          <t>00100000226032701</t>
        </is>
      </c>
      <c r="D824" t="inlineStr">
        <is>
          <t>BA</t>
        </is>
      </c>
      <c r="J824" t="n">
        <v>3.176518228883908</v>
      </c>
      <c r="K824" t="n">
        <v>3.01110417361869</v>
      </c>
      <c r="L824" t="n">
        <v>3.058426968819332</v>
      </c>
      <c r="M824" t="n">
        <v>3.391228562440788</v>
      </c>
      <c r="N824" t="n">
        <v>2.888938125723935</v>
      </c>
      <c r="BH824" t="n">
        <v>3.105</v>
      </c>
      <c r="CD824" t="n">
        <v>5.48</v>
      </c>
      <c r="CJ824" t="n">
        <v>2.632605452285086</v>
      </c>
      <c r="CK824" t="n">
        <v>2.423454952454325</v>
      </c>
      <c r="CL824" t="n">
        <v>2.348900897283599</v>
      </c>
      <c r="CM824" t="n">
        <v>2.774771830347948</v>
      </c>
      <c r="CN824" t="n">
        <v>2.477531010371132</v>
      </c>
      <c r="EH824" t="n">
        <v>2.531</v>
      </c>
      <c r="FD824" t="n">
        <v>6.05</v>
      </c>
      <c r="FJ824" t="n">
        <v>12.65572367396334</v>
      </c>
      <c r="FK824" t="n">
        <v>12.3408997003937</v>
      </c>
      <c r="FL824" t="n">
        <v>12.74267737468368</v>
      </c>
      <c r="FM824" t="n">
        <v>13.12765474693351</v>
      </c>
      <c r="FN824" t="n">
        <v>13.0548930754137</v>
      </c>
      <c r="HH824" t="n">
        <v>12.784</v>
      </c>
      <c r="ID824" t="n">
        <v>2.23</v>
      </c>
      <c r="IJ824" t="n">
        <v>11.38981319464079</v>
      </c>
      <c r="IK824" t="n">
        <v>12.15807560689233</v>
      </c>
      <c r="IL824" t="n">
        <v>12.01047807695715</v>
      </c>
      <c r="IM824" t="n">
        <v>11.5735820955393</v>
      </c>
      <c r="IN824" t="n">
        <v>12.00910629985776</v>
      </c>
      <c r="KH824" t="n">
        <v>11.828</v>
      </c>
      <c r="LD824" t="n">
        <v>2.48</v>
      </c>
    </row>
    <row r="825">
      <c r="A825" t="inlineStr">
        <is>
          <t>2026-03-27</t>
        </is>
      </c>
      <c r="B825" t="inlineStr">
        <is>
          <t>Liver 11</t>
        </is>
      </c>
      <c r="C825" t="inlineStr">
        <is>
          <t>00100000226032701</t>
        </is>
      </c>
      <c r="D825" t="inlineStr">
        <is>
          <t>GGT</t>
        </is>
      </c>
      <c r="F825" t="n">
        <v>15</v>
      </c>
      <c r="G825" t="n">
        <v>57</v>
      </c>
      <c r="H825" t="n">
        <v>912</v>
      </c>
      <c r="I825" t="n">
        <v>-798</v>
      </c>
      <c r="J825" t="n">
        <v>57.28108060011383</v>
      </c>
      <c r="K825" t="n">
        <v>59.47274851961067</v>
      </c>
      <c r="L825" t="n">
        <v>59.18905071084976</v>
      </c>
      <c r="M825" t="n">
        <v>56.95744982690132</v>
      </c>
      <c r="N825" t="n">
        <v>57.36375264818552</v>
      </c>
      <c r="BH825" t="n">
        <v>58.053</v>
      </c>
      <c r="BS825" t="n">
        <v>1.85</v>
      </c>
      <c r="CD825" t="n">
        <v>1.82</v>
      </c>
      <c r="CF825" t="n">
        <v>15</v>
      </c>
      <c r="CG825" t="n">
        <v>164</v>
      </c>
      <c r="CH825" t="n">
        <v>2624</v>
      </c>
      <c r="CI825" t="n">
        <v>-2296</v>
      </c>
      <c r="CJ825" t="n">
        <v>165.5609708593963</v>
      </c>
      <c r="CK825" t="n">
        <v>163.4481088934388</v>
      </c>
      <c r="CL825" t="n">
        <v>163.5948627377803</v>
      </c>
      <c r="CM825" t="n">
        <v>166.1344623254136</v>
      </c>
      <c r="CN825" t="n">
        <v>166.881146031511</v>
      </c>
      <c r="EH825" t="n">
        <v>165.124</v>
      </c>
      <c r="ES825" t="n">
        <v>0.6899999999999999</v>
      </c>
      <c r="FD825" t="n">
        <v>0.83</v>
      </c>
      <c r="FF825" t="n">
        <v>15</v>
      </c>
      <c r="FG825" t="n">
        <v>23</v>
      </c>
      <c r="FH825" t="n">
        <v>368</v>
      </c>
      <c r="FI825" t="n">
        <v>-322</v>
      </c>
      <c r="FJ825" t="n">
        <v>23.03051062832442</v>
      </c>
      <c r="FK825" t="n">
        <v>23.55318194464555</v>
      </c>
      <c r="FL825" t="n">
        <v>23.60868172305576</v>
      </c>
      <c r="FM825" t="n">
        <v>22.76393672703374</v>
      </c>
      <c r="FN825" t="n">
        <v>23.19815973773043</v>
      </c>
      <c r="HH825" t="n">
        <v>23.231</v>
      </c>
      <c r="HS825" t="n">
        <v>1</v>
      </c>
      <c r="ID825" t="n">
        <v>1.37</v>
      </c>
      <c r="IF825" t="n">
        <v>15</v>
      </c>
      <c r="IG825" t="n">
        <v>126</v>
      </c>
      <c r="IH825" t="n">
        <v>2016</v>
      </c>
      <c r="II825" t="n">
        <v>-1764</v>
      </c>
      <c r="IJ825" t="n">
        <v>126.1641937464257</v>
      </c>
      <c r="IK825" t="n">
        <v>126.2813894199915</v>
      </c>
      <c r="IL825" t="n">
        <v>127.121323929498</v>
      </c>
      <c r="IM825" t="n">
        <v>123.2094050809889</v>
      </c>
      <c r="IN825" t="n">
        <v>128.7137206233087</v>
      </c>
      <c r="KH825" t="n">
        <v>126.298</v>
      </c>
      <c r="KS825" t="n">
        <v>0.24</v>
      </c>
      <c r="LD825" t="n">
        <v>1.42</v>
      </c>
    </row>
    <row r="826">
      <c r="A826" t="inlineStr">
        <is>
          <t>2026-03-27</t>
        </is>
      </c>
      <c r="B826" t="inlineStr">
        <is>
          <t>Liver 11</t>
        </is>
      </c>
      <c r="C826" t="inlineStr">
        <is>
          <t>00100000226032701</t>
        </is>
      </c>
      <c r="D826" t="inlineStr">
        <is>
          <t>GLU</t>
        </is>
      </c>
      <c r="F826" t="n">
        <v>8</v>
      </c>
      <c r="G826" t="n">
        <v>90.16</v>
      </c>
      <c r="H826" t="n">
        <v>811.4399999999999</v>
      </c>
      <c r="I826" t="n">
        <v>-631.12</v>
      </c>
      <c r="J826" t="n">
        <v>88.52490799441918</v>
      </c>
      <c r="K826" t="n">
        <v>89.6178895419672</v>
      </c>
      <c r="L826" t="n">
        <v>89.99340563966607</v>
      </c>
      <c r="M826" t="n">
        <v>89.33225161846289</v>
      </c>
      <c r="N826" t="n">
        <v>88.88780344508342</v>
      </c>
      <c r="BH826" t="n">
        <v>89.271</v>
      </c>
      <c r="BS826" t="n">
        <v>-0.99</v>
      </c>
      <c r="CD826" t="n">
        <v>0.58</v>
      </c>
      <c r="CF826" t="n">
        <v>8</v>
      </c>
      <c r="CG826" t="n">
        <v>293.02</v>
      </c>
      <c r="CH826" t="n">
        <v>2637.18</v>
      </c>
      <c r="CI826" t="n">
        <v>-2051.14</v>
      </c>
      <c r="CJ826" t="n">
        <v>291.203982134575</v>
      </c>
      <c r="CK826" t="n">
        <v>289.8753388926933</v>
      </c>
      <c r="CL826" t="n">
        <v>295.5892379894206</v>
      </c>
      <c r="CM826" t="n">
        <v>295.0963966171236</v>
      </c>
      <c r="CN826" t="n">
        <v>294.0728743446089</v>
      </c>
      <c r="EH826" t="n">
        <v>293.168</v>
      </c>
      <c r="ES826" t="n">
        <v>0.05</v>
      </c>
      <c r="FD826" t="n">
        <v>0.76</v>
      </c>
      <c r="FF826" t="n">
        <v>8</v>
      </c>
      <c r="FG826" t="n">
        <v>65.66</v>
      </c>
      <c r="FH826" t="n">
        <v>590.9399999999999</v>
      </c>
      <c r="FI826" t="n">
        <v>-459.62</v>
      </c>
      <c r="FJ826" t="n">
        <v>64.91676350751158</v>
      </c>
      <c r="FK826" t="n">
        <v>64.83583811862155</v>
      </c>
      <c r="FL826" t="n">
        <v>64.83677099119595</v>
      </c>
      <c r="FM826" t="n">
        <v>64.41753938170945</v>
      </c>
      <c r="FN826" t="n">
        <v>65.95997766366682</v>
      </c>
      <c r="HH826" t="n">
        <v>64.99299999999999</v>
      </c>
      <c r="HS826" t="n">
        <v>-1.02</v>
      </c>
      <c r="ID826" t="n">
        <v>0.79</v>
      </c>
      <c r="IF826" t="n">
        <v>8</v>
      </c>
      <c r="IG826" t="n">
        <v>359.66</v>
      </c>
      <c r="IH826" t="n">
        <v>3236.94</v>
      </c>
      <c r="II826" t="n">
        <v>-2517.62</v>
      </c>
      <c r="IJ826" t="n">
        <v>343.9451686285348</v>
      </c>
      <c r="IK826" t="n">
        <v>345.6775667470779</v>
      </c>
      <c r="IL826" t="n">
        <v>349.166455491573</v>
      </c>
      <c r="IM826" t="n">
        <v>347.6964290947839</v>
      </c>
      <c r="IN826" t="n">
        <v>350.451009649286</v>
      </c>
      <c r="KH826" t="n">
        <v>347.387</v>
      </c>
      <c r="KS826" t="n">
        <v>-3.41</v>
      </c>
      <c r="LD826" t="n">
        <v>0.67</v>
      </c>
    </row>
    <row r="827">
      <c r="A827" t="inlineStr">
        <is>
          <t>2026-03-27</t>
        </is>
      </c>
      <c r="B827" t="inlineStr">
        <is>
          <t>Liver 11</t>
        </is>
      </c>
      <c r="C827" t="inlineStr">
        <is>
          <t>00100000226032701</t>
        </is>
      </c>
      <c r="D827" t="inlineStr">
        <is>
          <t>TBIL</t>
        </is>
      </c>
      <c r="F827" t="n">
        <v>20</v>
      </c>
      <c r="G827" t="n">
        <v>1.1</v>
      </c>
      <c r="H827" t="n">
        <v>23.1</v>
      </c>
      <c r="I827" t="n">
        <v>-20.9</v>
      </c>
      <c r="J827" t="n">
        <v>1.11312640754382</v>
      </c>
      <c r="K827" t="n">
        <v>1.271149441789682</v>
      </c>
      <c r="L827" t="n">
        <v>1.16707168836225</v>
      </c>
      <c r="M827" t="n">
        <v>1.255510389853382</v>
      </c>
      <c r="N827" t="n">
        <v>1.145672895590048</v>
      </c>
      <c r="BH827" t="n">
        <v>1.191</v>
      </c>
      <c r="BS827" t="n">
        <v>8.23</v>
      </c>
      <c r="CD827" t="n">
        <v>5.22</v>
      </c>
      <c r="CF827" t="n">
        <v>20</v>
      </c>
      <c r="CG827" t="n">
        <v>5.1</v>
      </c>
      <c r="CH827" t="n">
        <v>107.1</v>
      </c>
      <c r="CI827" t="n">
        <v>-96.89999999999999</v>
      </c>
      <c r="CJ827" t="n">
        <v>4.942311628848278</v>
      </c>
      <c r="CK827" t="n">
        <v>4.898125430056729</v>
      </c>
      <c r="CL827" t="n">
        <v>4.951808446728177</v>
      </c>
      <c r="CM827" t="n">
        <v>4.979592430616536</v>
      </c>
      <c r="CN827" t="n">
        <v>4.936331674522713</v>
      </c>
      <c r="EH827" t="n">
        <v>4.942</v>
      </c>
      <c r="ES827" t="n">
        <v>-3.11</v>
      </c>
      <c r="FD827" t="n">
        <v>0.53</v>
      </c>
      <c r="FF827" t="n">
        <v>20</v>
      </c>
      <c r="FG827" t="n">
        <v>0.8</v>
      </c>
      <c r="FH827" t="n">
        <v>16.8</v>
      </c>
      <c r="FI827" t="n">
        <v>-15.2</v>
      </c>
      <c r="FJ827" t="n">
        <v>0.6196114003189477</v>
      </c>
      <c r="FK827" t="n">
        <v>0.6054816572825787</v>
      </c>
      <c r="FL827" t="n">
        <v>0.6397244900794794</v>
      </c>
      <c r="FM827" t="n">
        <v>0.5987196493061724</v>
      </c>
      <c r="FN827" t="n">
        <v>0.6022742634797984</v>
      </c>
      <c r="HH827" t="n">
        <v>0.613</v>
      </c>
      <c r="HS827" t="n">
        <v>-23.35</v>
      </c>
      <c r="ID827" t="n">
        <v>2.46</v>
      </c>
      <c r="IF827" t="n">
        <v>20</v>
      </c>
      <c r="IG827" t="n">
        <v>8.4</v>
      </c>
      <c r="IH827" t="n">
        <v>176.4</v>
      </c>
      <c r="II827" t="n">
        <v>-159.6</v>
      </c>
      <c r="IJ827" t="n">
        <v>7.836166763007836</v>
      </c>
      <c r="IK827" t="n">
        <v>7.928602147539979</v>
      </c>
      <c r="IL827" t="n">
        <v>7.918611460970474</v>
      </c>
      <c r="IM827" t="n">
        <v>7.919930741248389</v>
      </c>
      <c r="IN827" t="n">
        <v>7.975938479826389</v>
      </c>
      <c r="KH827" t="n">
        <v>7.916</v>
      </c>
      <c r="KS827" t="n">
        <v>-5.76</v>
      </c>
      <c r="LD827" t="n">
        <v>0.57</v>
      </c>
    </row>
    <row r="828">
      <c r="A828" t="inlineStr">
        <is>
          <t>2026-03-23</t>
        </is>
      </c>
      <c r="B828" t="inlineStr">
        <is>
          <t>S-DMA</t>
        </is>
      </c>
      <c r="C828" t="inlineStr">
        <is>
          <t>00100011326032301</t>
        </is>
      </c>
      <c r="D828" t="inlineStr">
        <is>
          <t>S-DMA</t>
        </is>
      </c>
      <c r="J828" t="n">
        <v>10.84714085672743</v>
      </c>
      <c r="K828" t="n">
        <v>9.995726373884096</v>
      </c>
      <c r="L828" t="n">
        <v>12.25545169073443</v>
      </c>
      <c r="M828" t="n">
        <v>12.3578260902494</v>
      </c>
      <c r="N828" t="n">
        <v>9.84986929313861</v>
      </c>
      <c r="O828" t="n">
        <v>9.082612258340562</v>
      </c>
      <c r="P828" t="n">
        <v>9.219939030655219</v>
      </c>
      <c r="Q828" t="n">
        <v>9.87891945771416</v>
      </c>
      <c r="R828" t="n">
        <v>9.511864714454591</v>
      </c>
      <c r="BH828" t="n">
        <v>9.92</v>
      </c>
      <c r="CD828" t="n">
        <v>13.14</v>
      </c>
      <c r="CJ828" t="n">
        <v>35.80191679481413</v>
      </c>
      <c r="CK828" t="n">
        <v>28.9920722719299</v>
      </c>
      <c r="CL828" t="n">
        <v>37.99503368497093</v>
      </c>
      <c r="CM828" t="n">
        <v>39.29568486761453</v>
      </c>
      <c r="CN828" t="n">
        <v>31.86460023579389</v>
      </c>
      <c r="CO828" t="n">
        <v>27.53947999282283</v>
      </c>
      <c r="CP828" t="n">
        <v>26.16728366574467</v>
      </c>
      <c r="CQ828" t="n">
        <v>29.14779760087767</v>
      </c>
      <c r="CR828" t="n">
        <v>19.5983321330709</v>
      </c>
      <c r="CS828" t="n">
        <v>28.47210783723473</v>
      </c>
      <c r="CT828" t="n">
        <v>24.74738570116862</v>
      </c>
      <c r="CU828" t="n">
        <v>28.95177914962248</v>
      </c>
      <c r="EH828" t="n">
        <v>29.881</v>
      </c>
      <c r="FD828" t="n">
        <v>18.05</v>
      </c>
    </row>
    <row r="829">
      <c r="A829" t="inlineStr">
        <is>
          <t>2026-03-20</t>
        </is>
      </c>
      <c r="B829" t="inlineStr">
        <is>
          <t>COAG</t>
        </is>
      </c>
      <c r="C829" t="inlineStr">
        <is>
          <t>00200030126032001</t>
        </is>
      </c>
      <c r="D829" t="inlineStr">
        <is>
          <t>APTT</t>
        </is>
      </c>
      <c r="J829" t="n">
        <v>106.584</v>
      </c>
      <c r="K829" t="n">
        <v>104.188752</v>
      </c>
      <c r="L829" t="n">
        <v>104.347328</v>
      </c>
      <c r="M829" t="n">
        <v>107.3211</v>
      </c>
      <c r="N829" t="n">
        <v>107.563892</v>
      </c>
      <c r="O829" t="n">
        <v>105.752208</v>
      </c>
      <c r="P829" t="n">
        <v>106.8933</v>
      </c>
      <c r="Q829" t="n">
        <v>106.187</v>
      </c>
      <c r="R829" t="n">
        <v>107.5416</v>
      </c>
      <c r="BH829" t="n">
        <v>106.32</v>
      </c>
      <c r="CD829" t="n">
        <v>1.08</v>
      </c>
      <c r="CJ829" t="n">
        <v>109.7241</v>
      </c>
      <c r="CK829" t="n">
        <v>114.550728</v>
      </c>
      <c r="CL829" t="n">
        <v>116.523612</v>
      </c>
      <c r="CM829" t="n">
        <v>117.176328</v>
      </c>
      <c r="CN829" t="n">
        <v>113.220032</v>
      </c>
      <c r="CO829" t="n">
        <v>113.795132</v>
      </c>
      <c r="CP829" t="n">
        <v>113.125568</v>
      </c>
      <c r="CQ829" t="n">
        <v>113.8275</v>
      </c>
      <c r="EH829" t="n">
        <v>113.993</v>
      </c>
      <c r="FD829" t="n">
        <v>1.87</v>
      </c>
    </row>
    <row r="830">
      <c r="A830" t="inlineStr">
        <is>
          <t>2026-03-20</t>
        </is>
      </c>
      <c r="B830" t="inlineStr">
        <is>
          <t>COAG</t>
        </is>
      </c>
      <c r="C830" t="inlineStr">
        <is>
          <t>00200030126032001</t>
        </is>
      </c>
      <c r="D830" t="inlineStr">
        <is>
          <t>FIBR</t>
        </is>
      </c>
      <c r="J830" t="n">
        <v>-182.7849999999999</v>
      </c>
      <c r="K830" t="n">
        <v>38.13500000000005</v>
      </c>
      <c r="L830" t="n">
        <v>83.108</v>
      </c>
      <c r="M830" t="n">
        <v>125.714</v>
      </c>
      <c r="N830" t="n">
        <v>62.59399999999999</v>
      </c>
      <c r="O830" t="n">
        <v>-30.50799999999998</v>
      </c>
      <c r="P830" t="n">
        <v>122.558</v>
      </c>
      <c r="Q830" t="n">
        <v>50.75899999999996</v>
      </c>
      <c r="R830" t="n">
        <v>31.82299999999998</v>
      </c>
      <c r="BH830" t="n">
        <v>42.654</v>
      </c>
      <c r="CD830" t="n">
        <v>195.25</v>
      </c>
      <c r="CJ830" t="n">
        <v>74.42900000000003</v>
      </c>
      <c r="CK830" t="n">
        <v>23.93299999999999</v>
      </c>
      <c r="CL830" t="n">
        <v>-5.259999999999991</v>
      </c>
      <c r="CM830" t="n">
        <v>-153.5919999999999</v>
      </c>
      <c r="CN830" t="n">
        <v>-99.15100000000001</v>
      </c>
      <c r="CO830" t="n">
        <v>20.77699999999999</v>
      </c>
      <c r="CP830" t="n">
        <v>-3.682000000000016</v>
      </c>
      <c r="CQ830" t="n">
        <v>24.72199999999998</v>
      </c>
      <c r="EH830" t="n">
        <v>-14.728</v>
      </c>
      <c r="FD830" t="n">
        <v>473.36</v>
      </c>
    </row>
    <row r="831">
      <c r="A831" t="inlineStr">
        <is>
          <t>2026-03-20</t>
        </is>
      </c>
      <c r="B831" t="inlineStr">
        <is>
          <t>COAG</t>
        </is>
      </c>
      <c r="C831" t="inlineStr">
        <is>
          <t>00200030126032001</t>
        </is>
      </c>
      <c r="D831" t="inlineStr">
        <is>
          <t>PT</t>
        </is>
      </c>
      <c r="J831" t="n">
        <v>17.832982</v>
      </c>
      <c r="K831" t="n">
        <v>16.933328</v>
      </c>
      <c r="L831" t="n">
        <v>17.230432</v>
      </c>
      <c r="M831" t="n">
        <v>16.642768</v>
      </c>
      <c r="N831" t="n">
        <v>18.408752</v>
      </c>
      <c r="O831" t="n">
        <v>16.559662</v>
      </c>
      <c r="P831" t="n">
        <v>18.1576</v>
      </c>
      <c r="Q831" t="n">
        <v>16.533718</v>
      </c>
      <c r="R831" t="n">
        <v>17.250128</v>
      </c>
      <c r="BH831" t="n">
        <v>17.31</v>
      </c>
      <c r="CD831" t="n">
        <v>3.66</v>
      </c>
      <c r="CJ831" t="n">
        <v>26.6596</v>
      </c>
      <c r="CK831" t="n">
        <v>29.5</v>
      </c>
      <c r="CL831" t="n">
        <v>35.910422</v>
      </c>
      <c r="CM831" t="n">
        <v>31.075982</v>
      </c>
      <c r="CN831" t="n">
        <v>27.2656</v>
      </c>
      <c r="EH831" t="n">
        <v>30.082</v>
      </c>
      <c r="FD831" t="n">
        <v>11.02</v>
      </c>
    </row>
    <row r="832">
      <c r="A832" t="inlineStr">
        <is>
          <t>2026-03-19</t>
        </is>
      </c>
      <c r="B832" t="inlineStr">
        <is>
          <t>S-DMA</t>
        </is>
      </c>
      <c r="C832" t="inlineStr">
        <is>
          <t>00100011326031901</t>
        </is>
      </c>
      <c r="D832" t="inlineStr">
        <is>
          <t>S-DMA</t>
        </is>
      </c>
      <c r="J832" t="n">
        <v>10.81988200052233</v>
      </c>
      <c r="K832" t="n">
        <v>3.238032941446243</v>
      </c>
      <c r="L832" t="n">
        <v>11.22726837357673</v>
      </c>
      <c r="M832" t="n">
        <v>0.5392494915709453</v>
      </c>
      <c r="N832" t="n">
        <v>9.917048674646813</v>
      </c>
      <c r="O832" t="n">
        <v>9.973115488400671</v>
      </c>
      <c r="P832" t="n">
        <v>9.408816999679413</v>
      </c>
      <c r="Q832" t="n">
        <v>6.152241892242544</v>
      </c>
      <c r="R832" t="n">
        <v>6.710274265608493</v>
      </c>
      <c r="BH832" t="n">
        <v>7.545</v>
      </c>
      <c r="CD832" t="n">
        <v>41.93</v>
      </c>
      <c r="CJ832" t="n">
        <v>38.43870782535048</v>
      </c>
      <c r="CK832" t="n">
        <v>44.20314183773976</v>
      </c>
      <c r="CL832" t="n">
        <v>38.19042370708551</v>
      </c>
      <c r="CM832" t="n">
        <v>35.17217284990002</v>
      </c>
      <c r="CN832" t="n">
        <v>29.18951588254791</v>
      </c>
      <c r="CO832" t="n">
        <v>31.09761578157142</v>
      </c>
      <c r="CP832" t="n">
        <v>31.18729186274125</v>
      </c>
      <c r="CQ832" t="n">
        <v>41.31310673696814</v>
      </c>
      <c r="CR832" t="n">
        <v>0.02030825891248926</v>
      </c>
      <c r="CS832" t="n">
        <v>18.66120737094278</v>
      </c>
      <c r="CT832" t="n">
        <v>24.07429742464633</v>
      </c>
      <c r="CU832" t="n">
        <v>23.60642627837825</v>
      </c>
      <c r="EH832" t="n">
        <v>29.596</v>
      </c>
      <c r="FD832" t="n">
        <v>39.01</v>
      </c>
      <c r="FJ832" t="n">
        <v>33.6025567738899</v>
      </c>
      <c r="HH832" t="n">
        <v>33.603</v>
      </c>
    </row>
    <row r="833">
      <c r="A833" t="inlineStr">
        <is>
          <t>2026-03-16</t>
        </is>
      </c>
      <c r="B833" t="inlineStr">
        <is>
          <t>General Chem 26</t>
        </is>
      </c>
      <c r="C833" t="inlineStr">
        <is>
          <t>00205305426031601</t>
        </is>
      </c>
      <c r="D833" t="inlineStr">
        <is>
          <t>AMY</t>
        </is>
      </c>
      <c r="F833" t="n">
        <v>10</v>
      </c>
      <c r="G833" t="n">
        <v>78</v>
      </c>
      <c r="H833" t="n">
        <v>858</v>
      </c>
      <c r="I833" t="n">
        <v>-702</v>
      </c>
      <c r="J833" t="n">
        <v>73.511385730245</v>
      </c>
      <c r="K833" t="n">
        <v>72.55311415967257</v>
      </c>
      <c r="L833" t="n">
        <v>74.45971835265942</v>
      </c>
      <c r="M833" t="n">
        <v>74.38843884808576</v>
      </c>
      <c r="N833" t="n">
        <v>73.43838982029135</v>
      </c>
      <c r="O833" t="n">
        <v>73.14647936603521</v>
      </c>
      <c r="P833" t="n">
        <v>72.77349104342014</v>
      </c>
      <c r="Q833" t="n">
        <v>75.32683168512554</v>
      </c>
      <c r="BH833" t="n">
        <v>73.7</v>
      </c>
      <c r="BS833" t="n">
        <v>-5.51</v>
      </c>
      <c r="CD833" t="n">
        <v>1.2</v>
      </c>
      <c r="CF833" t="n">
        <v>10</v>
      </c>
      <c r="CG833" t="n">
        <v>404</v>
      </c>
      <c r="CH833" t="n">
        <v>4444</v>
      </c>
      <c r="CI833" t="n">
        <v>-3636</v>
      </c>
      <c r="CJ833" t="n">
        <v>376.3776980115707</v>
      </c>
      <c r="CK833" t="n">
        <v>380.517717720665</v>
      </c>
      <c r="CL833" t="n">
        <v>378.7910118705516</v>
      </c>
      <c r="CM833" t="n">
        <v>380.5889971066361</v>
      </c>
      <c r="CN833" t="n">
        <v>383.9958952560547</v>
      </c>
      <c r="CO833" t="n">
        <v>394.0865597445869</v>
      </c>
      <c r="CP833" t="n">
        <v>381.3651897017498</v>
      </c>
      <c r="CQ833" t="n">
        <v>379.9696807896502</v>
      </c>
      <c r="EH833" t="n">
        <v>381.962</v>
      </c>
      <c r="ES833" t="n">
        <v>-5.46</v>
      </c>
      <c r="FD833" t="n">
        <v>1.31</v>
      </c>
      <c r="FF833" t="n">
        <v>10</v>
      </c>
      <c r="FG833" t="n">
        <v>63</v>
      </c>
      <c r="FH833" t="n">
        <v>693</v>
      </c>
      <c r="FI833" t="n">
        <v>-567</v>
      </c>
      <c r="FJ833" t="n">
        <v>63.02621465749694</v>
      </c>
      <c r="FK833" t="n">
        <v>61.95723042307628</v>
      </c>
      <c r="FL833" t="n">
        <v>61.9731139121968</v>
      </c>
      <c r="FM833" t="n">
        <v>61.51238461234881</v>
      </c>
      <c r="FN833" t="n">
        <v>62.31256749454515</v>
      </c>
      <c r="FO833" t="n">
        <v>62.70733424633826</v>
      </c>
      <c r="FP833" t="n">
        <v>62.64336814271925</v>
      </c>
      <c r="HH833" t="n">
        <v>62.305</v>
      </c>
      <c r="HS833" t="n">
        <v>-1.1</v>
      </c>
      <c r="ID833" t="n">
        <v>0.78</v>
      </c>
      <c r="IF833" t="n">
        <v>10</v>
      </c>
      <c r="IG833" t="n">
        <v>297</v>
      </c>
      <c r="IH833" t="n">
        <v>3267</v>
      </c>
      <c r="II833" t="n">
        <v>-2673</v>
      </c>
      <c r="IJ833" t="n">
        <v>296.7982003470082</v>
      </c>
      <c r="IK833" t="n">
        <v>38.25165449394502</v>
      </c>
      <c r="IL833" t="n">
        <v>279.6719283214629</v>
      </c>
      <c r="IM833" t="n">
        <v>282.9588579497494</v>
      </c>
      <c r="IN833" t="n">
        <v>280.2492208497224</v>
      </c>
      <c r="IO833" t="n">
        <v>62.06352679052398</v>
      </c>
      <c r="IP833" t="n">
        <v>284.4591167632637</v>
      </c>
      <c r="IQ833" t="n">
        <v>281.2158917777439</v>
      </c>
      <c r="IR833" t="n">
        <v>280.6008277126961</v>
      </c>
      <c r="KH833" t="n">
        <v>231.808</v>
      </c>
      <c r="KS833" t="n">
        <v>-21.95</v>
      </c>
      <c r="LD833" t="n">
        <v>42.01</v>
      </c>
    </row>
    <row r="834">
      <c r="A834" t="inlineStr">
        <is>
          <t>2026-03-16</t>
        </is>
      </c>
      <c r="B834" t="inlineStr">
        <is>
          <t>General Chem 26</t>
        </is>
      </c>
      <c r="C834" t="inlineStr">
        <is>
          <t>00205305426031601</t>
        </is>
      </c>
      <c r="D834" t="inlineStr">
        <is>
          <t>AST</t>
        </is>
      </c>
      <c r="F834" t="n">
        <v>15</v>
      </c>
      <c r="G834" t="n">
        <v>44</v>
      </c>
      <c r="H834" t="n">
        <v>704</v>
      </c>
      <c r="I834" t="n">
        <v>-616</v>
      </c>
      <c r="J834" t="n">
        <v>39.35597890643942</v>
      </c>
      <c r="K834" t="n">
        <v>40.18979284939207</v>
      </c>
      <c r="L834" t="n">
        <v>39.70211086601973</v>
      </c>
      <c r="M834" t="n">
        <v>43.20230808305531</v>
      </c>
      <c r="N834" t="n">
        <v>41.36627893033845</v>
      </c>
      <c r="O834" t="n">
        <v>39.38495029170134</v>
      </c>
      <c r="P834" t="n">
        <v>40.14488506855425</v>
      </c>
      <c r="Q834" t="n">
        <v>40.39243227706286</v>
      </c>
      <c r="BH834" t="n">
        <v>40.467</v>
      </c>
      <c r="BS834" t="n">
        <v>-8.029999999999999</v>
      </c>
      <c r="CD834" t="n">
        <v>2.96</v>
      </c>
      <c r="CF834" t="n">
        <v>15</v>
      </c>
      <c r="CG834" t="n">
        <v>221</v>
      </c>
      <c r="CH834" t="n">
        <v>3536</v>
      </c>
      <c r="CI834" t="n">
        <v>-3094</v>
      </c>
      <c r="CJ834" t="n">
        <v>202.904025103081</v>
      </c>
      <c r="CK834" t="n">
        <v>202.7215262322421</v>
      </c>
      <c r="CL834" t="n">
        <v>205.05964401387</v>
      </c>
      <c r="CM834" t="n">
        <v>201.7906894414162</v>
      </c>
      <c r="CN834" t="n">
        <v>207.7783943746632</v>
      </c>
      <c r="CO834" t="n">
        <v>207.2518839585598</v>
      </c>
      <c r="CP834" t="n">
        <v>206.5652126230874</v>
      </c>
      <c r="CQ834" t="n">
        <v>202.8928225909546</v>
      </c>
      <c r="EH834" t="n">
        <v>204.621</v>
      </c>
      <c r="ES834" t="n">
        <v>-7.41</v>
      </c>
      <c r="FD834" t="n">
        <v>1.07</v>
      </c>
      <c r="FF834" t="n">
        <v>15</v>
      </c>
      <c r="FG834" t="n">
        <v>45</v>
      </c>
      <c r="FH834" t="n">
        <v>720</v>
      </c>
      <c r="FI834" t="n">
        <v>-630</v>
      </c>
      <c r="FJ834" t="n">
        <v>45.03869846222657</v>
      </c>
      <c r="FK834" t="n">
        <v>41.74188100116863</v>
      </c>
      <c r="FL834" t="n">
        <v>42.21692389218249</v>
      </c>
      <c r="FM834" t="n">
        <v>40.78785130039871</v>
      </c>
      <c r="FN834" t="n">
        <v>43.22622875836629</v>
      </c>
      <c r="FO834" t="n">
        <v>41.66367306018844</v>
      </c>
      <c r="FP834" t="n">
        <v>42.53767480366712</v>
      </c>
      <c r="HH834" t="n">
        <v>42.459</v>
      </c>
      <c r="HS834" t="n">
        <v>-5.65</v>
      </c>
      <c r="ID834" t="n">
        <v>2.99</v>
      </c>
      <c r="IF834" t="n">
        <v>15</v>
      </c>
      <c r="IG834" t="n">
        <v>282</v>
      </c>
      <c r="IH834" t="n">
        <v>4512</v>
      </c>
      <c r="II834" t="n">
        <v>-3948</v>
      </c>
      <c r="IJ834" t="n">
        <v>273.9844947910723</v>
      </c>
      <c r="IK834" t="n">
        <v>258.0483247945002</v>
      </c>
      <c r="IL834" t="n">
        <v>257.6533996670073</v>
      </c>
      <c r="IM834" t="n">
        <v>254.4113370423485</v>
      </c>
      <c r="IN834" t="n">
        <v>41.7978963539467</v>
      </c>
      <c r="IO834" t="n">
        <v>255.787194290675</v>
      </c>
      <c r="IP834" t="n">
        <v>257.0563736920713</v>
      </c>
      <c r="IQ834" t="n">
        <v>251.5218927160192</v>
      </c>
      <c r="KH834" t="n">
        <v>231.283</v>
      </c>
      <c r="KS834" t="n">
        <v>-17.98</v>
      </c>
      <c r="LD834" t="n">
        <v>31.08</v>
      </c>
    </row>
    <row r="835">
      <c r="A835" t="inlineStr">
        <is>
          <t>2026-03-16</t>
        </is>
      </c>
      <c r="B835" t="inlineStr">
        <is>
          <t>General Chem 26</t>
        </is>
      </c>
      <c r="C835" t="inlineStr">
        <is>
          <t>00205305426031601</t>
        </is>
      </c>
      <c r="D835" t="inlineStr">
        <is>
          <t>CHOL</t>
        </is>
      </c>
      <c r="F835" t="n">
        <v>10</v>
      </c>
      <c r="G835" t="n">
        <v>228</v>
      </c>
      <c r="H835" t="n">
        <v>2508</v>
      </c>
      <c r="I835" t="n">
        <v>-2052</v>
      </c>
      <c r="J835" t="n">
        <v>228.1240460418342</v>
      </c>
      <c r="K835" t="n">
        <v>228.2230733018896</v>
      </c>
      <c r="L835" t="n">
        <v>211.7102577578214</v>
      </c>
      <c r="M835" t="n">
        <v>225.2098498595229</v>
      </c>
      <c r="N835" t="n">
        <v>227.6730864903037</v>
      </c>
      <c r="O835" t="n">
        <v>222.6001023048191</v>
      </c>
      <c r="P835" t="n">
        <v>216.9565328172518</v>
      </c>
      <c r="Q835" t="n">
        <v>227.1318930695395</v>
      </c>
      <c r="BH835" t="n">
        <v>223.454</v>
      </c>
      <c r="BS835" t="n">
        <v>-1.99</v>
      </c>
      <c r="CD835" t="n">
        <v>2.55</v>
      </c>
      <c r="CF835" t="n">
        <v>10</v>
      </c>
      <c r="CG835" t="n">
        <v>99</v>
      </c>
      <c r="CH835" t="n">
        <v>1089</v>
      </c>
      <c r="CI835" t="n">
        <v>-891</v>
      </c>
      <c r="CJ835" t="n">
        <v>99.37538711217488</v>
      </c>
      <c r="CK835" t="n">
        <v>96.91637301380553</v>
      </c>
      <c r="CL835" t="n">
        <v>96.45382998269061</v>
      </c>
      <c r="CM835" t="n">
        <v>97.43531934730572</v>
      </c>
      <c r="CN835" t="n">
        <v>100.6357493281716</v>
      </c>
      <c r="CO835" t="n">
        <v>99.65529055890417</v>
      </c>
      <c r="CP835" t="n">
        <v>98.36998593287537</v>
      </c>
      <c r="CQ835" t="n">
        <v>98.25049754962164</v>
      </c>
      <c r="EH835" t="n">
        <v>98.387</v>
      </c>
      <c r="ES835" t="n">
        <v>-0.62</v>
      </c>
      <c r="FD835" t="n">
        <v>1.37</v>
      </c>
      <c r="FF835" t="n">
        <v>10</v>
      </c>
      <c r="FG835" t="n">
        <v>115</v>
      </c>
      <c r="FH835" t="n">
        <v>1265</v>
      </c>
      <c r="FI835" t="n">
        <v>-1035</v>
      </c>
      <c r="FJ835" t="n">
        <v>111.7617023110558</v>
      </c>
      <c r="FK835" t="n">
        <v>114.0027887487397</v>
      </c>
      <c r="FL835" t="n">
        <v>111.8975738788122</v>
      </c>
      <c r="FM835" t="n">
        <v>110.5269033029707</v>
      </c>
      <c r="FN835" t="n">
        <v>112.6823692857249</v>
      </c>
      <c r="FO835" t="n">
        <v>113.6377355703958</v>
      </c>
      <c r="FP835" t="n">
        <v>111.2734348943661</v>
      </c>
      <c r="HH835" t="n">
        <v>112.255</v>
      </c>
      <c r="HS835" t="n">
        <v>-2.39</v>
      </c>
      <c r="ID835" t="n">
        <v>1.04</v>
      </c>
      <c r="IF835" t="n">
        <v>10</v>
      </c>
      <c r="IG835" t="n">
        <v>269</v>
      </c>
      <c r="IH835" t="n">
        <v>2959</v>
      </c>
      <c r="II835" t="n">
        <v>-2421</v>
      </c>
      <c r="IJ835" t="n">
        <v>281.2646345112505</v>
      </c>
      <c r="IK835" t="n">
        <v>10.20253306815463</v>
      </c>
      <c r="IL835" t="n">
        <v>261.6063885133611</v>
      </c>
      <c r="IM835" t="n">
        <v>261.6580031215306</v>
      </c>
      <c r="IN835" t="n">
        <v>264.3276965910556</v>
      </c>
      <c r="IO835" t="n">
        <v>114.034315825554</v>
      </c>
      <c r="IP835" t="n">
        <v>258.8182895510772</v>
      </c>
      <c r="IQ835" t="n">
        <v>260.3281247343056</v>
      </c>
      <c r="IR835" t="n">
        <v>256.1057408142476</v>
      </c>
      <c r="KH835" t="n">
        <v>218.705</v>
      </c>
      <c r="KS835" t="n">
        <v>-18.7</v>
      </c>
      <c r="LD835" t="n">
        <v>39.99</v>
      </c>
    </row>
    <row r="836">
      <c r="A836" t="inlineStr">
        <is>
          <t>2026-03-16</t>
        </is>
      </c>
      <c r="B836" t="inlineStr">
        <is>
          <t>General Chem 26</t>
        </is>
      </c>
      <c r="C836" t="inlineStr">
        <is>
          <t>00205305426031601</t>
        </is>
      </c>
      <c r="D836" t="inlineStr">
        <is>
          <t>CK</t>
        </is>
      </c>
      <c r="F836" t="n">
        <v>20</v>
      </c>
      <c r="J836" t="n">
        <v>131.8073338437282</v>
      </c>
      <c r="K836" t="n">
        <v>118.9172073057583</v>
      </c>
      <c r="L836" t="n">
        <v>143.0122894333097</v>
      </c>
      <c r="M836" t="n">
        <v>137.3043234015612</v>
      </c>
      <c r="N836" t="n">
        <v>130.7140986179893</v>
      </c>
      <c r="O836" t="n">
        <v>136.6417627087261</v>
      </c>
      <c r="P836" t="n">
        <v>144.6536210832355</v>
      </c>
      <c r="Q836" t="n">
        <v>141.0602366518269</v>
      </c>
      <c r="BH836" t="n">
        <v>135.514</v>
      </c>
      <c r="CD836" t="n">
        <v>5.76</v>
      </c>
      <c r="CF836" t="n">
        <v>20</v>
      </c>
      <c r="CJ836" t="n">
        <v>466.6575585635644</v>
      </c>
      <c r="CK836" t="n">
        <v>447.8480763320142</v>
      </c>
      <c r="CL836" t="n">
        <v>501.2296830318909</v>
      </c>
      <c r="CM836" t="n">
        <v>485.8729016434721</v>
      </c>
      <c r="CN836" t="n">
        <v>464.0366710501278</v>
      </c>
      <c r="CO836" t="n">
        <v>487.4620562843297</v>
      </c>
      <c r="CP836" t="n">
        <v>497.5796222221102</v>
      </c>
      <c r="CQ836" t="n">
        <v>475.7409688811641</v>
      </c>
      <c r="EH836" t="n">
        <v>478.303</v>
      </c>
      <c r="FD836" t="n">
        <v>3.55</v>
      </c>
      <c r="FF836" t="n">
        <v>20</v>
      </c>
      <c r="FJ836" t="n">
        <v>60.8975855812182</v>
      </c>
      <c r="FK836" t="n">
        <v>68.3804898377484</v>
      </c>
      <c r="FL836" t="n">
        <v>88.65223569871291</v>
      </c>
      <c r="FM836" t="n">
        <v>77.60030044424614</v>
      </c>
      <c r="FN836" t="n">
        <v>81.49952119402732</v>
      </c>
      <c r="FO836" t="n">
        <v>74.69455881956834</v>
      </c>
      <c r="FP836" t="n">
        <v>73.89113843077389</v>
      </c>
      <c r="HH836" t="n">
        <v>75.08799999999999</v>
      </c>
      <c r="ID836" t="n">
        <v>11.02</v>
      </c>
      <c r="IF836" t="n">
        <v>20</v>
      </c>
      <c r="IJ836" t="n">
        <v>633.8008056274641</v>
      </c>
      <c r="IK836" t="n">
        <v>594.975599996709</v>
      </c>
      <c r="IL836" t="n">
        <v>601.9762398175852</v>
      </c>
      <c r="IM836" t="n">
        <v>596.1309435538913</v>
      </c>
      <c r="IN836" t="n">
        <v>579.0078504831947</v>
      </c>
      <c r="IO836" t="n">
        <v>62.69160898754219</v>
      </c>
      <c r="IP836" t="n">
        <v>602.6858616299658</v>
      </c>
      <c r="IQ836" t="n">
        <v>610.1946962175427</v>
      </c>
      <c r="IR836" t="n">
        <v>603.9846975907568</v>
      </c>
      <c r="KH836" t="n">
        <v>542.828</v>
      </c>
      <c r="LD836" t="n">
        <v>31.37</v>
      </c>
    </row>
    <row r="837">
      <c r="A837" t="inlineStr">
        <is>
          <t>2026-03-16</t>
        </is>
      </c>
      <c r="B837" t="inlineStr">
        <is>
          <t>General Chem 26</t>
        </is>
      </c>
      <c r="C837" t="inlineStr">
        <is>
          <t>00205305426031601</t>
        </is>
      </c>
      <c r="D837" t="inlineStr">
        <is>
          <t>Ca</t>
        </is>
      </c>
      <c r="G837" t="n">
        <v>9.1</v>
      </c>
      <c r="J837" t="n">
        <v>9.22998455515194</v>
      </c>
      <c r="K837" t="n">
        <v>9.241844000581628</v>
      </c>
      <c r="L837" t="n">
        <v>9.217044461474172</v>
      </c>
      <c r="M837" t="n">
        <v>8.960484061221255</v>
      </c>
      <c r="N837" t="n">
        <v>9.421903088481342</v>
      </c>
      <c r="O837" t="n">
        <v>9.167145656376549</v>
      </c>
      <c r="P837" t="n">
        <v>9.038170058607358</v>
      </c>
      <c r="Q837" t="n">
        <v>9.116413056099791</v>
      </c>
      <c r="BH837" t="n">
        <v>9.173999999999999</v>
      </c>
      <c r="BS837" t="n">
        <v>0.8100000000000001</v>
      </c>
      <c r="CD837" t="n">
        <v>1.43</v>
      </c>
      <c r="CG837" t="n">
        <v>12.4</v>
      </c>
      <c r="CJ837" t="n">
        <v>12.38155127042791</v>
      </c>
      <c r="CK837" t="n">
        <v>12.1533161275151</v>
      </c>
      <c r="CL837" t="n">
        <v>12.44294238376851</v>
      </c>
      <c r="CM837" t="n">
        <v>12.13843816051968</v>
      </c>
      <c r="CN837" t="n">
        <v>12.70316777520367</v>
      </c>
      <c r="CO837" t="n">
        <v>12.26136084289658</v>
      </c>
      <c r="CP837" t="n">
        <v>12.05950202311503</v>
      </c>
      <c r="CQ837" t="n">
        <v>12.19362153526178</v>
      </c>
      <c r="EH837" t="n">
        <v>12.292</v>
      </c>
      <c r="ES837" t="n">
        <v>-0.87</v>
      </c>
      <c r="FD837" t="n">
        <v>1.59</v>
      </c>
      <c r="FG837" t="n">
        <v>5.9</v>
      </c>
      <c r="FJ837" t="n">
        <v>5.771102068983252</v>
      </c>
      <c r="FK837" t="n">
        <v>5.56955818320135</v>
      </c>
      <c r="FL837" t="n">
        <v>5.488511209143873</v>
      </c>
      <c r="FM837" t="n">
        <v>5.336941982223536</v>
      </c>
      <c r="FN837" t="n">
        <v>5.679107076236001</v>
      </c>
      <c r="FO837" t="n">
        <v>5.295243099751543</v>
      </c>
      <c r="FP837" t="n">
        <v>5.194875178423402</v>
      </c>
      <c r="HH837" t="n">
        <v>5.476</v>
      </c>
      <c r="HS837" t="n">
        <v>-7.18</v>
      </c>
      <c r="ID837" t="n">
        <v>3.57</v>
      </c>
      <c r="IG837" t="n">
        <v>12.7</v>
      </c>
      <c r="IJ837" t="n">
        <v>12.71337373450378</v>
      </c>
      <c r="IK837" t="n">
        <v>-5.342894111140242</v>
      </c>
      <c r="IL837" t="n">
        <v>12.18946552878496</v>
      </c>
      <c r="IM837" t="n">
        <v>12.21703786428744</v>
      </c>
      <c r="IN837" t="n">
        <v>12.3147913737405</v>
      </c>
      <c r="IO837" t="n">
        <v>5.508105666245859</v>
      </c>
      <c r="IP837" t="n">
        <v>12.44344198421127</v>
      </c>
      <c r="IQ837" t="n">
        <v>11.94738433966853</v>
      </c>
      <c r="IR837" t="n">
        <v>11.96396330662751</v>
      </c>
      <c r="KH837" t="n">
        <v>9.551</v>
      </c>
      <c r="KS837" t="n">
        <v>-24.8</v>
      </c>
      <c r="LD837" t="n">
        <v>59.42</v>
      </c>
    </row>
    <row r="838">
      <c r="A838" t="inlineStr">
        <is>
          <t>2026-03-16</t>
        </is>
      </c>
      <c r="B838" t="inlineStr">
        <is>
          <t>General Chem 26</t>
        </is>
      </c>
      <c r="C838" t="inlineStr">
        <is>
          <t>00205305426031601</t>
        </is>
      </c>
      <c r="D838" t="inlineStr">
        <is>
          <t>GGT</t>
        </is>
      </c>
      <c r="F838" t="n">
        <v>15</v>
      </c>
      <c r="G838" t="n">
        <v>57</v>
      </c>
      <c r="H838" t="n">
        <v>912</v>
      </c>
      <c r="I838" t="n">
        <v>-798</v>
      </c>
      <c r="J838" t="n">
        <v>53.86523835427238</v>
      </c>
      <c r="K838" t="n">
        <v>55.41854792863112</v>
      </c>
      <c r="L838" t="n">
        <v>55.04677632010949</v>
      </c>
      <c r="M838" t="n">
        <v>54.94793257135461</v>
      </c>
      <c r="N838" t="n">
        <v>55.86142227662362</v>
      </c>
      <c r="O838" t="n">
        <v>53.87428538666816</v>
      </c>
      <c r="P838" t="n">
        <v>54.24757727890324</v>
      </c>
      <c r="Q838" t="n">
        <v>56.96192543962577</v>
      </c>
      <c r="BH838" t="n">
        <v>55.028</v>
      </c>
      <c r="BS838" t="n">
        <v>-3.46</v>
      </c>
      <c r="CD838" t="n">
        <v>1.8</v>
      </c>
      <c r="CF838" t="n">
        <v>15</v>
      </c>
      <c r="CG838" t="n">
        <v>164</v>
      </c>
      <c r="CH838" t="n">
        <v>2624</v>
      </c>
      <c r="CI838" t="n">
        <v>-2296</v>
      </c>
      <c r="CJ838" t="n">
        <v>161.3572003152151</v>
      </c>
      <c r="CK838" t="n">
        <v>156.631318889883</v>
      </c>
      <c r="CL838" t="n">
        <v>161.0629421437344</v>
      </c>
      <c r="CM838" t="n">
        <v>156.1086877934179</v>
      </c>
      <c r="CN838" t="n">
        <v>161.2772893645796</v>
      </c>
      <c r="CO838" t="n">
        <v>161.7693729263569</v>
      </c>
      <c r="CP838" t="n">
        <v>158.6803923413183</v>
      </c>
      <c r="CQ838" t="n">
        <v>157.3385546532671</v>
      </c>
      <c r="EH838" t="n">
        <v>159.278</v>
      </c>
      <c r="ES838" t="n">
        <v>-2.88</v>
      </c>
      <c r="FD838" t="n">
        <v>1.38</v>
      </c>
      <c r="FF838" t="n">
        <v>15</v>
      </c>
      <c r="FG838" t="n">
        <v>23</v>
      </c>
      <c r="FH838" t="n">
        <v>368</v>
      </c>
      <c r="FI838" t="n">
        <v>-322</v>
      </c>
      <c r="FJ838" t="n">
        <v>23.16135541712034</v>
      </c>
      <c r="FK838" t="n">
        <v>23.38381273560017</v>
      </c>
      <c r="FL838" t="n">
        <v>22.997793776714</v>
      </c>
      <c r="FM838" t="n">
        <v>21.25652838312226</v>
      </c>
      <c r="FN838" t="n">
        <v>23.03334139112023</v>
      </c>
      <c r="FO838" t="n">
        <v>21.6213097911857</v>
      </c>
      <c r="FP838" t="n">
        <v>21.95068663882817</v>
      </c>
      <c r="HH838" t="n">
        <v>22.486</v>
      </c>
      <c r="HS838" t="n">
        <v>-2.23</v>
      </c>
      <c r="ID838" t="n">
        <v>3.51</v>
      </c>
      <c r="IF838" t="n">
        <v>15</v>
      </c>
      <c r="IG838" t="n">
        <v>126</v>
      </c>
      <c r="IH838" t="n">
        <v>2016</v>
      </c>
      <c r="II838" t="n">
        <v>-1764</v>
      </c>
      <c r="IJ838" t="n">
        <v>135.1356665005585</v>
      </c>
      <c r="IK838" t="n">
        <v>-7.097524007742191</v>
      </c>
      <c r="IL838" t="n">
        <v>124.615823958261</v>
      </c>
      <c r="IM838" t="n">
        <v>122.232169566289</v>
      </c>
      <c r="IN838" t="n">
        <v>123.978005855412</v>
      </c>
      <c r="IO838" t="n">
        <v>23.70367827253614</v>
      </c>
      <c r="IP838" t="n">
        <v>124.991182393908</v>
      </c>
      <c r="IQ838" t="n">
        <v>122.9947393551963</v>
      </c>
      <c r="IR838" t="n">
        <v>119.3194715212077</v>
      </c>
      <c r="KH838" t="n">
        <v>98.875</v>
      </c>
      <c r="KS838" t="n">
        <v>-21.53</v>
      </c>
      <c r="LD838" t="n">
        <v>49.68</v>
      </c>
    </row>
    <row r="839">
      <c r="A839" t="inlineStr">
        <is>
          <t>2026-03-16</t>
        </is>
      </c>
      <c r="B839" t="inlineStr">
        <is>
          <t>General Chem 26</t>
        </is>
      </c>
      <c r="C839" t="inlineStr">
        <is>
          <t>00205305426031601</t>
        </is>
      </c>
      <c r="D839" t="inlineStr">
        <is>
          <t>PHOS</t>
        </is>
      </c>
      <c r="F839" t="n">
        <v>10</v>
      </c>
      <c r="G839" t="n">
        <v>3.3</v>
      </c>
      <c r="H839" t="n">
        <v>36.3</v>
      </c>
      <c r="I839" t="n">
        <v>-29.7</v>
      </c>
      <c r="J839" t="n">
        <v>2.918351786933506</v>
      </c>
      <c r="K839" t="n">
        <v>2.939197393436479</v>
      </c>
      <c r="L839" t="n">
        <v>2.951498770999127</v>
      </c>
      <c r="M839" t="n">
        <v>3.012842269691873</v>
      </c>
      <c r="N839" t="n">
        <v>2.93160796097668</v>
      </c>
      <c r="O839" t="n">
        <v>2.897254225247235</v>
      </c>
      <c r="P839" t="n">
        <v>3.007811154161689</v>
      </c>
      <c r="Q839" t="n">
        <v>3.086720698408687</v>
      </c>
      <c r="BH839" t="n">
        <v>2.968</v>
      </c>
      <c r="BS839" t="n">
        <v>-10.06</v>
      </c>
      <c r="CD839" t="n">
        <v>1.98</v>
      </c>
      <c r="CF839" t="n">
        <v>10</v>
      </c>
      <c r="CG839" t="n">
        <v>7.2</v>
      </c>
      <c r="CH839" t="n">
        <v>79.2</v>
      </c>
      <c r="CI839" t="n">
        <v>-64.8</v>
      </c>
      <c r="CJ839" t="n">
        <v>6.621504230161402</v>
      </c>
      <c r="CK839" t="n">
        <v>6.612260710107118</v>
      </c>
      <c r="CL839" t="n">
        <v>6.85105264102984</v>
      </c>
      <c r="CM839" t="n">
        <v>6.61623113169308</v>
      </c>
      <c r="CN839" t="n">
        <v>6.689483046654665</v>
      </c>
      <c r="CO839" t="n">
        <v>6.731534300338208</v>
      </c>
      <c r="CP839" t="n">
        <v>6.610658721029501</v>
      </c>
      <c r="CQ839" t="n">
        <v>6.701729295855726</v>
      </c>
      <c r="EH839" t="n">
        <v>6.679</v>
      </c>
      <c r="ES839" t="n">
        <v>-7.23</v>
      </c>
      <c r="FD839" t="n">
        <v>1.18</v>
      </c>
      <c r="FF839" t="n">
        <v>10</v>
      </c>
      <c r="FG839" t="n">
        <v>1.9</v>
      </c>
      <c r="FH839" t="n">
        <v>20.9</v>
      </c>
      <c r="FI839" t="n">
        <v>-17.1</v>
      </c>
      <c r="FJ839" t="n">
        <v>1.801387727060335</v>
      </c>
      <c r="FK839" t="n">
        <v>1.821795760527194</v>
      </c>
      <c r="FL839" t="n">
        <v>1.847674542889888</v>
      </c>
      <c r="FM839" t="n">
        <v>1.834824141703708</v>
      </c>
      <c r="FN839" t="n">
        <v>1.812684973673992</v>
      </c>
      <c r="FO839" t="n">
        <v>1.795237952124369</v>
      </c>
      <c r="FP839" t="n">
        <v>1.793122744892094</v>
      </c>
      <c r="HH839" t="n">
        <v>1.815</v>
      </c>
      <c r="HS839" t="n">
        <v>-4.46</v>
      </c>
      <c r="ID839" t="n">
        <v>1.05</v>
      </c>
      <c r="IF839" t="n">
        <v>10</v>
      </c>
      <c r="IG839" t="n">
        <v>7.2</v>
      </c>
      <c r="IH839" t="n">
        <v>79.2</v>
      </c>
      <c r="II839" t="n">
        <v>-64.8</v>
      </c>
      <c r="IJ839" t="n">
        <v>7.201577192374911</v>
      </c>
      <c r="IK839" t="n">
        <v>-0.1665743113444922</v>
      </c>
      <c r="IL839" t="n">
        <v>6.874604726173506</v>
      </c>
      <c r="IM839" t="n">
        <v>6.745610345044131</v>
      </c>
      <c r="IN839" t="n">
        <v>6.593577314861164</v>
      </c>
      <c r="IO839" t="n">
        <v>1.778180587249379</v>
      </c>
      <c r="IP839" t="n">
        <v>6.80171944846423</v>
      </c>
      <c r="IQ839" t="n">
        <v>6.717745785550736</v>
      </c>
      <c r="IR839" t="n">
        <v>6.828117319803089</v>
      </c>
      <c r="KH839" t="n">
        <v>5.486</v>
      </c>
      <c r="KS839" t="n">
        <v>-23.8</v>
      </c>
      <c r="LD839" t="n">
        <v>46.45</v>
      </c>
    </row>
    <row r="840">
      <c r="A840" t="inlineStr">
        <is>
          <t>2026-03-16</t>
        </is>
      </c>
      <c r="B840" t="inlineStr">
        <is>
          <t>General Chem 26</t>
        </is>
      </c>
      <c r="C840" t="inlineStr">
        <is>
          <t>00205305426031601</t>
        </is>
      </c>
      <c r="D840" t="inlineStr">
        <is>
          <t>TBIL</t>
        </is>
      </c>
      <c r="F840" t="n">
        <v>20</v>
      </c>
      <c r="G840" t="n">
        <v>1.1</v>
      </c>
      <c r="H840" t="n">
        <v>23.1</v>
      </c>
      <c r="I840" t="n">
        <v>-20.9</v>
      </c>
      <c r="J840" t="n">
        <v>1.122414780255748</v>
      </c>
      <c r="K840" t="n">
        <v>1.149157808144486</v>
      </c>
      <c r="L840" t="n">
        <v>1.135562228200881</v>
      </c>
      <c r="M840" t="n">
        <v>1.129789463674531</v>
      </c>
      <c r="N840" t="n">
        <v>1.216906360327779</v>
      </c>
      <c r="O840" t="n">
        <v>1.169929866276103</v>
      </c>
      <c r="P840" t="n">
        <v>1.209162232375718</v>
      </c>
      <c r="Q840" t="n">
        <v>1.185091714755682</v>
      </c>
      <c r="BH840" t="n">
        <v>1.165</v>
      </c>
      <c r="BS840" t="n">
        <v>5.89</v>
      </c>
      <c r="CD840" t="n">
        <v>2.92</v>
      </c>
      <c r="CF840" t="n">
        <v>20</v>
      </c>
      <c r="CG840" t="n">
        <v>5.1</v>
      </c>
      <c r="CH840" t="n">
        <v>107.1</v>
      </c>
      <c r="CI840" t="n">
        <v>-96.89999999999999</v>
      </c>
      <c r="CJ840" t="n">
        <v>5.127143566264036</v>
      </c>
      <c r="CK840" t="n">
        <v>5.104617241706063</v>
      </c>
      <c r="CL840" t="n">
        <v>5.183135978044812</v>
      </c>
      <c r="CM840" t="n">
        <v>5.126436163646084</v>
      </c>
      <c r="CN840" t="n">
        <v>5.19296484051545</v>
      </c>
      <c r="CO840" t="n">
        <v>5.160150139059035</v>
      </c>
      <c r="CP840" t="n">
        <v>5.091033584263513</v>
      </c>
      <c r="CQ840" t="n">
        <v>5.058783577480019</v>
      </c>
      <c r="EH840" t="n">
        <v>5.131</v>
      </c>
      <c r="ES840" t="n">
        <v>0.6</v>
      </c>
      <c r="FD840" t="n">
        <v>0.84</v>
      </c>
      <c r="FF840" t="n">
        <v>20</v>
      </c>
      <c r="FG840" t="n">
        <v>0.8</v>
      </c>
      <c r="FH840" t="n">
        <v>16.8</v>
      </c>
      <c r="FI840" t="n">
        <v>-15.2</v>
      </c>
      <c r="FJ840" t="n">
        <v>0.5854481239178746</v>
      </c>
      <c r="FK840" t="n">
        <v>0.5848812485134731</v>
      </c>
      <c r="FL840" t="n">
        <v>0.650877223630876</v>
      </c>
      <c r="FM840" t="n">
        <v>0.5705397254709244</v>
      </c>
      <c r="FN840" t="n">
        <v>0.5683276115664251</v>
      </c>
      <c r="FO840" t="n">
        <v>0.5638302088267508</v>
      </c>
      <c r="FP840" t="n">
        <v>0.628232165859762</v>
      </c>
      <c r="HH840" t="n">
        <v>0.593</v>
      </c>
      <c r="HS840" t="n">
        <v>-25.85</v>
      </c>
      <c r="ID840" t="n">
        <v>5.21</v>
      </c>
      <c r="IF840" t="n">
        <v>20</v>
      </c>
      <c r="IG840" t="n">
        <v>8.4</v>
      </c>
      <c r="IH840" t="n">
        <v>176.4</v>
      </c>
      <c r="II840" t="n">
        <v>-159.6</v>
      </c>
      <c r="IJ840" t="n">
        <v>8.790172471908654</v>
      </c>
      <c r="IK840" t="n">
        <v>-0.0588159720441892</v>
      </c>
      <c r="IL840" t="n">
        <v>8.136802032298654</v>
      </c>
      <c r="IM840" t="n">
        <v>8.206851704959867</v>
      </c>
      <c r="IN840" t="n">
        <v>8.231541304512128</v>
      </c>
      <c r="IO840" t="n">
        <v>0.5841822519945401</v>
      </c>
      <c r="IP840" t="n">
        <v>8.225323485760075</v>
      </c>
      <c r="IQ840" t="n">
        <v>8.192340268307444</v>
      </c>
      <c r="IR840" t="n">
        <v>8.147115541550857</v>
      </c>
      <c r="KH840" t="n">
        <v>6.495</v>
      </c>
      <c r="KS840" t="n">
        <v>-22.68</v>
      </c>
      <c r="LD840" t="n">
        <v>51.42</v>
      </c>
    </row>
    <row r="841">
      <c r="A841" t="inlineStr">
        <is>
          <t>2026-03-16</t>
        </is>
      </c>
      <c r="B841" t="inlineStr">
        <is>
          <t>General Chem 26</t>
        </is>
      </c>
      <c r="C841" t="inlineStr">
        <is>
          <t>00105305426031601</t>
        </is>
      </c>
      <c r="D841" t="inlineStr">
        <is>
          <t>ALB</t>
        </is>
      </c>
      <c r="F841" t="n">
        <v>8</v>
      </c>
      <c r="G841" t="n">
        <v>4.2</v>
      </c>
      <c r="H841" t="n">
        <v>37.8</v>
      </c>
      <c r="I841" t="n">
        <v>-29.4</v>
      </c>
      <c r="J841" t="n">
        <v>4.894595532219085</v>
      </c>
      <c r="K841" t="n">
        <v>4.92903136505701</v>
      </c>
      <c r="L841" t="n">
        <v>-0.1889870794700752</v>
      </c>
      <c r="M841" t="n">
        <v>4.917498421940087</v>
      </c>
      <c r="N841" t="n">
        <v>4.921691443027806</v>
      </c>
      <c r="O841" t="n">
        <v>4.920108396592156</v>
      </c>
      <c r="P841" t="n">
        <v>5.011307383523293</v>
      </c>
      <c r="Q841" t="n">
        <v>5.015426380239171</v>
      </c>
      <c r="BH841" t="n">
        <v>4.303</v>
      </c>
      <c r="BS841" t="n">
        <v>2.44</v>
      </c>
      <c r="CD841" t="n">
        <v>39.47</v>
      </c>
      <c r="CF841" t="n">
        <v>8</v>
      </c>
      <c r="CG841" t="n">
        <v>2.7</v>
      </c>
      <c r="CH841" t="n">
        <v>24.3</v>
      </c>
      <c r="CI841" t="n">
        <v>-18.9</v>
      </c>
      <c r="CJ841" t="n">
        <v>3.4916577688393</v>
      </c>
      <c r="CK841" t="n">
        <v>3.44138926344641</v>
      </c>
      <c r="CL841" t="n">
        <v>3.502417665713741</v>
      </c>
      <c r="CM841" t="n">
        <v>3.448875965869444</v>
      </c>
      <c r="CN841" t="n">
        <v>3.50493416949231</v>
      </c>
      <c r="CO841" t="n">
        <v>3.490613846524393</v>
      </c>
      <c r="CP841" t="n">
        <v>3.545290600809093</v>
      </c>
      <c r="CQ841" t="n">
        <v>3.455721696650766</v>
      </c>
      <c r="EH841" t="n">
        <v>3.485</v>
      </c>
      <c r="ES841" t="n">
        <v>29.08</v>
      </c>
      <c r="FD841" t="n">
        <v>0.93</v>
      </c>
      <c r="FF841" t="n">
        <v>8</v>
      </c>
      <c r="FG841" t="n">
        <v>2.6</v>
      </c>
      <c r="FH841" t="n">
        <v>23.4</v>
      </c>
      <c r="FI841" t="n">
        <v>-18.2</v>
      </c>
      <c r="FJ841" t="n">
        <v>3.27826353689446</v>
      </c>
      <c r="FK841" t="n">
        <v>3.291890637571051</v>
      </c>
      <c r="FL841" t="n">
        <v>3.296040825954817</v>
      </c>
      <c r="FM841" t="n">
        <v>3.2631794249382</v>
      </c>
      <c r="FN841" t="n">
        <v>3.246875954116199</v>
      </c>
      <c r="FO841" t="n">
        <v>3.355628588781918</v>
      </c>
      <c r="FP841" t="n">
        <v>3.425184669822857</v>
      </c>
      <c r="HH841" t="n">
        <v>3.308</v>
      </c>
      <c r="HS841" t="n">
        <v>27.24</v>
      </c>
      <c r="ID841" t="n">
        <v>1.73</v>
      </c>
      <c r="IF841" t="n">
        <v>8</v>
      </c>
      <c r="IG841" t="n">
        <v>4.2</v>
      </c>
      <c r="IH841" t="n">
        <v>37.8</v>
      </c>
      <c r="II841" t="n">
        <v>-29.4</v>
      </c>
      <c r="IJ841" t="n">
        <v>4.870317893855906</v>
      </c>
      <c r="IK841" t="n">
        <v>4.937437728262001</v>
      </c>
      <c r="IL841" t="n">
        <v>5.071624918179779</v>
      </c>
      <c r="IM841" t="n">
        <v>4.97103320855194</v>
      </c>
      <c r="IN841" t="n">
        <v>4.996002246600658</v>
      </c>
      <c r="IO841" t="n">
        <v>3.316721453652834</v>
      </c>
      <c r="IP841" t="n">
        <v>4.612791599940134</v>
      </c>
      <c r="IQ841" t="n">
        <v>5.041366501990524</v>
      </c>
      <c r="IR841" t="n">
        <v>4.982416006382694</v>
      </c>
      <c r="KH841" t="n">
        <v>4.756</v>
      </c>
      <c r="KS841" t="n">
        <v>13.23</v>
      </c>
      <c r="LD841" t="n">
        <v>11.03</v>
      </c>
    </row>
    <row r="842">
      <c r="A842" t="inlineStr">
        <is>
          <t>2026-03-16</t>
        </is>
      </c>
      <c r="B842" t="inlineStr">
        <is>
          <t>General Chem 26</t>
        </is>
      </c>
      <c r="C842" t="inlineStr">
        <is>
          <t>00105305426031601</t>
        </is>
      </c>
      <c r="D842" t="inlineStr">
        <is>
          <t>ALP</t>
        </is>
      </c>
      <c r="F842" t="n">
        <v>20</v>
      </c>
      <c r="G842" t="n">
        <v>136</v>
      </c>
      <c r="H842" t="n">
        <v>2856</v>
      </c>
      <c r="I842" t="n">
        <v>-2584</v>
      </c>
      <c r="J842" t="n">
        <v>143.0734481491317</v>
      </c>
      <c r="K842" t="n">
        <v>143.4158732926247</v>
      </c>
      <c r="L842" t="n">
        <v>62.36299868983355</v>
      </c>
      <c r="M842" t="n">
        <v>142.8845251471826</v>
      </c>
      <c r="N842" t="n">
        <v>139.9829174416864</v>
      </c>
      <c r="O842" t="n">
        <v>142.4264738819263</v>
      </c>
      <c r="P842" t="n">
        <v>143.135663903868</v>
      </c>
      <c r="Q842" t="n">
        <v>142.1987071732797</v>
      </c>
      <c r="BH842" t="n">
        <v>132.435</v>
      </c>
      <c r="BS842" t="n">
        <v>-2.62</v>
      </c>
      <c r="CD842" t="n">
        <v>20.01</v>
      </c>
      <c r="CF842" t="n">
        <v>20</v>
      </c>
      <c r="CG842" t="n">
        <v>456</v>
      </c>
      <c r="CH842" t="n">
        <v>9576</v>
      </c>
      <c r="CI842" t="n">
        <v>-8664</v>
      </c>
      <c r="CJ842" t="n">
        <v>437.6647655784847</v>
      </c>
      <c r="CK842" t="n">
        <v>440.4753050850055</v>
      </c>
      <c r="CL842" t="n">
        <v>444.495475672919</v>
      </c>
      <c r="CM842" t="n">
        <v>435.1555461881409</v>
      </c>
      <c r="CN842" t="n">
        <v>439.4278590393629</v>
      </c>
      <c r="CO842" t="n">
        <v>443.3183430979255</v>
      </c>
      <c r="CP842" t="n">
        <v>440.0133349753267</v>
      </c>
      <c r="CQ842" t="n">
        <v>445.4285231170749</v>
      </c>
      <c r="EH842" t="n">
        <v>440.747</v>
      </c>
      <c r="ES842" t="n">
        <v>-3.34</v>
      </c>
      <c r="FD842" t="n">
        <v>0.74</v>
      </c>
      <c r="FF842" t="n">
        <v>20</v>
      </c>
      <c r="FG842" t="n">
        <v>75</v>
      </c>
      <c r="FH842" t="n">
        <v>1575</v>
      </c>
      <c r="FI842" t="n">
        <v>-1425</v>
      </c>
      <c r="FJ842" t="n">
        <v>78.2273594137298</v>
      </c>
      <c r="FK842" t="n">
        <v>78.03967470744045</v>
      </c>
      <c r="FL842" t="n">
        <v>78.43666051597447</v>
      </c>
      <c r="FM842" t="n">
        <v>78.22901727415444</v>
      </c>
      <c r="FN842" t="n">
        <v>77.35497063608675</v>
      </c>
      <c r="FO842" t="n">
        <v>78.45018159854666</v>
      </c>
      <c r="FP842" t="n">
        <v>78.79009882233998</v>
      </c>
      <c r="HH842" t="n">
        <v>78.218</v>
      </c>
      <c r="HS842" t="n">
        <v>4.29</v>
      </c>
      <c r="ID842" t="n">
        <v>0.53</v>
      </c>
      <c r="IF842" t="n">
        <v>20</v>
      </c>
      <c r="IG842" t="n">
        <v>251</v>
      </c>
      <c r="IH842" t="n">
        <v>5271</v>
      </c>
      <c r="II842" t="n">
        <v>-4769</v>
      </c>
      <c r="IJ842" t="n">
        <v>216.7114239496647</v>
      </c>
      <c r="IK842" t="n">
        <v>220.0009033514914</v>
      </c>
      <c r="IL842" t="n">
        <v>219.7436744269147</v>
      </c>
      <c r="IM842" t="n">
        <v>218.2359274898803</v>
      </c>
      <c r="IN842" t="n">
        <v>218.1204988130102</v>
      </c>
      <c r="IO842" t="n">
        <v>78.15056233097069</v>
      </c>
      <c r="IP842" t="n">
        <v>219.5623460484805</v>
      </c>
      <c r="IQ842" t="n">
        <v>219.3141994037885</v>
      </c>
      <c r="IR842" t="n">
        <v>218.7612407880763</v>
      </c>
      <c r="KH842" t="n">
        <v>203.178</v>
      </c>
      <c r="KS842" t="n">
        <v>-19.05</v>
      </c>
      <c r="LD842" t="n">
        <v>21.76</v>
      </c>
    </row>
    <row r="843">
      <c r="A843" t="inlineStr">
        <is>
          <t>2026-03-16</t>
        </is>
      </c>
      <c r="B843" t="inlineStr">
        <is>
          <t>General Chem 26</t>
        </is>
      </c>
      <c r="C843" t="inlineStr">
        <is>
          <t>00105305426031601</t>
        </is>
      </c>
      <c r="D843" t="inlineStr">
        <is>
          <t>ALT</t>
        </is>
      </c>
      <c r="F843" t="n">
        <v>15</v>
      </c>
      <c r="G843" t="n">
        <v>28</v>
      </c>
      <c r="H843" t="n">
        <v>448</v>
      </c>
      <c r="I843" t="n">
        <v>-392</v>
      </c>
      <c r="J843" t="n">
        <v>25.65194791435833</v>
      </c>
      <c r="K843" t="n">
        <v>29.17460586269365</v>
      </c>
      <c r="L843" t="n">
        <v>-11.96984085782849</v>
      </c>
      <c r="M843" t="n">
        <v>27.65389696258647</v>
      </c>
      <c r="N843" t="n">
        <v>27.12595444745243</v>
      </c>
      <c r="O843" t="n">
        <v>30.55116804446563</v>
      </c>
      <c r="P843" t="n">
        <v>24.48601750845832</v>
      </c>
      <c r="BH843" t="n">
        <v>21.811</v>
      </c>
      <c r="BS843" t="n">
        <v>-22.11</v>
      </c>
      <c r="CD843" t="n">
        <v>63.82</v>
      </c>
      <c r="CF843" t="n">
        <v>15</v>
      </c>
      <c r="CG843" t="n">
        <v>115</v>
      </c>
      <c r="CH843" t="n">
        <v>1840</v>
      </c>
      <c r="CI843" t="n">
        <v>-1610</v>
      </c>
      <c r="CJ843" t="n">
        <v>118.0135822336578</v>
      </c>
      <c r="CK843" t="n">
        <v>119.7117091692867</v>
      </c>
      <c r="CL843" t="n">
        <v>119.9141248829671</v>
      </c>
      <c r="CM843" t="n">
        <v>118.4034430386281</v>
      </c>
      <c r="CN843" t="n">
        <v>124.1023178385126</v>
      </c>
      <c r="CO843" t="n">
        <v>115.8242738338655</v>
      </c>
      <c r="CP843" t="n">
        <v>118.8867192758242</v>
      </c>
      <c r="CQ843" t="n">
        <v>116.4057012289771</v>
      </c>
      <c r="EH843" t="n">
        <v>118.908</v>
      </c>
      <c r="ES843" t="n">
        <v>3.4</v>
      </c>
      <c r="FD843" t="n">
        <v>2</v>
      </c>
      <c r="FF843" t="n">
        <v>15</v>
      </c>
      <c r="FG843" t="n">
        <v>26</v>
      </c>
      <c r="FH843" t="n">
        <v>416</v>
      </c>
      <c r="FI843" t="n">
        <v>-364</v>
      </c>
      <c r="FJ843" t="n">
        <v>22.95952353837329</v>
      </c>
      <c r="FK843" t="n">
        <v>27.61853445111154</v>
      </c>
      <c r="FL843" t="n">
        <v>21.52031364002535</v>
      </c>
      <c r="FM843" t="n">
        <v>-12.50916373170213</v>
      </c>
      <c r="FN843" t="n">
        <v>20.52453408798792</v>
      </c>
      <c r="FO843" t="n">
        <v>21.17902023285198</v>
      </c>
      <c r="FP843" t="n">
        <v>20.04953536171184</v>
      </c>
      <c r="HH843" t="n">
        <v>17.335</v>
      </c>
      <c r="HS843" t="n">
        <v>-33.33</v>
      </c>
      <c r="ID843" t="n">
        <v>71.59</v>
      </c>
      <c r="IF843" t="n">
        <v>15</v>
      </c>
      <c r="IG843" t="n">
        <v>217</v>
      </c>
      <c r="IH843" t="n">
        <v>3472</v>
      </c>
      <c r="II843" t="n">
        <v>-3038</v>
      </c>
      <c r="IJ843" t="n">
        <v>201.9651368498281</v>
      </c>
      <c r="IK843" t="n">
        <v>206.7325898225552</v>
      </c>
      <c r="IL843" t="n">
        <v>213.0461522600326</v>
      </c>
      <c r="IM843" t="n">
        <v>211.7092651410174</v>
      </c>
      <c r="IN843" t="n">
        <v>212.6555482738616</v>
      </c>
      <c r="IO843" t="n">
        <v>25.92405097934819</v>
      </c>
      <c r="IP843" t="n">
        <v>206.5955481948938</v>
      </c>
      <c r="IQ843" t="n">
        <v>206.952440891118</v>
      </c>
      <c r="IR843" t="n">
        <v>207.698208198149</v>
      </c>
      <c r="KH843" t="n">
        <v>188.142</v>
      </c>
      <c r="KS843" t="n">
        <v>-13.3</v>
      </c>
      <c r="LD843" t="n">
        <v>30.54</v>
      </c>
    </row>
    <row r="844">
      <c r="A844" t="inlineStr">
        <is>
          <t>2026-03-16</t>
        </is>
      </c>
      <c r="B844" t="inlineStr">
        <is>
          <t>General Chem 26</t>
        </is>
      </c>
      <c r="C844" t="inlineStr">
        <is>
          <t>00105305426031601</t>
        </is>
      </c>
      <c r="D844" t="inlineStr">
        <is>
          <t>BUN</t>
        </is>
      </c>
      <c r="F844" t="n">
        <v>9</v>
      </c>
      <c r="G844" t="n">
        <v>14.8</v>
      </c>
      <c r="H844" t="n">
        <v>148</v>
      </c>
      <c r="I844" t="n">
        <v>-118.4</v>
      </c>
      <c r="J844" t="n">
        <v>13.81247387989997</v>
      </c>
      <c r="K844" t="n">
        <v>14.28672961127541</v>
      </c>
      <c r="L844" t="n">
        <v>-1.27007831029703</v>
      </c>
      <c r="M844" t="n">
        <v>14.0851046981645</v>
      </c>
      <c r="N844" t="n">
        <v>14.0447101379379</v>
      </c>
      <c r="O844" t="n">
        <v>14.0237177928796</v>
      </c>
      <c r="P844" t="n">
        <v>14.07727075364932</v>
      </c>
      <c r="Q844" t="n">
        <v>14.20185421803269</v>
      </c>
      <c r="BH844" t="n">
        <v>12.158</v>
      </c>
      <c r="BS844" t="n">
        <v>-17.85</v>
      </c>
      <c r="CD844" t="n">
        <v>41.76</v>
      </c>
      <c r="CF844" t="n">
        <v>9</v>
      </c>
      <c r="CG844" t="n">
        <v>44.7</v>
      </c>
      <c r="CH844" t="n">
        <v>447</v>
      </c>
      <c r="CI844" t="n">
        <v>-357.6</v>
      </c>
      <c r="CJ844" t="n">
        <v>43.57713181455664</v>
      </c>
      <c r="CK844" t="n">
        <v>44.04788715101154</v>
      </c>
      <c r="CL844" t="n">
        <v>44.9817226116278</v>
      </c>
      <c r="CM844" t="n">
        <v>43.84098633649734</v>
      </c>
      <c r="CN844" t="n">
        <v>44.90577427222915</v>
      </c>
      <c r="CO844" t="n">
        <v>44.18523302688396</v>
      </c>
      <c r="CP844" t="n">
        <v>44.68825637700894</v>
      </c>
      <c r="CQ844" t="n">
        <v>45.12160276348133</v>
      </c>
      <c r="EH844" t="n">
        <v>44.419</v>
      </c>
      <c r="ES844" t="n">
        <v>-0.63</v>
      </c>
      <c r="FD844" t="n">
        <v>1.22</v>
      </c>
      <c r="FF844" t="n">
        <v>9</v>
      </c>
      <c r="FG844" t="n">
        <v>14.7</v>
      </c>
      <c r="FH844" t="n">
        <v>147</v>
      </c>
      <c r="FI844" t="n">
        <v>-117.6</v>
      </c>
      <c r="FJ844" t="n">
        <v>14.36820575213033</v>
      </c>
      <c r="FK844" t="n">
        <v>14.24004928111522</v>
      </c>
      <c r="FL844" t="n">
        <v>14.32872092553369</v>
      </c>
      <c r="FM844" t="n">
        <v>14.30489725568279</v>
      </c>
      <c r="FN844" t="n">
        <v>13.94178949412411</v>
      </c>
      <c r="FO844" t="n">
        <v>14.41857619049757</v>
      </c>
      <c r="FP844" t="n">
        <v>14.8437041732047</v>
      </c>
      <c r="HH844" t="n">
        <v>14.349</v>
      </c>
      <c r="HS844" t="n">
        <v>-2.38</v>
      </c>
      <c r="ID844" t="n">
        <v>1.73</v>
      </c>
      <c r="IF844" t="n">
        <v>9</v>
      </c>
      <c r="IG844" t="n">
        <v>65.7</v>
      </c>
      <c r="IH844" t="n">
        <v>657</v>
      </c>
      <c r="II844" t="n">
        <v>-525.6</v>
      </c>
      <c r="IJ844" t="n">
        <v>62.72221049440068</v>
      </c>
      <c r="IK844" t="n">
        <v>64.11944598663048</v>
      </c>
      <c r="IL844" t="n">
        <v>65.60785516991952</v>
      </c>
      <c r="IM844" t="n">
        <v>63.89849249756778</v>
      </c>
      <c r="IN844" t="n">
        <v>63.53374708777171</v>
      </c>
      <c r="IO844" t="n">
        <v>14.40290445963359</v>
      </c>
      <c r="IP844" t="n">
        <v>64.70742800745676</v>
      </c>
      <c r="IQ844" t="n">
        <v>65.36224654009906</v>
      </c>
      <c r="IR844" t="n">
        <v>64.94251450780267</v>
      </c>
      <c r="KH844" t="n">
        <v>58.811</v>
      </c>
      <c r="KS844" t="n">
        <v>-10.49</v>
      </c>
      <c r="LD844" t="n">
        <v>26.74</v>
      </c>
    </row>
    <row r="845">
      <c r="A845" t="inlineStr">
        <is>
          <t>2026-03-16</t>
        </is>
      </c>
      <c r="B845" t="inlineStr">
        <is>
          <t>General Chem 26</t>
        </is>
      </c>
      <c r="C845" t="inlineStr">
        <is>
          <t>00105305426031601</t>
        </is>
      </c>
      <c r="D845" t="inlineStr">
        <is>
          <t>CREA</t>
        </is>
      </c>
      <c r="F845" t="n">
        <v>10</v>
      </c>
      <c r="G845" t="n">
        <v>1.5</v>
      </c>
      <c r="H845" t="n">
        <v>16.5</v>
      </c>
      <c r="I845" t="n">
        <v>-13.5</v>
      </c>
      <c r="J845" t="n">
        <v>1.306414969377812</v>
      </c>
      <c r="K845" t="n">
        <v>1.184978930515484</v>
      </c>
      <c r="L845" t="n">
        <v>0.07993098616008737</v>
      </c>
      <c r="M845" t="n">
        <v>1.206694472294296</v>
      </c>
      <c r="N845" t="n">
        <v>1.155883658366</v>
      </c>
      <c r="O845" t="n">
        <v>1.31186436092365</v>
      </c>
      <c r="P845" t="n">
        <v>1.283964929884843</v>
      </c>
      <c r="Q845" t="n">
        <v>1.299821301324836</v>
      </c>
      <c r="BH845" t="n">
        <v>1.104</v>
      </c>
      <c r="BS845" t="n">
        <v>-26.42</v>
      </c>
      <c r="CD845" t="n">
        <v>35.43</v>
      </c>
      <c r="CF845" t="n">
        <v>10</v>
      </c>
      <c r="CG845" t="n">
        <v>5.55</v>
      </c>
      <c r="CH845" t="n">
        <v>61.05</v>
      </c>
      <c r="CI845" t="n">
        <v>-49.95</v>
      </c>
      <c r="CJ845" t="n">
        <v>4.479264036606758</v>
      </c>
      <c r="CK845" t="n">
        <v>4.349628345061245</v>
      </c>
      <c r="CL845" t="n">
        <v>4.679318120571441</v>
      </c>
      <c r="CM845" t="n">
        <v>4.313152744686572</v>
      </c>
      <c r="CN845" t="n">
        <v>4.431215114137618</v>
      </c>
      <c r="CO845" t="n">
        <v>4.546030146001502</v>
      </c>
      <c r="CP845" t="n">
        <v>4.591717355132809</v>
      </c>
      <c r="CQ845" t="n">
        <v>4.590214511670143</v>
      </c>
      <c r="EH845" t="n">
        <v>4.498</v>
      </c>
      <c r="ES845" t="n">
        <v>-18.96</v>
      </c>
      <c r="FD845" t="n">
        <v>2.65</v>
      </c>
      <c r="FF845" t="n">
        <v>10</v>
      </c>
      <c r="FG845" t="n">
        <v>0.97</v>
      </c>
      <c r="FH845" t="n">
        <v>10.67</v>
      </c>
      <c r="FI845" t="n">
        <v>-8.73</v>
      </c>
      <c r="FJ845" t="n">
        <v>0.6908406446370938</v>
      </c>
      <c r="FK845" t="n">
        <v>0.7051795274103921</v>
      </c>
      <c r="FL845" t="n">
        <v>0.7157330347892067</v>
      </c>
      <c r="FM845" t="n">
        <v>0.6915220257984829</v>
      </c>
      <c r="FN845" t="n">
        <v>0.7001033532870763</v>
      </c>
      <c r="FO845" t="n">
        <v>0.6451825300955163</v>
      </c>
      <c r="FP845" t="n">
        <v>0.7722231953822114</v>
      </c>
      <c r="HH845" t="n">
        <v>0.703</v>
      </c>
      <c r="HS845" t="n">
        <v>-27.53</v>
      </c>
      <c r="ID845" t="n">
        <v>4.98</v>
      </c>
      <c r="IF845" t="n">
        <v>10</v>
      </c>
      <c r="IG845" t="n">
        <v>5.95</v>
      </c>
      <c r="IH845" t="n">
        <v>65.45</v>
      </c>
      <c r="II845" t="n">
        <v>-53.55</v>
      </c>
      <c r="IJ845" t="n">
        <v>5.123158523071925</v>
      </c>
      <c r="IK845" t="n">
        <v>5.03800859046342</v>
      </c>
      <c r="IL845" t="n">
        <v>5.236894749946301</v>
      </c>
      <c r="IM845" t="n">
        <v>4.966180183238095</v>
      </c>
      <c r="IN845" t="n">
        <v>5.163740967617932</v>
      </c>
      <c r="IO845" t="n">
        <v>0.6742907926386138</v>
      </c>
      <c r="IP845" t="n">
        <v>5.108410224922649</v>
      </c>
      <c r="IQ845" t="n">
        <v>5.239799950430552</v>
      </c>
      <c r="IR845" t="n">
        <v>5.056563405033977</v>
      </c>
      <c r="KH845" t="n">
        <v>4.623</v>
      </c>
      <c r="KS845" t="n">
        <v>-22.3</v>
      </c>
      <c r="LD845" t="n">
        <v>30.25</v>
      </c>
    </row>
    <row r="846">
      <c r="A846" t="inlineStr">
        <is>
          <t>2026-03-16</t>
        </is>
      </c>
      <c r="B846" t="inlineStr">
        <is>
          <t>General Chem 26</t>
        </is>
      </c>
      <c r="C846" t="inlineStr">
        <is>
          <t>00105305426031601</t>
        </is>
      </c>
      <c r="D846" t="inlineStr">
        <is>
          <t>GLU</t>
        </is>
      </c>
      <c r="F846" t="n">
        <v>8</v>
      </c>
      <c r="G846" t="n">
        <v>90.16</v>
      </c>
      <c r="H846" t="n">
        <v>811.4399999999999</v>
      </c>
      <c r="I846" t="n">
        <v>-631.12</v>
      </c>
      <c r="J846" t="n">
        <v>91.06348054981137</v>
      </c>
      <c r="K846" t="n">
        <v>92.19882144057505</v>
      </c>
      <c r="L846" t="n">
        <v>7.836878021159791</v>
      </c>
      <c r="M846" t="n">
        <v>91.12429578558366</v>
      </c>
      <c r="N846" t="n">
        <v>90.77104847188215</v>
      </c>
      <c r="O846" t="n">
        <v>91.07036322248803</v>
      </c>
      <c r="P846" t="n">
        <v>91.91961062828301</v>
      </c>
      <c r="Q846" t="n">
        <v>91.29602201806739</v>
      </c>
      <c r="BH846" t="n">
        <v>80.91</v>
      </c>
      <c r="BS846" t="n">
        <v>-10.26</v>
      </c>
      <c r="CD846" t="n">
        <v>34.14</v>
      </c>
      <c r="CF846" t="n">
        <v>8</v>
      </c>
      <c r="CG846" t="n">
        <v>293.02</v>
      </c>
      <c r="CH846" t="n">
        <v>2637.18</v>
      </c>
      <c r="CI846" t="n">
        <v>-2051.14</v>
      </c>
      <c r="CJ846" t="n">
        <v>296.2941293303762</v>
      </c>
      <c r="CK846" t="n">
        <v>298.5834761716857</v>
      </c>
      <c r="CL846" t="n">
        <v>306.7707275391738</v>
      </c>
      <c r="CM846" t="n">
        <v>296.0688517795613</v>
      </c>
      <c r="CN846" t="n">
        <v>304.0459486618008</v>
      </c>
      <c r="CO846" t="n">
        <v>297.8568339981767</v>
      </c>
      <c r="CP846" t="n">
        <v>303.3722518855974</v>
      </c>
      <c r="CQ846" t="n">
        <v>302.3517114642386</v>
      </c>
      <c r="EH846" t="n">
        <v>300.668</v>
      </c>
      <c r="ES846" t="n">
        <v>2.61</v>
      </c>
      <c r="FD846" t="n">
        <v>1.24</v>
      </c>
      <c r="FF846" t="n">
        <v>8</v>
      </c>
      <c r="FG846" t="n">
        <v>65.66</v>
      </c>
      <c r="FH846" t="n">
        <v>590.9399999999999</v>
      </c>
      <c r="FI846" t="n">
        <v>-459.62</v>
      </c>
      <c r="FJ846" t="n">
        <v>66.64976999163142</v>
      </c>
      <c r="FK846" t="n">
        <v>65.82486982539973</v>
      </c>
      <c r="FL846" t="n">
        <v>67.4050381805061</v>
      </c>
      <c r="FM846" t="n">
        <v>66.73675632524234</v>
      </c>
      <c r="FN846" t="n">
        <v>65.71858375764717</v>
      </c>
      <c r="FO846" t="n">
        <v>67.40122722614737</v>
      </c>
      <c r="FP846" t="n">
        <v>68.68269512297158</v>
      </c>
      <c r="HH846" t="n">
        <v>66.917</v>
      </c>
      <c r="HS846" t="n">
        <v>1.91</v>
      </c>
      <c r="ID846" t="n">
        <v>1.42</v>
      </c>
      <c r="IF846" t="n">
        <v>8</v>
      </c>
      <c r="IG846" t="n">
        <v>359.66</v>
      </c>
      <c r="IH846" t="n">
        <v>3236.94</v>
      </c>
      <c r="II846" t="n">
        <v>-2517.62</v>
      </c>
      <c r="IJ846" t="n">
        <v>350.5478241723701</v>
      </c>
      <c r="IK846" t="n">
        <v>358.6737508088186</v>
      </c>
      <c r="IL846" t="n">
        <v>363.3532292570216</v>
      </c>
      <c r="IM846" t="n">
        <v>358.4907485497311</v>
      </c>
      <c r="IN846" t="n">
        <v>362.976978338575</v>
      </c>
      <c r="IO846" t="n">
        <v>67.61439763980181</v>
      </c>
      <c r="IP846" t="n">
        <v>362.1888006949433</v>
      </c>
      <c r="IQ846" t="n">
        <v>362.3471152343836</v>
      </c>
      <c r="IR846" t="n">
        <v>363.7385401558379</v>
      </c>
      <c r="KH846" t="n">
        <v>327.77</v>
      </c>
      <c r="KS846" t="n">
        <v>-8.869999999999999</v>
      </c>
      <c r="LD846" t="n">
        <v>28.09</v>
      </c>
    </row>
    <row r="847">
      <c r="A847" t="inlineStr">
        <is>
          <t>2026-03-16</t>
        </is>
      </c>
      <c r="B847" t="inlineStr">
        <is>
          <t>General Chem 26</t>
        </is>
      </c>
      <c r="C847" t="inlineStr">
        <is>
          <t>00105305426031601</t>
        </is>
      </c>
      <c r="D847" t="inlineStr">
        <is>
          <t>TP</t>
        </is>
      </c>
      <c r="F847" t="n">
        <v>8</v>
      </c>
      <c r="G847" t="n">
        <v>6.4</v>
      </c>
      <c r="H847" t="n">
        <v>57.6</v>
      </c>
      <c r="I847" t="n">
        <v>-44.8</v>
      </c>
      <c r="J847" t="n">
        <v>6.214927532175997</v>
      </c>
      <c r="K847" t="n">
        <v>6.305369254776991</v>
      </c>
      <c r="L847" t="n">
        <v>-0.8152416721075304</v>
      </c>
      <c r="M847" t="n">
        <v>6.226890116197874</v>
      </c>
      <c r="N847" t="n">
        <v>6.16279871823558</v>
      </c>
      <c r="O847" t="n">
        <v>6.263126522022327</v>
      </c>
      <c r="P847" t="n">
        <v>6.289559182270507</v>
      </c>
      <c r="Q847" t="n">
        <v>6.20372098831565</v>
      </c>
      <c r="BH847" t="n">
        <v>5.356</v>
      </c>
      <c r="BS847" t="n">
        <v>-16.31</v>
      </c>
      <c r="CD847" t="n">
        <v>43.56</v>
      </c>
      <c r="CF847" t="n">
        <v>8</v>
      </c>
      <c r="CG847" t="n">
        <v>4.1</v>
      </c>
      <c r="CH847" t="n">
        <v>36.9</v>
      </c>
      <c r="CI847" t="n">
        <v>-28.7</v>
      </c>
      <c r="CJ847" t="n">
        <v>4.004771864853245</v>
      </c>
      <c r="CK847" t="n">
        <v>4.048636135160322</v>
      </c>
      <c r="CL847" t="n">
        <v>4.101870915714738</v>
      </c>
      <c r="CM847" t="n">
        <v>3.968477007586499</v>
      </c>
      <c r="CN847" t="n">
        <v>4.213509598352417</v>
      </c>
      <c r="CO847" t="n">
        <v>4.012392045570326</v>
      </c>
      <c r="CP847" t="n">
        <v>4.181407544840178</v>
      </c>
      <c r="CQ847" t="n">
        <v>4.056360157258025</v>
      </c>
      <c r="EH847" t="n">
        <v>4.073</v>
      </c>
      <c r="ES847" t="n">
        <v>-0.65</v>
      </c>
      <c r="FD847" t="n">
        <v>1.99</v>
      </c>
      <c r="FF847" t="n">
        <v>8</v>
      </c>
      <c r="FG847" t="n">
        <v>4.2</v>
      </c>
      <c r="FH847" t="n">
        <v>37.8</v>
      </c>
      <c r="FI847" t="n">
        <v>-29.4</v>
      </c>
      <c r="FJ847" t="n">
        <v>3.749996320872935</v>
      </c>
      <c r="FK847" t="n">
        <v>3.709227129792257</v>
      </c>
      <c r="FL847" t="n">
        <v>3.754271950816436</v>
      </c>
      <c r="FM847" t="n">
        <v>3.807734959780075</v>
      </c>
      <c r="FN847" t="n">
        <v>3.747015076035508</v>
      </c>
      <c r="FO847" t="n">
        <v>3.892454664378364</v>
      </c>
      <c r="FP847" t="n">
        <v>3.943498311114375</v>
      </c>
      <c r="HH847" t="n">
        <v>3.801</v>
      </c>
      <c r="HS847" t="n">
        <v>-9.51</v>
      </c>
      <c r="ID847" t="n">
        <v>2.11</v>
      </c>
      <c r="IF847" t="n">
        <v>8</v>
      </c>
      <c r="IG847" t="n">
        <v>7.5</v>
      </c>
      <c r="IH847" t="n">
        <v>67.5</v>
      </c>
      <c r="II847" t="n">
        <v>-52.5</v>
      </c>
      <c r="IJ847" t="n">
        <v>6.967501257619258</v>
      </c>
      <c r="IK847" t="n">
        <v>7.142138629211134</v>
      </c>
      <c r="IL847" t="n">
        <v>7.157201718967142</v>
      </c>
      <c r="IM847" t="n">
        <v>7.143388891665577</v>
      </c>
      <c r="IN847" t="n">
        <v>7.188255587390184</v>
      </c>
      <c r="IO847" t="n">
        <v>3.864837985136287</v>
      </c>
      <c r="IP847" t="n">
        <v>7.17119750987399</v>
      </c>
      <c r="IQ847" t="n">
        <v>7.198046704300605</v>
      </c>
      <c r="IR847" t="n">
        <v>7.279294220902576</v>
      </c>
      <c r="KH847" t="n">
        <v>6.79</v>
      </c>
      <c r="KS847" t="n">
        <v>-9.460000000000001</v>
      </c>
      <c r="LD847" t="n">
        <v>15.27</v>
      </c>
    </row>
    <row r="848">
      <c r="A848" t="inlineStr">
        <is>
          <t>2026-03-10</t>
        </is>
      </c>
      <c r="B848" t="inlineStr">
        <is>
          <t>General Chem 26</t>
        </is>
      </c>
      <c r="C848" t="inlineStr">
        <is>
          <t>00205305426031001</t>
        </is>
      </c>
      <c r="D848" t="inlineStr">
        <is>
          <t>AMY</t>
        </is>
      </c>
      <c r="F848" t="n">
        <v>10</v>
      </c>
      <c r="G848" t="n">
        <v>78</v>
      </c>
      <c r="H848" t="n">
        <v>858</v>
      </c>
      <c r="I848" t="n">
        <v>-702</v>
      </c>
      <c r="J848" t="n">
        <v>75.02250844772914</v>
      </c>
      <c r="K848" t="n">
        <v>73.74172052182969</v>
      </c>
      <c r="L848" t="n">
        <v>75.15333445252477</v>
      </c>
      <c r="M848" t="n">
        <v>77.56516495615918</v>
      </c>
      <c r="N848" t="n">
        <v>75.54200747920342</v>
      </c>
      <c r="O848" t="n">
        <v>75.84386630395565</v>
      </c>
      <c r="P848" t="n">
        <v>75.42023401614847</v>
      </c>
      <c r="Q848" t="n">
        <v>75.2508306127141</v>
      </c>
      <c r="R848" t="n">
        <v>74.08336187298244</v>
      </c>
      <c r="BH848" t="n">
        <v>75.387</v>
      </c>
      <c r="BS848" t="n">
        <v>-3.35</v>
      </c>
      <c r="CD848" t="n">
        <v>1.35</v>
      </c>
      <c r="CF848" t="n">
        <v>10</v>
      </c>
      <c r="CG848" t="n">
        <v>404</v>
      </c>
      <c r="CH848" t="n">
        <v>4444</v>
      </c>
      <c r="CI848" t="n">
        <v>-3636</v>
      </c>
      <c r="CJ848" t="n">
        <v>379.9107835524579</v>
      </c>
      <c r="CK848" t="n">
        <v>394.9831202657369</v>
      </c>
      <c r="CL848" t="n">
        <v>393.4932100209718</v>
      </c>
      <c r="CM848" t="n">
        <v>386.8706237898101</v>
      </c>
      <c r="CN848" t="n">
        <v>383.279767373993</v>
      </c>
      <c r="CO848" t="n">
        <v>393.0373341692082</v>
      </c>
      <c r="CP848" t="n">
        <v>380.0054927636024</v>
      </c>
      <c r="CQ848" t="n">
        <v>388.3955739948195</v>
      </c>
      <c r="CR848" t="n">
        <v>387.3402112998144</v>
      </c>
      <c r="EH848" t="n">
        <v>387.48</v>
      </c>
      <c r="ES848" t="n">
        <v>-4.09</v>
      </c>
      <c r="FD848" t="n">
        <v>1.37</v>
      </c>
      <c r="FF848" t="n">
        <v>10</v>
      </c>
      <c r="FG848" t="n">
        <v>63</v>
      </c>
      <c r="FH848" t="n">
        <v>693</v>
      </c>
      <c r="FI848" t="n">
        <v>-567</v>
      </c>
      <c r="FJ848" t="n">
        <v>62.36071389255444</v>
      </c>
      <c r="FK848" t="n">
        <v>63.09573852149275</v>
      </c>
      <c r="FL848" t="n">
        <v>63.47453630493754</v>
      </c>
      <c r="FM848" t="n">
        <v>63.06337143164761</v>
      </c>
      <c r="FN848" t="n">
        <v>62.90286014830716</v>
      </c>
      <c r="FO848" t="n">
        <v>62.46250366300819</v>
      </c>
      <c r="FP848" t="n">
        <v>62.48402461458755</v>
      </c>
      <c r="HH848" t="n">
        <v>62.835</v>
      </c>
      <c r="HS848" t="n">
        <v>-0.26</v>
      </c>
      <c r="ID848" t="n">
        <v>0.61</v>
      </c>
      <c r="IF848" t="n">
        <v>10</v>
      </c>
      <c r="IG848" t="n">
        <v>297</v>
      </c>
      <c r="IH848" t="n">
        <v>3267</v>
      </c>
      <c r="II848" t="n">
        <v>-2673</v>
      </c>
      <c r="IJ848" t="n">
        <v>288.8799789874535</v>
      </c>
      <c r="IK848" t="n">
        <v>283.9674736690399</v>
      </c>
      <c r="IL848" t="n">
        <v>284.1449448496182</v>
      </c>
      <c r="IM848" t="n">
        <v>288.5840119823951</v>
      </c>
      <c r="IN848" t="n">
        <v>284.9185854075307</v>
      </c>
      <c r="IO848" t="n">
        <v>283.9693376700042</v>
      </c>
      <c r="KH848" t="n">
        <v>285.744</v>
      </c>
      <c r="KS848" t="n">
        <v>-3.79</v>
      </c>
      <c r="LD848" t="n">
        <v>0.75</v>
      </c>
    </row>
    <row r="849">
      <c r="A849" t="inlineStr">
        <is>
          <t>2026-03-10</t>
        </is>
      </c>
      <c r="B849" t="inlineStr">
        <is>
          <t>General Chem 26</t>
        </is>
      </c>
      <c r="C849" t="inlineStr">
        <is>
          <t>00205305426031001</t>
        </is>
      </c>
      <c r="D849" t="inlineStr">
        <is>
          <t>AST</t>
        </is>
      </c>
      <c r="F849" t="n">
        <v>15</v>
      </c>
      <c r="G849" t="n">
        <v>44</v>
      </c>
      <c r="H849" t="n">
        <v>704</v>
      </c>
      <c r="I849" t="n">
        <v>-616</v>
      </c>
      <c r="J849" t="n">
        <v>40.42900086446529</v>
      </c>
      <c r="K849" t="n">
        <v>43.23633784338883</v>
      </c>
      <c r="L849" t="n">
        <v>40.42481133727279</v>
      </c>
      <c r="M849" t="n">
        <v>40.00158067256434</v>
      </c>
      <c r="N849" t="n">
        <v>40.10256585230812</v>
      </c>
      <c r="O849" t="n">
        <v>37.41566779968237</v>
      </c>
      <c r="P849" t="n">
        <v>40.70318261211249</v>
      </c>
      <c r="Q849" t="n">
        <v>39.14606865447174</v>
      </c>
      <c r="R849" t="n">
        <v>41.81881622545367</v>
      </c>
      <c r="BH849" t="n">
        <v>40.167</v>
      </c>
      <c r="BS849" t="n">
        <v>-8.710000000000001</v>
      </c>
      <c r="CD849" t="n">
        <v>3.89</v>
      </c>
      <c r="CF849" t="n">
        <v>15</v>
      </c>
      <c r="CG849" t="n">
        <v>221</v>
      </c>
      <c r="CH849" t="n">
        <v>3536</v>
      </c>
      <c r="CI849" t="n">
        <v>-3094</v>
      </c>
      <c r="CJ849" t="n">
        <v>201.7778252935946</v>
      </c>
      <c r="CK849" t="n">
        <v>217.3451211537194</v>
      </c>
      <c r="CL849" t="n">
        <v>213.8678624165466</v>
      </c>
      <c r="CM849" t="n">
        <v>210.1459154407847</v>
      </c>
      <c r="CN849" t="n">
        <v>209.1409182717906</v>
      </c>
      <c r="CO849" t="n">
        <v>205.3587442385703</v>
      </c>
      <c r="CP849" t="n">
        <v>205.4693055527753</v>
      </c>
      <c r="CQ849" t="n">
        <v>206.4976346553565</v>
      </c>
      <c r="CR849" t="n">
        <v>204.5227662593368</v>
      </c>
      <c r="EH849" t="n">
        <v>208.236</v>
      </c>
      <c r="ES849" t="n">
        <v>-5.78</v>
      </c>
      <c r="FD849" t="n">
        <v>2.23</v>
      </c>
      <c r="FF849" t="n">
        <v>15</v>
      </c>
      <c r="FG849" t="n">
        <v>45</v>
      </c>
      <c r="FH849" t="n">
        <v>720</v>
      </c>
      <c r="FI849" t="n">
        <v>-630</v>
      </c>
      <c r="FJ849" t="n">
        <v>45.4937968106611</v>
      </c>
      <c r="FK849" t="n">
        <v>43.97805333352338</v>
      </c>
      <c r="FL849" t="n">
        <v>43.97009962546905</v>
      </c>
      <c r="FM849" t="n">
        <v>43.98445525635512</v>
      </c>
      <c r="FN849" t="n">
        <v>40.75690410525436</v>
      </c>
      <c r="FO849" t="n">
        <v>44.03843165457761</v>
      </c>
      <c r="FP849" t="n">
        <v>41.84332740913192</v>
      </c>
      <c r="HH849" t="n">
        <v>43.438</v>
      </c>
      <c r="HS849" t="n">
        <v>-3.47</v>
      </c>
      <c r="ID849" t="n">
        <v>3.39</v>
      </c>
      <c r="IF849" t="n">
        <v>15</v>
      </c>
      <c r="IG849" t="n">
        <v>282</v>
      </c>
      <c r="IH849" t="n">
        <v>4512</v>
      </c>
      <c r="II849" t="n">
        <v>-3948</v>
      </c>
      <c r="IJ849" t="n">
        <v>258.1589615204532</v>
      </c>
      <c r="IK849" t="n">
        <v>261.4201788780407</v>
      </c>
      <c r="IL849" t="n">
        <v>256.3524719703918</v>
      </c>
      <c r="IM849" t="n">
        <v>258.9685608297009</v>
      </c>
      <c r="IN849" t="n">
        <v>262.2826862430587</v>
      </c>
      <c r="IO849" t="n">
        <v>251.8989331806006</v>
      </c>
      <c r="KH849" t="n">
        <v>258.18</v>
      </c>
      <c r="KS849" t="n">
        <v>-8.449999999999999</v>
      </c>
      <c r="LD849" t="n">
        <v>1.33</v>
      </c>
    </row>
    <row r="850">
      <c r="A850" t="inlineStr">
        <is>
          <t>2026-03-10</t>
        </is>
      </c>
      <c r="B850" t="inlineStr">
        <is>
          <t>General Chem 26</t>
        </is>
      </c>
      <c r="C850" t="inlineStr">
        <is>
          <t>00205305426031001</t>
        </is>
      </c>
      <c r="D850" t="inlineStr">
        <is>
          <t>CHOL</t>
        </is>
      </c>
      <c r="F850" t="n">
        <v>10</v>
      </c>
      <c r="G850" t="n">
        <v>228</v>
      </c>
      <c r="H850" t="n">
        <v>2508</v>
      </c>
      <c r="I850" t="n">
        <v>-2052</v>
      </c>
      <c r="J850" t="n">
        <v>225.0887615464343</v>
      </c>
      <c r="K850" t="n">
        <v>227.1192457309021</v>
      </c>
      <c r="L850" t="n">
        <v>229.7915698532993</v>
      </c>
      <c r="M850" t="n">
        <v>231.3143029812872</v>
      </c>
      <c r="N850" t="n">
        <v>229.904292530408</v>
      </c>
      <c r="O850" t="n">
        <v>232.5981566071304</v>
      </c>
      <c r="P850" t="n">
        <v>232.2226141423929</v>
      </c>
      <c r="Q850" t="n">
        <v>228.8005599905923</v>
      </c>
      <c r="R850" t="n">
        <v>230.2563343601412</v>
      </c>
      <c r="BH850" t="n">
        <v>229.943</v>
      </c>
      <c r="BS850" t="n">
        <v>0.85</v>
      </c>
      <c r="CD850" t="n">
        <v>1</v>
      </c>
      <c r="CF850" t="n">
        <v>10</v>
      </c>
      <c r="CG850" t="n">
        <v>99</v>
      </c>
      <c r="CH850" t="n">
        <v>1089</v>
      </c>
      <c r="CI850" t="n">
        <v>-891</v>
      </c>
      <c r="CJ850" t="n">
        <v>91.96508538765299</v>
      </c>
      <c r="CK850" t="n">
        <v>103.3055924837127</v>
      </c>
      <c r="CL850" t="n">
        <v>95.85369002305821</v>
      </c>
      <c r="CM850" t="n">
        <v>97.28491138260664</v>
      </c>
      <c r="CN850" t="n">
        <v>101.9395898563756</v>
      </c>
      <c r="CO850" t="n">
        <v>96.41429981268605</v>
      </c>
      <c r="CP850" t="n">
        <v>95.30006485694804</v>
      </c>
      <c r="CQ850" t="n">
        <v>95.49182442917441</v>
      </c>
      <c r="CR850" t="n">
        <v>111.1460485953111</v>
      </c>
      <c r="EH850" t="n">
        <v>98.745</v>
      </c>
      <c r="ES850" t="n">
        <v>-0.26</v>
      </c>
      <c r="FD850" t="n">
        <v>5.54</v>
      </c>
      <c r="FF850" t="n">
        <v>10</v>
      </c>
      <c r="FG850" t="n">
        <v>115</v>
      </c>
      <c r="FH850" t="n">
        <v>1265</v>
      </c>
      <c r="FI850" t="n">
        <v>-1035</v>
      </c>
      <c r="FJ850" t="n">
        <v>113.9162883728492</v>
      </c>
      <c r="FK850" t="n">
        <v>110.7915615177129</v>
      </c>
      <c r="FL850" t="n">
        <v>116.217944846601</v>
      </c>
      <c r="FM850" t="n">
        <v>117.010459922378</v>
      </c>
      <c r="FN850" t="n">
        <v>111.8857795258563</v>
      </c>
      <c r="FO850" t="n">
        <v>118.5878822739651</v>
      </c>
      <c r="FP850" t="n">
        <v>110.2724479108286</v>
      </c>
      <c r="HH850" t="n">
        <v>114.097</v>
      </c>
      <c r="HS850" t="n">
        <v>-0.78</v>
      </c>
      <c r="ID850" t="n">
        <v>2.64</v>
      </c>
      <c r="IF850" t="n">
        <v>10</v>
      </c>
      <c r="IG850" t="n">
        <v>269</v>
      </c>
      <c r="IH850" t="n">
        <v>2959</v>
      </c>
      <c r="II850" t="n">
        <v>-2421</v>
      </c>
      <c r="IJ850" t="n">
        <v>263.2335126791707</v>
      </c>
      <c r="IK850" t="n">
        <v>266.1982791013061</v>
      </c>
      <c r="IL850" t="n">
        <v>262.0300670211557</v>
      </c>
      <c r="IM850" t="n">
        <v>263.2675842112865</v>
      </c>
      <c r="IN850" t="n">
        <v>267.5329537973622</v>
      </c>
      <c r="IO850" t="n">
        <v>266.0208315000383</v>
      </c>
      <c r="KH850" t="n">
        <v>264.714</v>
      </c>
      <c r="KS850" t="n">
        <v>-1.59</v>
      </c>
      <c r="LD850" t="n">
        <v>0.75</v>
      </c>
    </row>
    <row r="851">
      <c r="A851" t="inlineStr">
        <is>
          <t>2026-03-10</t>
        </is>
      </c>
      <c r="B851" t="inlineStr">
        <is>
          <t>General Chem 26</t>
        </is>
      </c>
      <c r="C851" t="inlineStr">
        <is>
          <t>00205305426031001</t>
        </is>
      </c>
      <c r="D851" t="inlineStr">
        <is>
          <t>CK</t>
        </is>
      </c>
      <c r="F851" t="n">
        <v>20</v>
      </c>
      <c r="J851" t="n">
        <v>144.3727888647164</v>
      </c>
      <c r="K851" t="n">
        <v>159.4228961311393</v>
      </c>
      <c r="L851" t="n">
        <v>153.2022917970123</v>
      </c>
      <c r="M851" t="n">
        <v>167.0320921678397</v>
      </c>
      <c r="N851" t="n">
        <v>163.1591438457428</v>
      </c>
      <c r="O851" t="n">
        <v>163.5993678370375</v>
      </c>
      <c r="P851" t="n">
        <v>143.0551714877167</v>
      </c>
      <c r="Q851" t="n">
        <v>155.8499111573466</v>
      </c>
      <c r="R851" t="n">
        <v>132.5440064222197</v>
      </c>
      <c r="BH851" t="n">
        <v>154.504</v>
      </c>
      <c r="CD851" t="n">
        <v>6.87</v>
      </c>
      <c r="CF851" t="n">
        <v>20</v>
      </c>
      <c r="CJ851" t="n">
        <v>481.9062140275086</v>
      </c>
      <c r="CK851" t="n">
        <v>513.7765755754357</v>
      </c>
      <c r="CL851" t="n">
        <v>498.7492031609374</v>
      </c>
      <c r="CM851" t="n">
        <v>462.6311072977948</v>
      </c>
      <c r="CN851" t="n">
        <v>484.781034479178</v>
      </c>
      <c r="CO851" t="n">
        <v>486.1429157946305</v>
      </c>
      <c r="CP851" t="n">
        <v>492.3771554413183</v>
      </c>
      <c r="CQ851" t="n">
        <v>466.2052078912623</v>
      </c>
      <c r="CR851" t="n">
        <v>510.5879596436295</v>
      </c>
      <c r="EH851" t="n">
        <v>488.573</v>
      </c>
      <c r="FD851" t="n">
        <v>3.39</v>
      </c>
      <c r="FF851" t="n">
        <v>20</v>
      </c>
      <c r="FJ851" t="n">
        <v>90.98924941236122</v>
      </c>
      <c r="FK851" t="n">
        <v>104.9366817136142</v>
      </c>
      <c r="FL851" t="n">
        <v>101.7889046420253</v>
      </c>
      <c r="FM851" t="n">
        <v>76.63488639824979</v>
      </c>
      <c r="FN851" t="n">
        <v>109.7171618456465</v>
      </c>
      <c r="FO851" t="n">
        <v>69.44683679950984</v>
      </c>
      <c r="FP851" t="n">
        <v>115.4766859214138</v>
      </c>
      <c r="HH851" t="n">
        <v>95.56999999999999</v>
      </c>
      <c r="ID851" t="n">
        <v>16.71</v>
      </c>
      <c r="IF851" t="n">
        <v>20</v>
      </c>
      <c r="IJ851" t="n">
        <v>624.1042713029578</v>
      </c>
      <c r="IK851" t="n">
        <v>628.1675730626298</v>
      </c>
      <c r="IL851" t="n">
        <v>629.1140918988448</v>
      </c>
      <c r="IM851" t="n">
        <v>618.9773549589711</v>
      </c>
      <c r="IN851" t="n">
        <v>651.3946392054727</v>
      </c>
      <c r="IO851" t="n">
        <v>635.0504713245391</v>
      </c>
      <c r="KH851" t="n">
        <v>631.135</v>
      </c>
      <c r="LD851" t="n">
        <v>1.63</v>
      </c>
    </row>
    <row r="852">
      <c r="A852" t="inlineStr">
        <is>
          <t>2026-03-10</t>
        </is>
      </c>
      <c r="B852" t="inlineStr">
        <is>
          <t>General Chem 26</t>
        </is>
      </c>
      <c r="C852" t="inlineStr">
        <is>
          <t>00205305426031001</t>
        </is>
      </c>
      <c r="D852" t="inlineStr">
        <is>
          <t>Ca</t>
        </is>
      </c>
      <c r="G852" t="n">
        <v>9.1</v>
      </c>
      <c r="J852" t="n">
        <v>9.272593457874811</v>
      </c>
      <c r="K852" t="n">
        <v>9.045366826625951</v>
      </c>
      <c r="L852" t="n">
        <v>9.20724316252365</v>
      </c>
      <c r="M852" t="n">
        <v>9.475548757585768</v>
      </c>
      <c r="N852" t="n">
        <v>9.537873190287364</v>
      </c>
      <c r="O852" t="n">
        <v>9.260458298174468</v>
      </c>
      <c r="P852" t="n">
        <v>9.135221625215866</v>
      </c>
      <c r="Q852" t="n">
        <v>9.334758013336645</v>
      </c>
      <c r="R852" t="n">
        <v>9.205454373440247</v>
      </c>
      <c r="BH852" t="n">
        <v>9.266999999999999</v>
      </c>
      <c r="BS852" t="n">
        <v>1.83</v>
      </c>
      <c r="CD852" t="n">
        <v>1.53</v>
      </c>
      <c r="CG852" t="n">
        <v>12.4</v>
      </c>
      <c r="CJ852" t="n">
        <v>12.73835241301491</v>
      </c>
      <c r="CK852" t="n">
        <v>12.93304704064074</v>
      </c>
      <c r="CL852" t="n">
        <v>12.562998126807</v>
      </c>
      <c r="CM852" t="n">
        <v>12.53042083302557</v>
      </c>
      <c r="CN852" t="n">
        <v>12.83511322775973</v>
      </c>
      <c r="CO852" t="n">
        <v>12.47145274544719</v>
      </c>
      <c r="CP852" t="n">
        <v>12.25313552054943</v>
      </c>
      <c r="CQ852" t="n">
        <v>12.74673830727518</v>
      </c>
      <c r="CR852" t="n">
        <v>12.28039880738263</v>
      </c>
      <c r="EH852" t="n">
        <v>12.595</v>
      </c>
      <c r="ES852" t="n">
        <v>1.57</v>
      </c>
      <c r="FD852" t="n">
        <v>1.78</v>
      </c>
      <c r="FG852" t="n">
        <v>5.9</v>
      </c>
      <c r="FJ852" t="n">
        <v>5.697676090803887</v>
      </c>
      <c r="FK852" t="n">
        <v>5.337572833305488</v>
      </c>
      <c r="FL852" t="n">
        <v>5.496884003795873</v>
      </c>
      <c r="FM852" t="n">
        <v>5.516106934841138</v>
      </c>
      <c r="FN852" t="n">
        <v>5.384853150310015</v>
      </c>
      <c r="FO852" t="n">
        <v>5.412744323894078</v>
      </c>
      <c r="FP852" t="n">
        <v>5.441333042054348</v>
      </c>
      <c r="HH852" t="n">
        <v>5.47</v>
      </c>
      <c r="HS852" t="n">
        <v>-7.29</v>
      </c>
      <c r="ID852" t="n">
        <v>2</v>
      </c>
      <c r="IG852" t="n">
        <v>12.7</v>
      </c>
      <c r="IJ852" t="n">
        <v>12.56729810996325</v>
      </c>
      <c r="IK852" t="n">
        <v>12.93487621535759</v>
      </c>
      <c r="IL852" t="n">
        <v>12.7877176508838</v>
      </c>
      <c r="IM852" t="n">
        <v>12.94105270112447</v>
      </c>
      <c r="IN852" t="n">
        <v>12.30180466953715</v>
      </c>
      <c r="IO852" t="n">
        <v>12.41344842812774</v>
      </c>
      <c r="KH852" t="n">
        <v>12.658</v>
      </c>
      <c r="KS852" t="n">
        <v>-0.33</v>
      </c>
      <c r="LD852" t="n">
        <v>1.96</v>
      </c>
    </row>
    <row r="853">
      <c r="A853" t="inlineStr">
        <is>
          <t>2026-03-10</t>
        </is>
      </c>
      <c r="B853" t="inlineStr">
        <is>
          <t>General Chem 26</t>
        </is>
      </c>
      <c r="C853" t="inlineStr">
        <is>
          <t>00205305426031001</t>
        </is>
      </c>
      <c r="D853" t="inlineStr">
        <is>
          <t>GGT</t>
        </is>
      </c>
      <c r="F853" t="n">
        <v>15</v>
      </c>
      <c r="G853" t="n">
        <v>57</v>
      </c>
      <c r="H853" t="n">
        <v>912</v>
      </c>
      <c r="I853" t="n">
        <v>-798</v>
      </c>
      <c r="J853" t="n">
        <v>57.40859010887758</v>
      </c>
      <c r="K853" t="n">
        <v>56.66122165472554</v>
      </c>
      <c r="L853" t="n">
        <v>55.32997351748857</v>
      </c>
      <c r="M853" t="n">
        <v>58.70041529990097</v>
      </c>
      <c r="N853" t="n">
        <v>57.77848245516216</v>
      </c>
      <c r="O853" t="n">
        <v>57.74929109413201</v>
      </c>
      <c r="P853" t="n">
        <v>55.23337137332464</v>
      </c>
      <c r="Q853" t="n">
        <v>58.30040437371289</v>
      </c>
      <c r="R853" t="n">
        <v>55.81791704217154</v>
      </c>
      <c r="BH853" t="n">
        <v>56.992</v>
      </c>
      <c r="BS853" t="n">
        <v>-0.01</v>
      </c>
      <c r="CD853" t="n">
        <v>2.03</v>
      </c>
      <c r="CF853" t="n">
        <v>15</v>
      </c>
      <c r="CG853" t="n">
        <v>164</v>
      </c>
      <c r="CH853" t="n">
        <v>2624</v>
      </c>
      <c r="CI853" t="n">
        <v>-2296</v>
      </c>
      <c r="CJ853" t="n">
        <v>161.4019002533707</v>
      </c>
      <c r="CK853" t="n">
        <v>168.5668214445627</v>
      </c>
      <c r="CL853" t="n">
        <v>166.5821313536256</v>
      </c>
      <c r="CM853" t="n">
        <v>159.2581987773579</v>
      </c>
      <c r="CN853" t="n">
        <v>161.1460280247009</v>
      </c>
      <c r="CO853" t="n">
        <v>165.8677686358996</v>
      </c>
      <c r="CP853" t="n">
        <v>159.8858462199567</v>
      </c>
      <c r="CQ853" t="n">
        <v>162.9531385251667</v>
      </c>
      <c r="CR853" t="n">
        <v>160.5907589860025</v>
      </c>
      <c r="EH853" t="n">
        <v>162.917</v>
      </c>
      <c r="ES853" t="n">
        <v>-0.66</v>
      </c>
      <c r="FD853" t="n">
        <v>1.91</v>
      </c>
      <c r="FF853" t="n">
        <v>15</v>
      </c>
      <c r="FG853" t="n">
        <v>23</v>
      </c>
      <c r="FH853" t="n">
        <v>368</v>
      </c>
      <c r="FI853" t="n">
        <v>-322</v>
      </c>
      <c r="FJ853" t="n">
        <v>23.11960503985219</v>
      </c>
      <c r="FK853" t="n">
        <v>22.50244852518557</v>
      </c>
      <c r="FL853" t="n">
        <v>23.30596040489235</v>
      </c>
      <c r="FM853" t="n">
        <v>23.51930091651328</v>
      </c>
      <c r="FN853" t="n">
        <v>24.07403649528199</v>
      </c>
      <c r="FO853" t="n">
        <v>23.54187845968574</v>
      </c>
      <c r="FP853" t="n">
        <v>23.18038867982662</v>
      </c>
      <c r="HH853" t="n">
        <v>23.321</v>
      </c>
      <c r="HS853" t="n">
        <v>1.39</v>
      </c>
      <c r="ID853" t="n">
        <v>1.91</v>
      </c>
      <c r="IF853" t="n">
        <v>15</v>
      </c>
      <c r="IG853" t="n">
        <v>126</v>
      </c>
      <c r="IH853" t="n">
        <v>2016</v>
      </c>
      <c r="II853" t="n">
        <v>-1764</v>
      </c>
      <c r="IJ853" t="n">
        <v>125.9722227842149</v>
      </c>
      <c r="IK853" t="n">
        <v>125.0578036770268</v>
      </c>
      <c r="IL853" t="n">
        <v>122.1557512799884</v>
      </c>
      <c r="IM853" t="n">
        <v>126.711927476691</v>
      </c>
      <c r="IN853" t="n">
        <v>126.9276024710893</v>
      </c>
      <c r="IO853" t="n">
        <v>120.7110340051446</v>
      </c>
      <c r="KH853" t="n">
        <v>124.589</v>
      </c>
      <c r="KS853" t="n">
        <v>-1.12</v>
      </c>
      <c r="LD853" t="n">
        <v>1.88</v>
      </c>
    </row>
    <row r="854">
      <c r="A854" t="inlineStr">
        <is>
          <t>2026-03-10</t>
        </is>
      </c>
      <c r="B854" t="inlineStr">
        <is>
          <t>General Chem 26</t>
        </is>
      </c>
      <c r="C854" t="inlineStr">
        <is>
          <t>00205305426031001</t>
        </is>
      </c>
      <c r="D854" t="inlineStr">
        <is>
          <t>PHOS</t>
        </is>
      </c>
      <c r="F854" t="n">
        <v>10</v>
      </c>
      <c r="G854" t="n">
        <v>3.3</v>
      </c>
      <c r="H854" t="n">
        <v>36.3</v>
      </c>
      <c r="I854" t="n">
        <v>-29.7</v>
      </c>
      <c r="J854" t="n">
        <v>3.000933231945726</v>
      </c>
      <c r="K854" t="n">
        <v>2.946619010938765</v>
      </c>
      <c r="L854" t="n">
        <v>2.915000824868044</v>
      </c>
      <c r="M854" t="n">
        <v>3.066009892307315</v>
      </c>
      <c r="N854" t="n">
        <v>3.06218574728436</v>
      </c>
      <c r="O854" t="n">
        <v>3.029258518893589</v>
      </c>
      <c r="P854" t="n">
        <v>3.007461587288715</v>
      </c>
      <c r="Q854" t="n">
        <v>3.041857136901188</v>
      </c>
      <c r="R854" t="n">
        <v>2.941219592299515</v>
      </c>
      <c r="BH854" t="n">
        <v>3.007</v>
      </c>
      <c r="BS854" t="n">
        <v>-8.880000000000001</v>
      </c>
      <c r="CD854" t="n">
        <v>1.75</v>
      </c>
      <c r="CF854" t="n">
        <v>10</v>
      </c>
      <c r="CG854" t="n">
        <v>7.2</v>
      </c>
      <c r="CH854" t="n">
        <v>79.2</v>
      </c>
      <c r="CI854" t="n">
        <v>-64.8</v>
      </c>
      <c r="CJ854" t="n">
        <v>6.682421782521154</v>
      </c>
      <c r="CK854" t="n">
        <v>7.021068690652592</v>
      </c>
      <c r="CL854" t="n">
        <v>6.800578992618421</v>
      </c>
      <c r="CM854" t="n">
        <v>6.680738444074589</v>
      </c>
      <c r="CN854" t="n">
        <v>6.829576486867476</v>
      </c>
      <c r="CO854" t="n">
        <v>6.848450424478408</v>
      </c>
      <c r="CP854" t="n">
        <v>6.731250869127951</v>
      </c>
      <c r="CQ854" t="n">
        <v>6.653808338333146</v>
      </c>
      <c r="CR854" t="n">
        <v>6.763258253370493</v>
      </c>
      <c r="EH854" t="n">
        <v>6.779</v>
      </c>
      <c r="ES854" t="n">
        <v>-5.85</v>
      </c>
      <c r="FD854" t="n">
        <v>1.58</v>
      </c>
      <c r="FF854" t="n">
        <v>10</v>
      </c>
      <c r="FG854" t="n">
        <v>1.9</v>
      </c>
      <c r="FH854" t="n">
        <v>20.9</v>
      </c>
      <c r="FI854" t="n">
        <v>-17.1</v>
      </c>
      <c r="FJ854" t="n">
        <v>1.770217562360883</v>
      </c>
      <c r="FK854" t="n">
        <v>1.774512955967443</v>
      </c>
      <c r="FL854" t="n">
        <v>1.853848445097709</v>
      </c>
      <c r="FM854" t="n">
        <v>1.810786297991746</v>
      </c>
      <c r="FN854" t="n">
        <v>1.844806668455593</v>
      </c>
      <c r="FO854" t="n">
        <v>1.863361455261191</v>
      </c>
      <c r="FP854" t="n">
        <v>1.858242146674848</v>
      </c>
      <c r="HH854" t="n">
        <v>1.825</v>
      </c>
      <c r="HS854" t="n">
        <v>-3.94</v>
      </c>
      <c r="ID854" t="n">
        <v>2.02</v>
      </c>
      <c r="IF854" t="n">
        <v>10</v>
      </c>
      <c r="IG854" t="n">
        <v>7.2</v>
      </c>
      <c r="IH854" t="n">
        <v>79.2</v>
      </c>
      <c r="II854" t="n">
        <v>-64.8</v>
      </c>
      <c r="IJ854" t="n">
        <v>6.76648022165076</v>
      </c>
      <c r="IK854" t="n">
        <v>6.828022952898386</v>
      </c>
      <c r="IL854" t="n">
        <v>6.708204477092869</v>
      </c>
      <c r="IM854" t="n">
        <v>6.897218035992454</v>
      </c>
      <c r="IN854" t="n">
        <v>6.894577958864642</v>
      </c>
      <c r="IO854" t="n">
        <v>6.86521520118881</v>
      </c>
      <c r="KH854" t="n">
        <v>6.827</v>
      </c>
      <c r="KS854" t="n">
        <v>-5.19</v>
      </c>
      <c r="LD854" t="n">
        <v>1.01</v>
      </c>
    </row>
    <row r="855">
      <c r="A855" t="inlineStr">
        <is>
          <t>2026-03-10</t>
        </is>
      </c>
      <c r="B855" t="inlineStr">
        <is>
          <t>General Chem 26</t>
        </is>
      </c>
      <c r="C855" t="inlineStr">
        <is>
          <t>00205305426031001</t>
        </is>
      </c>
      <c r="D855" t="inlineStr">
        <is>
          <t>TBIL</t>
        </is>
      </c>
      <c r="F855" t="n">
        <v>20</v>
      </c>
      <c r="G855" t="n">
        <v>1.1</v>
      </c>
      <c r="H855" t="n">
        <v>23.1</v>
      </c>
      <c r="I855" t="n">
        <v>-20.9</v>
      </c>
      <c r="J855" t="n">
        <v>1.239714419015179</v>
      </c>
      <c r="K855" t="n">
        <v>1.072816640664657</v>
      </c>
      <c r="L855" t="n">
        <v>1.124585409541697</v>
      </c>
      <c r="M855" t="n">
        <v>1.173354372208039</v>
      </c>
      <c r="N855" t="n">
        <v>1.163544860953655</v>
      </c>
      <c r="O855" t="n">
        <v>1.165046756328083</v>
      </c>
      <c r="P855" t="n">
        <v>1.151909240722489</v>
      </c>
      <c r="Q855" t="n">
        <v>1.133870252479475</v>
      </c>
      <c r="R855" t="n">
        <v>1.146577286217443</v>
      </c>
      <c r="BH855" t="n">
        <v>1.152</v>
      </c>
      <c r="BS855" t="n">
        <v>4.73</v>
      </c>
      <c r="CD855" t="n">
        <v>3.46</v>
      </c>
      <c r="CF855" t="n">
        <v>20</v>
      </c>
      <c r="CG855" t="n">
        <v>5.1</v>
      </c>
      <c r="CH855" t="n">
        <v>107.1</v>
      </c>
      <c r="CI855" t="n">
        <v>-96.89999999999999</v>
      </c>
      <c r="CJ855" t="n">
        <v>4.897994927889852</v>
      </c>
      <c r="CK855" t="n">
        <v>5.217758326190267</v>
      </c>
      <c r="CL855" t="n">
        <v>4.991865038121193</v>
      </c>
      <c r="CM855" t="n">
        <v>4.847822351304692</v>
      </c>
      <c r="CN855" t="n">
        <v>4.967821920902373</v>
      </c>
      <c r="CO855" t="n">
        <v>5.281080600702242</v>
      </c>
      <c r="CP855" t="n">
        <v>5.124759893680147</v>
      </c>
      <c r="CQ855" t="n">
        <v>5.295381024380913</v>
      </c>
      <c r="CR855" t="n">
        <v>5.264994399686375</v>
      </c>
      <c r="EH855" t="n">
        <v>5.099</v>
      </c>
      <c r="ES855" t="n">
        <v>-0.02</v>
      </c>
      <c r="FD855" t="n">
        <v>3.24</v>
      </c>
      <c r="FF855" t="n">
        <v>20</v>
      </c>
      <c r="FG855" t="n">
        <v>0.8</v>
      </c>
      <c r="FH855" t="n">
        <v>16.8</v>
      </c>
      <c r="FI855" t="n">
        <v>-15.2</v>
      </c>
      <c r="FJ855" t="n">
        <v>0.5765283682999813</v>
      </c>
      <c r="FK855" t="n">
        <v>0.5832281842659714</v>
      </c>
      <c r="FL855" t="n">
        <v>0.6206424339829608</v>
      </c>
      <c r="FM855" t="n">
        <v>0.5851460792228487</v>
      </c>
      <c r="FN855" t="n">
        <v>0.6774920730704501</v>
      </c>
      <c r="FO855" t="n">
        <v>0.6108079164755829</v>
      </c>
      <c r="FP855" t="n">
        <v>0.6023945391413861</v>
      </c>
      <c r="HH855" t="n">
        <v>0.608</v>
      </c>
      <c r="HS855" t="n">
        <v>-24</v>
      </c>
      <c r="ID855" t="n">
        <v>5.26</v>
      </c>
      <c r="IF855" t="n">
        <v>20</v>
      </c>
      <c r="IG855" t="n">
        <v>8.4</v>
      </c>
      <c r="IH855" t="n">
        <v>176.4</v>
      </c>
      <c r="II855" t="n">
        <v>-159.6</v>
      </c>
      <c r="IJ855" t="n">
        <v>8.421229334627625</v>
      </c>
      <c r="IK855" t="n">
        <v>8.482948457127439</v>
      </c>
      <c r="IL855" t="n">
        <v>8.441920448052997</v>
      </c>
      <c r="IM855" t="n">
        <v>8.548824714874669</v>
      </c>
      <c r="IN855" t="n">
        <v>8.46371973652327</v>
      </c>
      <c r="IO855" t="n">
        <v>8.374263217803591</v>
      </c>
      <c r="KH855" t="n">
        <v>8.455</v>
      </c>
      <c r="KS855" t="n">
        <v>0.66</v>
      </c>
      <c r="LD855" t="n">
        <v>0.64</v>
      </c>
    </row>
    <row r="856">
      <c r="A856" t="inlineStr">
        <is>
          <t>2026-03-10</t>
        </is>
      </c>
      <c r="B856" t="inlineStr">
        <is>
          <t>General Chem 26</t>
        </is>
      </c>
      <c r="C856" t="inlineStr">
        <is>
          <t>00105305426031001</t>
        </is>
      </c>
      <c r="D856" t="inlineStr">
        <is>
          <t>ALB</t>
        </is>
      </c>
      <c r="F856" t="n">
        <v>8</v>
      </c>
      <c r="G856" t="n">
        <v>4.2</v>
      </c>
      <c r="H856" t="n">
        <v>37.8</v>
      </c>
      <c r="I856" t="n">
        <v>-29.4</v>
      </c>
      <c r="J856" t="n">
        <v>4.963518294964087</v>
      </c>
      <c r="K856" t="n">
        <v>5.238670073224108</v>
      </c>
      <c r="L856" t="n">
        <v>4.889090753333319</v>
      </c>
      <c r="M856" t="n">
        <v>4.988464584866299</v>
      </c>
      <c r="N856" t="n">
        <v>4.892934169156763</v>
      </c>
      <c r="O856" t="n">
        <v>5.071205264940928</v>
      </c>
      <c r="P856" t="n">
        <v>4.92913694900707</v>
      </c>
      <c r="Q856" t="n">
        <v>5.181151161877098</v>
      </c>
      <c r="R856" t="n">
        <v>4.919228507918794</v>
      </c>
      <c r="BH856" t="n">
        <v>5.007</v>
      </c>
      <c r="BS856" t="n">
        <v>19.21</v>
      </c>
      <c r="CD856" t="n">
        <v>2.29</v>
      </c>
      <c r="CF856" t="n">
        <v>8</v>
      </c>
      <c r="CG856" t="n">
        <v>2.7</v>
      </c>
      <c r="CH856" t="n">
        <v>24.3</v>
      </c>
      <c r="CI856" t="n">
        <v>-18.9</v>
      </c>
      <c r="CJ856" t="n">
        <v>3.471013001689266</v>
      </c>
      <c r="CK856" t="n">
        <v>3.607545366929021</v>
      </c>
      <c r="CL856" t="n">
        <v>3.515577639003765</v>
      </c>
      <c r="CM856" t="n">
        <v>3.447084066216578</v>
      </c>
      <c r="CN856" t="n">
        <v>3.500314645500873</v>
      </c>
      <c r="CO856" t="n">
        <v>3.364398276574007</v>
      </c>
      <c r="CP856" t="n">
        <v>3.613329719430728</v>
      </c>
      <c r="CQ856" t="n">
        <v>3.504166225463748</v>
      </c>
      <c r="CR856" t="n">
        <v>3.568692186324434</v>
      </c>
      <c r="EH856" t="n">
        <v>3.51</v>
      </c>
      <c r="ES856" t="n">
        <v>30.01</v>
      </c>
      <c r="FD856" t="n">
        <v>2.13</v>
      </c>
      <c r="FF856" t="n">
        <v>8</v>
      </c>
      <c r="FG856" t="n">
        <v>2.6</v>
      </c>
      <c r="FH856" t="n">
        <v>23.4</v>
      </c>
      <c r="FI856" t="n">
        <v>-18.2</v>
      </c>
      <c r="FJ856" t="n">
        <v>3.356543327556252</v>
      </c>
      <c r="FK856" t="n">
        <v>3.289981077514101</v>
      </c>
      <c r="FL856" t="n">
        <v>3.270877786382442</v>
      </c>
      <c r="FM856" t="n">
        <v>3.253229097472004</v>
      </c>
      <c r="FN856" t="n">
        <v>3.384735629313755</v>
      </c>
      <c r="FO856" t="n">
        <v>3.358869616493201</v>
      </c>
      <c r="FP856" t="n">
        <v>3.38932693775561</v>
      </c>
      <c r="HH856" t="n">
        <v>3.329</v>
      </c>
      <c r="HS856" t="n">
        <v>28.04</v>
      </c>
      <c r="ID856" t="n">
        <v>1.57</v>
      </c>
      <c r="IF856" t="n">
        <v>8</v>
      </c>
      <c r="IG856" t="n">
        <v>4.2</v>
      </c>
      <c r="IH856" t="n">
        <v>37.8</v>
      </c>
      <c r="II856" t="n">
        <v>-29.4</v>
      </c>
      <c r="IJ856" t="n">
        <v>5.11593413085625</v>
      </c>
      <c r="IK856" t="n">
        <v>5.068282521652382</v>
      </c>
      <c r="IL856" t="n">
        <v>4.901078985829692</v>
      </c>
      <c r="IM856" t="n">
        <v>4.939765165991226</v>
      </c>
      <c r="IN856" t="n">
        <v>5.095919806880159</v>
      </c>
      <c r="IO856" t="n">
        <v>5.176227368654713</v>
      </c>
      <c r="KH856" t="n">
        <v>5.05</v>
      </c>
      <c r="KS856" t="n">
        <v>20.23</v>
      </c>
      <c r="LD856" t="n">
        <v>1.93</v>
      </c>
    </row>
    <row r="857">
      <c r="A857" t="inlineStr">
        <is>
          <t>2026-03-10</t>
        </is>
      </c>
      <c r="B857" t="inlineStr">
        <is>
          <t>General Chem 26</t>
        </is>
      </c>
      <c r="C857" t="inlineStr">
        <is>
          <t>00105305426031001</t>
        </is>
      </c>
      <c r="D857" t="inlineStr">
        <is>
          <t>ALP</t>
        </is>
      </c>
      <c r="F857" t="n">
        <v>20</v>
      </c>
      <c r="G857" t="n">
        <v>136</v>
      </c>
      <c r="H857" t="n">
        <v>2856</v>
      </c>
      <c r="I857" t="n">
        <v>-2584</v>
      </c>
      <c r="J857" t="n">
        <v>139.4067030895957</v>
      </c>
      <c r="K857" t="n">
        <v>140.9989646463872</v>
      </c>
      <c r="L857" t="n">
        <v>139.920350421623</v>
      </c>
      <c r="M857" t="n">
        <v>141.1696594464994</v>
      </c>
      <c r="N857" t="n">
        <v>141.6953026113443</v>
      </c>
      <c r="O857" t="n">
        <v>141.9533825927458</v>
      </c>
      <c r="P857" t="n">
        <v>141.1622182409951</v>
      </c>
      <c r="Q857" t="n">
        <v>141.639223801285</v>
      </c>
      <c r="R857" t="n">
        <v>139.314305668793</v>
      </c>
      <c r="BH857" t="n">
        <v>140.885</v>
      </c>
      <c r="BS857" t="n">
        <v>3.59</v>
      </c>
      <c r="CD857" t="n">
        <v>0.66</v>
      </c>
      <c r="CF857" t="n">
        <v>20</v>
      </c>
      <c r="CG857" t="n">
        <v>456</v>
      </c>
      <c r="CH857" t="n">
        <v>9576</v>
      </c>
      <c r="CI857" t="n">
        <v>-8664</v>
      </c>
      <c r="CJ857" t="n">
        <v>435.4540019535249</v>
      </c>
      <c r="CK857" t="n">
        <v>436.1812526500667</v>
      </c>
      <c r="CL857" t="n">
        <v>437.2805245168009</v>
      </c>
      <c r="CM857" t="n">
        <v>432.2740802604281</v>
      </c>
      <c r="CN857" t="n">
        <v>430.1826199329346</v>
      </c>
      <c r="CO857" t="n">
        <v>441.8934547522757</v>
      </c>
      <c r="CP857" t="n">
        <v>439.7737624242801</v>
      </c>
      <c r="CQ857" t="n">
        <v>436.2133476444496</v>
      </c>
      <c r="CR857" t="n">
        <v>432.9964822200148</v>
      </c>
      <c r="EH857" t="n">
        <v>435.806</v>
      </c>
      <c r="ES857" t="n">
        <v>-4.43</v>
      </c>
      <c r="FD857" t="n">
        <v>0.79</v>
      </c>
      <c r="FF857" t="n">
        <v>20</v>
      </c>
      <c r="FG857" t="n">
        <v>75</v>
      </c>
      <c r="FH857" t="n">
        <v>1575</v>
      </c>
      <c r="FI857" t="n">
        <v>-1425</v>
      </c>
      <c r="FJ857" t="n">
        <v>78.81391762805228</v>
      </c>
      <c r="FK857" t="n">
        <v>77.97039500733554</v>
      </c>
      <c r="FL857" t="n">
        <v>78.21913123598046</v>
      </c>
      <c r="FM857" t="n">
        <v>77.26888953314484</v>
      </c>
      <c r="FN857" t="n">
        <v>78.18632381449524</v>
      </c>
      <c r="FO857" t="n">
        <v>77.4806025261086</v>
      </c>
      <c r="FP857" t="n">
        <v>77.70905491081034</v>
      </c>
      <c r="HH857" t="n">
        <v>77.95</v>
      </c>
      <c r="HS857" t="n">
        <v>3.93</v>
      </c>
      <c r="ID857" t="n">
        <v>0.62</v>
      </c>
      <c r="IF857" t="n">
        <v>20</v>
      </c>
      <c r="IG857" t="n">
        <v>251</v>
      </c>
      <c r="IH857" t="n">
        <v>5271</v>
      </c>
      <c r="II857" t="n">
        <v>-4769</v>
      </c>
      <c r="IJ857" t="n">
        <v>217.384383065189</v>
      </c>
      <c r="IK857" t="n">
        <v>215.4187720771702</v>
      </c>
      <c r="IL857" t="n">
        <v>212.0597584621478</v>
      </c>
      <c r="IM857" t="n">
        <v>213.5132645595023</v>
      </c>
      <c r="IN857" t="n">
        <v>211.0146906333805</v>
      </c>
      <c r="IO857" t="n">
        <v>214.179601008475</v>
      </c>
      <c r="KH857" t="n">
        <v>213.928</v>
      </c>
      <c r="KS857" t="n">
        <v>-14.77</v>
      </c>
      <c r="LD857" t="n">
        <v>0.98</v>
      </c>
    </row>
    <row r="858">
      <c r="A858" t="inlineStr">
        <is>
          <t>2026-03-10</t>
        </is>
      </c>
      <c r="B858" t="inlineStr">
        <is>
          <t>General Chem 26</t>
        </is>
      </c>
      <c r="C858" t="inlineStr">
        <is>
          <t>00105305426031001</t>
        </is>
      </c>
      <c r="D858" t="inlineStr">
        <is>
          <t>ALT</t>
        </is>
      </c>
      <c r="F858" t="n">
        <v>15</v>
      </c>
      <c r="G858" t="n">
        <v>28</v>
      </c>
      <c r="H858" t="n">
        <v>448</v>
      </c>
      <c r="I858" t="n">
        <v>-392</v>
      </c>
      <c r="J858" t="n">
        <v>27.49006125298835</v>
      </c>
      <c r="K858" t="n">
        <v>27.61358969259718</v>
      </c>
      <c r="L858" t="n">
        <v>24.187535230104</v>
      </c>
      <c r="M858" t="n">
        <v>26.8550364545543</v>
      </c>
      <c r="N858" t="n">
        <v>27.62274495614189</v>
      </c>
      <c r="O858" t="n">
        <v>25.17269348554842</v>
      </c>
      <c r="P858" t="n">
        <v>26.5549246162878</v>
      </c>
      <c r="Q858" t="n">
        <v>28.26755817878708</v>
      </c>
      <c r="R858" t="n">
        <v>23.2451002316563</v>
      </c>
      <c r="BH858" t="n">
        <v>26.569</v>
      </c>
      <c r="BS858" t="n">
        <v>-5.11</v>
      </c>
      <c r="CD858" t="n">
        <v>6.43</v>
      </c>
      <c r="CF858" t="n">
        <v>15</v>
      </c>
      <c r="CG858" t="n">
        <v>115</v>
      </c>
      <c r="CH858" t="n">
        <v>1840</v>
      </c>
      <c r="CI858" t="n">
        <v>-1610</v>
      </c>
      <c r="CJ858" t="n">
        <v>117.4952829912659</v>
      </c>
      <c r="CK858" t="n">
        <v>123.190626351325</v>
      </c>
      <c r="CL858" t="n">
        <v>116.656773510708</v>
      </c>
      <c r="CM858" t="n">
        <v>117.9805780907325</v>
      </c>
      <c r="CN858" t="n">
        <v>108.7183104275895</v>
      </c>
      <c r="CO858" t="n">
        <v>116.2198639206072</v>
      </c>
      <c r="CP858" t="n">
        <v>112.1854504904213</v>
      </c>
      <c r="CQ858" t="n">
        <v>121.3284462014169</v>
      </c>
      <c r="CR858" t="n">
        <v>115.0269519880412</v>
      </c>
      <c r="EH858" t="n">
        <v>116.534</v>
      </c>
      <c r="ES858" t="n">
        <v>1.33</v>
      </c>
      <c r="FD858" t="n">
        <v>3.53</v>
      </c>
      <c r="FF858" t="n">
        <v>15</v>
      </c>
      <c r="FG858" t="n">
        <v>26</v>
      </c>
      <c r="FH858" t="n">
        <v>416</v>
      </c>
      <c r="FI858" t="n">
        <v>-364</v>
      </c>
      <c r="FJ858" t="n">
        <v>22.28643550099128</v>
      </c>
      <c r="FK858" t="n">
        <v>22.73457423335461</v>
      </c>
      <c r="FL858" t="n">
        <v>19.09439123691276</v>
      </c>
      <c r="FM858" t="n">
        <v>24.54927416343638</v>
      </c>
      <c r="FN858" t="n">
        <v>21.07092164262935</v>
      </c>
      <c r="FO858" t="n">
        <v>26.30980718161137</v>
      </c>
      <c r="FP858" t="n">
        <v>24.91693127217495</v>
      </c>
      <c r="HH858" t="n">
        <v>22.995</v>
      </c>
      <c r="HS858" t="n">
        <v>-11.56</v>
      </c>
      <c r="ID858" t="n">
        <v>9.94</v>
      </c>
      <c r="IF858" t="n">
        <v>15</v>
      </c>
      <c r="IG858" t="n">
        <v>217</v>
      </c>
      <c r="IH858" t="n">
        <v>3472</v>
      </c>
      <c r="II858" t="n">
        <v>-3038</v>
      </c>
      <c r="IJ858" t="n">
        <v>207.787391439858</v>
      </c>
      <c r="IK858" t="n">
        <v>201.9766861763871</v>
      </c>
      <c r="IL858" t="n">
        <v>200.5704771560623</v>
      </c>
      <c r="IM858" t="n">
        <v>198.8197119527</v>
      </c>
      <c r="IN858" t="n">
        <v>206.956026845632</v>
      </c>
      <c r="IO858" t="n">
        <v>207.3756614271603</v>
      </c>
      <c r="KH858" t="n">
        <v>203.914</v>
      </c>
      <c r="KS858" t="n">
        <v>-6.03</v>
      </c>
      <c r="LD858" t="n">
        <v>1.76</v>
      </c>
    </row>
    <row r="859">
      <c r="A859" t="inlineStr">
        <is>
          <t>2026-03-10</t>
        </is>
      </c>
      <c r="B859" t="inlineStr">
        <is>
          <t>General Chem 26</t>
        </is>
      </c>
      <c r="C859" t="inlineStr">
        <is>
          <t>00105305426031001</t>
        </is>
      </c>
      <c r="D859" t="inlineStr">
        <is>
          <t>BUN</t>
        </is>
      </c>
      <c r="F859" t="n">
        <v>9</v>
      </c>
      <c r="G859" t="n">
        <v>14.8</v>
      </c>
      <c r="H859" t="n">
        <v>148</v>
      </c>
      <c r="I859" t="n">
        <v>-118.4</v>
      </c>
      <c r="J859" t="n">
        <v>13.44032825897554</v>
      </c>
      <c r="K859" t="n">
        <v>13.92721308359125</v>
      </c>
      <c r="L859" t="n">
        <v>12.92423812908823</v>
      </c>
      <c r="M859" t="n">
        <v>13.56827642417105</v>
      </c>
      <c r="N859" t="n">
        <v>13.74400631355411</v>
      </c>
      <c r="O859" t="n">
        <v>13.93956805278214</v>
      </c>
      <c r="P859" t="n">
        <v>13.91114199705902</v>
      </c>
      <c r="Q859" t="n">
        <v>14.00216287664293</v>
      </c>
      <c r="R859" t="n">
        <v>13.36622429181604</v>
      </c>
      <c r="BH859" t="n">
        <v>13.663</v>
      </c>
      <c r="BS859" t="n">
        <v>-7.68</v>
      </c>
      <c r="CD859" t="n">
        <v>2.36</v>
      </c>
      <c r="CF859" t="n">
        <v>9</v>
      </c>
      <c r="CG859" t="n">
        <v>44.7</v>
      </c>
      <c r="CH859" t="n">
        <v>447</v>
      </c>
      <c r="CI859" t="n">
        <v>-357.6</v>
      </c>
      <c r="CJ859" t="n">
        <v>43.77372487534841</v>
      </c>
      <c r="CK859" t="n">
        <v>44.35199449845569</v>
      </c>
      <c r="CL859" t="n">
        <v>43.50933745391934</v>
      </c>
      <c r="CM859" t="n">
        <v>43.75665392072939</v>
      </c>
      <c r="CN859" t="n">
        <v>43.75087789572879</v>
      </c>
      <c r="CO859" t="n">
        <v>43.36919784074376</v>
      </c>
      <c r="CP859" t="n">
        <v>43.91415670087944</v>
      </c>
      <c r="CQ859" t="n">
        <v>43.26605501913048</v>
      </c>
      <c r="CR859" t="n">
        <v>43.7104489167859</v>
      </c>
      <c r="EH859" t="n">
        <v>43.711</v>
      </c>
      <c r="ES859" t="n">
        <v>-2.21</v>
      </c>
      <c r="FD859" t="n">
        <v>0.6899999999999999</v>
      </c>
      <c r="FF859" t="n">
        <v>9</v>
      </c>
      <c r="FG859" t="n">
        <v>14.7</v>
      </c>
      <c r="FH859" t="n">
        <v>147</v>
      </c>
      <c r="FI859" t="n">
        <v>-117.6</v>
      </c>
      <c r="FJ859" t="n">
        <v>13.9176313276546</v>
      </c>
      <c r="FK859" t="n">
        <v>14.17996179341228</v>
      </c>
      <c r="FL859" t="n">
        <v>14.13281682353039</v>
      </c>
      <c r="FM859" t="n">
        <v>13.68464404648263</v>
      </c>
      <c r="FN859" t="n">
        <v>14.14423926122304</v>
      </c>
      <c r="FO859" t="n">
        <v>13.63845782622237</v>
      </c>
      <c r="FP859" t="n">
        <v>14.15431807398674</v>
      </c>
      <c r="HH859" t="n">
        <v>13.979</v>
      </c>
      <c r="HS859" t="n">
        <v>-4.91</v>
      </c>
      <c r="ID859" t="n">
        <v>1.55</v>
      </c>
      <c r="IF859" t="n">
        <v>9</v>
      </c>
      <c r="IG859" t="n">
        <v>65.7</v>
      </c>
      <c r="IH859" t="n">
        <v>657</v>
      </c>
      <c r="II859" t="n">
        <v>-525.6</v>
      </c>
      <c r="IJ859" t="n">
        <v>64.81631361635931</v>
      </c>
      <c r="IK859" t="n">
        <v>63.45517598921003</v>
      </c>
      <c r="IL859" t="n">
        <v>62.87198653030962</v>
      </c>
      <c r="IM859" t="n">
        <v>62.7255151425702</v>
      </c>
      <c r="IN859" t="n">
        <v>63.58890673708147</v>
      </c>
      <c r="IO859" t="n">
        <v>63.83901438816104</v>
      </c>
      <c r="KH859" t="n">
        <v>63.549</v>
      </c>
      <c r="KS859" t="n">
        <v>-3.27</v>
      </c>
      <c r="LD859" t="n">
        <v>1.08</v>
      </c>
    </row>
    <row r="860">
      <c r="A860" t="inlineStr">
        <is>
          <t>2026-03-10</t>
        </is>
      </c>
      <c r="B860" t="inlineStr">
        <is>
          <t>General Chem 26</t>
        </is>
      </c>
      <c r="C860" t="inlineStr">
        <is>
          <t>00105305426031001</t>
        </is>
      </c>
      <c r="D860" t="inlineStr">
        <is>
          <t>CREA</t>
        </is>
      </c>
      <c r="F860" t="n">
        <v>10</v>
      </c>
      <c r="G860" t="n">
        <v>1.5</v>
      </c>
      <c r="H860" t="n">
        <v>16.5</v>
      </c>
      <c r="I860" t="n">
        <v>-13.5</v>
      </c>
      <c r="J860" t="n">
        <v>1.200348012290348</v>
      </c>
      <c r="K860" t="n">
        <v>1.339615204939428</v>
      </c>
      <c r="L860" t="n">
        <v>1.147014517675983</v>
      </c>
      <c r="M860" t="n">
        <v>1.106498456362334</v>
      </c>
      <c r="N860" t="n">
        <v>1.276935390434514</v>
      </c>
      <c r="O860" t="n">
        <v>1.357662172459373</v>
      </c>
      <c r="P860" t="n">
        <v>1.208504871933006</v>
      </c>
      <c r="Q860" t="n">
        <v>1.131199271995195</v>
      </c>
      <c r="R860" t="n">
        <v>1.171197364748355</v>
      </c>
      <c r="BH860" t="n">
        <v>1.216</v>
      </c>
      <c r="BS860" t="n">
        <v>-18.91</v>
      </c>
      <c r="CD860" t="n">
        <v>6.65</v>
      </c>
      <c r="CF860" t="n">
        <v>10</v>
      </c>
      <c r="CG860" t="n">
        <v>5.55</v>
      </c>
      <c r="CH860" t="n">
        <v>61.05</v>
      </c>
      <c r="CI860" t="n">
        <v>-49.95</v>
      </c>
      <c r="CJ860" t="n">
        <v>4.463066759636746</v>
      </c>
      <c r="CK860" t="n">
        <v>4.432461906292521</v>
      </c>
      <c r="CL860" t="n">
        <v>4.433174325926085</v>
      </c>
      <c r="CM860" t="n">
        <v>4.312575912769393</v>
      </c>
      <c r="CN860" t="n">
        <v>4.384014246339464</v>
      </c>
      <c r="CO860" t="n">
        <v>4.47221490566307</v>
      </c>
      <c r="CP860" t="n">
        <v>4.432775732638383</v>
      </c>
      <c r="CQ860" t="n">
        <v>4.206010331782806</v>
      </c>
      <c r="CR860" t="n">
        <v>4.304187343588147</v>
      </c>
      <c r="EH860" t="n">
        <v>4.382</v>
      </c>
      <c r="ES860" t="n">
        <v>-21.04</v>
      </c>
      <c r="FD860" t="n">
        <v>1.93</v>
      </c>
      <c r="FF860" t="n">
        <v>10</v>
      </c>
      <c r="FG860" t="n">
        <v>0.97</v>
      </c>
      <c r="FH860" t="n">
        <v>10.67</v>
      </c>
      <c r="FI860" t="n">
        <v>-8.73</v>
      </c>
      <c r="FJ860" t="n">
        <v>0.586818235707786</v>
      </c>
      <c r="FK860" t="n">
        <v>0.7395427253343169</v>
      </c>
      <c r="FL860" t="n">
        <v>0.6447395587875513</v>
      </c>
      <c r="FM860" t="n">
        <v>0.6478748477805291</v>
      </c>
      <c r="FN860" t="n">
        <v>0.7069834588132271</v>
      </c>
      <c r="FO860" t="n">
        <v>0.6108846037644565</v>
      </c>
      <c r="FP860" t="n">
        <v>0.6779150245274319</v>
      </c>
      <c r="HH860" t="n">
        <v>0.659</v>
      </c>
      <c r="HS860" t="n">
        <v>-32.04</v>
      </c>
      <c r="ID860" t="n">
        <v>7.48</v>
      </c>
      <c r="IF860" t="n">
        <v>10</v>
      </c>
      <c r="IG860" t="n">
        <v>5.95</v>
      </c>
      <c r="IH860" t="n">
        <v>65.45</v>
      </c>
      <c r="II860" t="n">
        <v>-53.55</v>
      </c>
      <c r="IJ860" t="n">
        <v>5.093523865739427</v>
      </c>
      <c r="IK860" t="n">
        <v>5.019871178146341</v>
      </c>
      <c r="IL860" t="n">
        <v>5.03852428001926</v>
      </c>
      <c r="IM860" t="n">
        <v>5.007316150104643</v>
      </c>
      <c r="IN860" t="n">
        <v>5.095888965236245</v>
      </c>
      <c r="IO860" t="n">
        <v>4.965444976547277</v>
      </c>
      <c r="KH860" t="n">
        <v>5.037</v>
      </c>
      <c r="KS860" t="n">
        <v>-15.35</v>
      </c>
      <c r="LD860" t="n">
        <v>0.92</v>
      </c>
    </row>
    <row r="861">
      <c r="A861" t="inlineStr">
        <is>
          <t>2026-03-10</t>
        </is>
      </c>
      <c r="B861" t="inlineStr">
        <is>
          <t>General Chem 26</t>
        </is>
      </c>
      <c r="C861" t="inlineStr">
        <is>
          <t>00105305426031001</t>
        </is>
      </c>
      <c r="D861" t="inlineStr">
        <is>
          <t>GLU</t>
        </is>
      </c>
      <c r="F861" t="n">
        <v>8</v>
      </c>
      <c r="G861" t="n">
        <v>90.16</v>
      </c>
      <c r="H861" t="n">
        <v>811.4399999999999</v>
      </c>
      <c r="I861" t="n">
        <v>-631.12</v>
      </c>
      <c r="J861" t="n">
        <v>89.59255422772793</v>
      </c>
      <c r="K861" t="n">
        <v>89.3935952766636</v>
      </c>
      <c r="L861" t="n">
        <v>86.20178106443802</v>
      </c>
      <c r="M861" t="n">
        <v>90.00371945750481</v>
      </c>
      <c r="N861" t="n">
        <v>89.63871422334412</v>
      </c>
      <c r="O861" t="n">
        <v>89.10342265976993</v>
      </c>
      <c r="P861" t="n">
        <v>88.73799890696247</v>
      </c>
      <c r="Q861" t="n">
        <v>89.74274932422935</v>
      </c>
      <c r="R861" t="n">
        <v>87.77726327919615</v>
      </c>
      <c r="BH861" t="n">
        <v>88.83799999999999</v>
      </c>
      <c r="BS861" t="n">
        <v>-1.47</v>
      </c>
      <c r="CD861" t="n">
        <v>1.25</v>
      </c>
      <c r="CF861" t="n">
        <v>8</v>
      </c>
      <c r="CG861" t="n">
        <v>293.02</v>
      </c>
      <c r="CH861" t="n">
        <v>2637.18</v>
      </c>
      <c r="CI861" t="n">
        <v>-2051.14</v>
      </c>
      <c r="CJ861" t="n">
        <v>301.2985627133506</v>
      </c>
      <c r="CK861" t="n">
        <v>299.0832506950508</v>
      </c>
      <c r="CL861" t="n">
        <v>291.6935304490289</v>
      </c>
      <c r="CM861" t="n">
        <v>294.6851821237779</v>
      </c>
      <c r="CN861" t="n">
        <v>294.1859710693578</v>
      </c>
      <c r="CO861" t="n">
        <v>293.1623204760086</v>
      </c>
      <c r="CP861" t="n">
        <v>299.2879057706992</v>
      </c>
      <c r="CQ861" t="n">
        <v>297.2273608515391</v>
      </c>
      <c r="CR861" t="n">
        <v>290.8966061635135</v>
      </c>
      <c r="EH861" t="n">
        <v>295.725</v>
      </c>
      <c r="ES861" t="n">
        <v>0.92</v>
      </c>
      <c r="FD861" t="n">
        <v>1.17</v>
      </c>
      <c r="FF861" t="n">
        <v>8</v>
      </c>
      <c r="FG861" t="n">
        <v>65.66</v>
      </c>
      <c r="FH861" t="n">
        <v>590.9399999999999</v>
      </c>
      <c r="FI861" t="n">
        <v>-459.62</v>
      </c>
      <c r="FJ861" t="n">
        <v>65.43368660111517</v>
      </c>
      <c r="FK861" t="n">
        <v>64.99805183649946</v>
      </c>
      <c r="FL861" t="n">
        <v>64.75981038924147</v>
      </c>
      <c r="FM861" t="n">
        <v>64.02173079027486</v>
      </c>
      <c r="FN861" t="n">
        <v>65.04390084928585</v>
      </c>
      <c r="FO861" t="n">
        <v>63.1876845437061</v>
      </c>
      <c r="FP861" t="n">
        <v>64.77377217049951</v>
      </c>
      <c r="HH861" t="n">
        <v>64.60299999999999</v>
      </c>
      <c r="HS861" t="n">
        <v>-1.61</v>
      </c>
      <c r="ID861" t="n">
        <v>1.08</v>
      </c>
      <c r="IF861" t="n">
        <v>8</v>
      </c>
      <c r="IG861" t="n">
        <v>359.66</v>
      </c>
      <c r="IH861" t="n">
        <v>3236.94</v>
      </c>
      <c r="II861" t="n">
        <v>-2517.62</v>
      </c>
      <c r="IJ861" t="n">
        <v>355.4487135156313</v>
      </c>
      <c r="IK861" t="n">
        <v>353.5581632248318</v>
      </c>
      <c r="IL861" t="n">
        <v>348.3953113342151</v>
      </c>
      <c r="IM861" t="n">
        <v>341.7392370791302</v>
      </c>
      <c r="IN861" t="n">
        <v>351.9517441469213</v>
      </c>
      <c r="IO861" t="n">
        <v>355.6720197835521</v>
      </c>
      <c r="KH861" t="n">
        <v>351.128</v>
      </c>
      <c r="KS861" t="n">
        <v>-2.37</v>
      </c>
      <c r="LD861" t="n">
        <v>1.38</v>
      </c>
    </row>
    <row r="862">
      <c r="A862" t="inlineStr">
        <is>
          <t>2026-03-10</t>
        </is>
      </c>
      <c r="B862" t="inlineStr">
        <is>
          <t>General Chem 26</t>
        </is>
      </c>
      <c r="C862" t="inlineStr">
        <is>
          <t>00105305426031001</t>
        </is>
      </c>
      <c r="D862" t="inlineStr">
        <is>
          <t>TP</t>
        </is>
      </c>
      <c r="F862" t="n">
        <v>8</v>
      </c>
      <c r="G862" t="n">
        <v>6.4</v>
      </c>
      <c r="H862" t="n">
        <v>57.6</v>
      </c>
      <c r="I862" t="n">
        <v>-44.8</v>
      </c>
      <c r="J862" t="n">
        <v>6.048872660685374</v>
      </c>
      <c r="K862" t="n">
        <v>6.13832476326122</v>
      </c>
      <c r="L862" t="n">
        <v>5.825930184197537</v>
      </c>
      <c r="M862" t="n">
        <v>6.159840910782989</v>
      </c>
      <c r="N862" t="n">
        <v>6.137718342254656</v>
      </c>
      <c r="O862" t="n">
        <v>6.147846580567526</v>
      </c>
      <c r="P862" t="n">
        <v>6.134704917121153</v>
      </c>
      <c r="Q862" t="n">
        <v>6.200906383053566</v>
      </c>
      <c r="R862" t="n">
        <v>6.009921937536658</v>
      </c>
      <c r="BH862" t="n">
        <v>6.088</v>
      </c>
      <c r="BS862" t="n">
        <v>-4.87</v>
      </c>
      <c r="CD862" t="n">
        <v>1.68</v>
      </c>
      <c r="CF862" t="n">
        <v>8</v>
      </c>
      <c r="CG862" t="n">
        <v>4.1</v>
      </c>
      <c r="CH862" t="n">
        <v>36.9</v>
      </c>
      <c r="CI862" t="n">
        <v>-28.7</v>
      </c>
      <c r="CJ862" t="n">
        <v>4.014053122901462</v>
      </c>
      <c r="CK862" t="n">
        <v>4.047270887032596</v>
      </c>
      <c r="CL862" t="n">
        <v>3.950412109591073</v>
      </c>
      <c r="CM862" t="n">
        <v>4.00183577781989</v>
      </c>
      <c r="CN862" t="n">
        <v>3.98538172500053</v>
      </c>
      <c r="CO862" t="n">
        <v>4.020750451414484</v>
      </c>
      <c r="CP862" t="n">
        <v>4.025937606203728</v>
      </c>
      <c r="CQ862" t="n">
        <v>3.983369880799226</v>
      </c>
      <c r="CR862" t="n">
        <v>3.998841896095344</v>
      </c>
      <c r="EH862" t="n">
        <v>4.003</v>
      </c>
      <c r="ES862" t="n">
        <v>-2.36</v>
      </c>
      <c r="FD862" t="n">
        <v>0.67</v>
      </c>
      <c r="FF862" t="n">
        <v>8</v>
      </c>
      <c r="FG862" t="n">
        <v>4.2</v>
      </c>
      <c r="FH862" t="n">
        <v>37.8</v>
      </c>
      <c r="FI862" t="n">
        <v>-29.4</v>
      </c>
      <c r="FJ862" t="n">
        <v>3.702048890670334</v>
      </c>
      <c r="FK862" t="n">
        <v>3.733636318645841</v>
      </c>
      <c r="FL862" t="n">
        <v>3.694309187998356</v>
      </c>
      <c r="FM862" t="n">
        <v>3.627773782822984</v>
      </c>
      <c r="FN862" t="n">
        <v>3.737048976394739</v>
      </c>
      <c r="FO862" t="n">
        <v>3.544180139473313</v>
      </c>
      <c r="FP862" t="n">
        <v>3.733590796437761</v>
      </c>
      <c r="HH862" t="n">
        <v>3.682</v>
      </c>
      <c r="HS862" t="n">
        <v>-12.34</v>
      </c>
      <c r="ID862" t="n">
        <v>1.8</v>
      </c>
      <c r="IF862" t="n">
        <v>8</v>
      </c>
      <c r="IG862" t="n">
        <v>7.5</v>
      </c>
      <c r="IH862" t="n">
        <v>67.5</v>
      </c>
      <c r="II862" t="n">
        <v>-52.5</v>
      </c>
      <c r="IJ862" t="n">
        <v>7.138962789224498</v>
      </c>
      <c r="IK862" t="n">
        <v>7.058691672260382</v>
      </c>
      <c r="IL862" t="n">
        <v>6.960276867814015</v>
      </c>
      <c r="IM862" t="n">
        <v>6.851914933730967</v>
      </c>
      <c r="IN862" t="n">
        <v>7.042317449524479</v>
      </c>
      <c r="IO862" t="n">
        <v>7.170061463739399</v>
      </c>
      <c r="KH862" t="n">
        <v>7.037</v>
      </c>
      <c r="KS862" t="n">
        <v>-6.17</v>
      </c>
      <c r="LD862" t="n">
        <v>1.52</v>
      </c>
    </row>
    <row r="863">
      <c r="A863" t="inlineStr">
        <is>
          <t>2026-03-06</t>
        </is>
      </c>
      <c r="B863" t="inlineStr">
        <is>
          <t>General Chem 26</t>
        </is>
      </c>
      <c r="C863" t="inlineStr">
        <is>
          <t>00105305425120101</t>
        </is>
      </c>
      <c r="D863" t="inlineStr">
        <is>
          <t>ALB</t>
        </is>
      </c>
      <c r="F863" t="n">
        <v>8</v>
      </c>
      <c r="G863" t="n">
        <v>4.2</v>
      </c>
      <c r="H863" t="n">
        <v>37.8</v>
      </c>
      <c r="I863" t="n">
        <v>-29.4</v>
      </c>
      <c r="J863" t="n">
        <v>3.942637295210627</v>
      </c>
      <c r="K863" t="n">
        <v>3.919084879178516</v>
      </c>
      <c r="L863" t="n">
        <v>4.002561321672379</v>
      </c>
      <c r="BH863" t="n">
        <v>3.955</v>
      </c>
      <c r="BS863" t="n">
        <v>-5.84</v>
      </c>
      <c r="CD863" t="n">
        <v>0.89</v>
      </c>
      <c r="CF863" t="n">
        <v>8</v>
      </c>
      <c r="CG863" t="n">
        <v>2.7</v>
      </c>
      <c r="CH863" t="n">
        <v>24.3</v>
      </c>
      <c r="CI863" t="n">
        <v>-18.9</v>
      </c>
      <c r="CJ863" t="n">
        <v>2.727138868943852</v>
      </c>
      <c r="EH863" t="n">
        <v>2.727</v>
      </c>
      <c r="ES863" t="n">
        <v>1.01</v>
      </c>
      <c r="FF863" t="n">
        <v>8</v>
      </c>
      <c r="FG863" t="n">
        <v>2.6</v>
      </c>
      <c r="FH863" t="n">
        <v>23.4</v>
      </c>
      <c r="FI863" t="n">
        <v>-18.2</v>
      </c>
      <c r="IF863" t="n">
        <v>8</v>
      </c>
      <c r="IG863" t="n">
        <v>4.2</v>
      </c>
      <c r="IH863" t="n">
        <v>37.8</v>
      </c>
      <c r="II863" t="n">
        <v>-29.4</v>
      </c>
    </row>
    <row r="864">
      <c r="A864" t="inlineStr">
        <is>
          <t>2026-03-06</t>
        </is>
      </c>
      <c r="B864" t="inlineStr">
        <is>
          <t>General Chem 26</t>
        </is>
      </c>
      <c r="C864" t="inlineStr">
        <is>
          <t>00105305425120101</t>
        </is>
      </c>
      <c r="D864" t="inlineStr">
        <is>
          <t>ALP</t>
        </is>
      </c>
      <c r="F864" t="n">
        <v>20</v>
      </c>
      <c r="G864" t="n">
        <v>136</v>
      </c>
      <c r="H864" t="n">
        <v>2856</v>
      </c>
      <c r="I864" t="n">
        <v>-2584</v>
      </c>
      <c r="J864" t="n">
        <v>142.9368908296858</v>
      </c>
      <c r="K864" t="n">
        <v>142.7656793675678</v>
      </c>
      <c r="L864" t="n">
        <v>141.6746918982405</v>
      </c>
      <c r="BH864" t="n">
        <v>142.459</v>
      </c>
      <c r="BS864" t="n">
        <v>4.75</v>
      </c>
      <c r="CD864" t="n">
        <v>0.39</v>
      </c>
      <c r="CF864" t="n">
        <v>20</v>
      </c>
      <c r="CG864" t="n">
        <v>456</v>
      </c>
      <c r="CH864" t="n">
        <v>9576</v>
      </c>
      <c r="CI864" t="n">
        <v>-8664</v>
      </c>
      <c r="CJ864" t="n">
        <v>458.9888898655958</v>
      </c>
      <c r="EH864" t="n">
        <v>458.989</v>
      </c>
      <c r="ES864" t="n">
        <v>0.66</v>
      </c>
      <c r="FF864" t="n">
        <v>20</v>
      </c>
      <c r="FG864" t="n">
        <v>75</v>
      </c>
      <c r="FH864" t="n">
        <v>1575</v>
      </c>
      <c r="FI864" t="n">
        <v>-1425</v>
      </c>
      <c r="IF864" t="n">
        <v>20</v>
      </c>
      <c r="IG864" t="n">
        <v>251</v>
      </c>
      <c r="IH864" t="n">
        <v>5271</v>
      </c>
      <c r="II864" t="n">
        <v>-4769</v>
      </c>
    </row>
    <row r="865">
      <c r="A865" t="inlineStr">
        <is>
          <t>2026-03-06</t>
        </is>
      </c>
      <c r="B865" t="inlineStr">
        <is>
          <t>General Chem 26</t>
        </is>
      </c>
      <c r="C865" t="inlineStr">
        <is>
          <t>00105305425120101</t>
        </is>
      </c>
      <c r="D865" t="inlineStr">
        <is>
          <t>ALT</t>
        </is>
      </c>
      <c r="F865" t="n">
        <v>15</v>
      </c>
      <c r="G865" t="n">
        <v>28</v>
      </c>
      <c r="H865" t="n">
        <v>448</v>
      </c>
      <c r="I865" t="n">
        <v>-392</v>
      </c>
      <c r="J865" t="n">
        <v>28.00723623226933</v>
      </c>
      <c r="K865" t="n">
        <v>25.73425276348742</v>
      </c>
      <c r="L865" t="n">
        <v>31.20400496677111</v>
      </c>
      <c r="BH865" t="n">
        <v>28.315</v>
      </c>
      <c r="BS865" t="n">
        <v>1.13</v>
      </c>
      <c r="CD865" t="n">
        <v>7.92</v>
      </c>
      <c r="CF865" t="n">
        <v>15</v>
      </c>
      <c r="CG865" t="n">
        <v>115</v>
      </c>
      <c r="CH865" t="n">
        <v>1840</v>
      </c>
      <c r="CI865" t="n">
        <v>-1610</v>
      </c>
      <c r="CJ865" t="n">
        <v>117.4548788524768</v>
      </c>
      <c r="EH865" t="n">
        <v>117.455</v>
      </c>
      <c r="ES865" t="n">
        <v>2.13</v>
      </c>
      <c r="FF865" t="n">
        <v>15</v>
      </c>
      <c r="FG865" t="n">
        <v>26</v>
      </c>
      <c r="FH865" t="n">
        <v>416</v>
      </c>
      <c r="FI865" t="n">
        <v>-364</v>
      </c>
      <c r="IF865" t="n">
        <v>15</v>
      </c>
      <c r="IG865" t="n">
        <v>217</v>
      </c>
      <c r="IH865" t="n">
        <v>3472</v>
      </c>
      <c r="II865" t="n">
        <v>-3038</v>
      </c>
    </row>
    <row r="866">
      <c r="A866" t="inlineStr">
        <is>
          <t>2026-03-06</t>
        </is>
      </c>
      <c r="B866" t="inlineStr">
        <is>
          <t>General Chem 26</t>
        </is>
      </c>
      <c r="C866" t="inlineStr">
        <is>
          <t>00105305425120101</t>
        </is>
      </c>
      <c r="D866" t="inlineStr">
        <is>
          <t>AMY</t>
        </is>
      </c>
      <c r="F866" t="n">
        <v>10</v>
      </c>
      <c r="G866" t="n">
        <v>78</v>
      </c>
      <c r="H866" t="n">
        <v>858</v>
      </c>
      <c r="I866" t="n">
        <v>-702</v>
      </c>
      <c r="J866" t="n">
        <v>74.43298348651408</v>
      </c>
      <c r="K866" t="n">
        <v>74.27794585641936</v>
      </c>
      <c r="L866" t="n">
        <v>74.85597468002533</v>
      </c>
      <c r="BH866" t="n">
        <v>74.52200000000001</v>
      </c>
      <c r="BS866" t="n">
        <v>-4.46</v>
      </c>
      <c r="CD866" t="n">
        <v>0.33</v>
      </c>
      <c r="CF866" t="n">
        <v>10</v>
      </c>
      <c r="CG866" t="n">
        <v>404</v>
      </c>
      <c r="CH866" t="n">
        <v>4444</v>
      </c>
      <c r="CI866" t="n">
        <v>-3636</v>
      </c>
      <c r="CJ866" t="n">
        <v>398.8000235086519</v>
      </c>
      <c r="EH866" t="n">
        <v>398.8</v>
      </c>
      <c r="ES866" t="n">
        <v>-1.29</v>
      </c>
      <c r="FF866" t="n">
        <v>10</v>
      </c>
      <c r="FG866" t="n">
        <v>63</v>
      </c>
      <c r="FH866" t="n">
        <v>693</v>
      </c>
      <c r="FI866" t="n">
        <v>-567</v>
      </c>
      <c r="IF866" t="n">
        <v>10</v>
      </c>
      <c r="IG866" t="n">
        <v>297</v>
      </c>
      <c r="IH866" t="n">
        <v>3267</v>
      </c>
      <c r="II866" t="n">
        <v>-2673</v>
      </c>
    </row>
    <row r="867">
      <c r="A867" t="inlineStr">
        <is>
          <t>2026-03-06</t>
        </is>
      </c>
      <c r="B867" t="inlineStr">
        <is>
          <t>General Chem 26</t>
        </is>
      </c>
      <c r="C867" t="inlineStr">
        <is>
          <t>00105305425120101</t>
        </is>
      </c>
      <c r="D867" t="inlineStr">
        <is>
          <t>AST</t>
        </is>
      </c>
      <c r="F867" t="n">
        <v>15</v>
      </c>
      <c r="G867" t="n">
        <v>44</v>
      </c>
      <c r="H867" t="n">
        <v>704</v>
      </c>
      <c r="I867" t="n">
        <v>-616</v>
      </c>
      <c r="J867" t="n">
        <v>46.77063887325072</v>
      </c>
      <c r="K867" t="n">
        <v>45.15699718635091</v>
      </c>
      <c r="L867" t="n">
        <v>46.00731170260385</v>
      </c>
      <c r="BH867" t="n">
        <v>45.978</v>
      </c>
      <c r="BS867" t="n">
        <v>4.5</v>
      </c>
      <c r="CD867" t="n">
        <v>1.43</v>
      </c>
      <c r="CF867" t="n">
        <v>15</v>
      </c>
      <c r="CG867" t="n">
        <v>221</v>
      </c>
      <c r="CH867" t="n">
        <v>3536</v>
      </c>
      <c r="CI867" t="n">
        <v>-3094</v>
      </c>
      <c r="CJ867" t="n">
        <v>230.3499620131076</v>
      </c>
      <c r="EH867" t="n">
        <v>230.35</v>
      </c>
      <c r="ES867" t="n">
        <v>4.23</v>
      </c>
      <c r="FF867" t="n">
        <v>15</v>
      </c>
      <c r="FG867" t="n">
        <v>45</v>
      </c>
      <c r="FH867" t="n">
        <v>720</v>
      </c>
      <c r="FI867" t="n">
        <v>-630</v>
      </c>
      <c r="IF867" t="n">
        <v>15</v>
      </c>
      <c r="IG867" t="n">
        <v>282</v>
      </c>
      <c r="IH867" t="n">
        <v>4512</v>
      </c>
      <c r="II867" t="n">
        <v>-3948</v>
      </c>
    </row>
    <row r="868">
      <c r="A868" t="inlineStr">
        <is>
          <t>2026-03-06</t>
        </is>
      </c>
      <c r="B868" t="inlineStr">
        <is>
          <t>General Chem 26</t>
        </is>
      </c>
      <c r="C868" t="inlineStr">
        <is>
          <t>00105305425120101</t>
        </is>
      </c>
      <c r="D868" t="inlineStr">
        <is>
          <t>BUN</t>
        </is>
      </c>
      <c r="F868" t="n">
        <v>9</v>
      </c>
      <c r="G868" t="n">
        <v>14.8</v>
      </c>
      <c r="H868" t="n">
        <v>148</v>
      </c>
      <c r="I868" t="n">
        <v>-118.4</v>
      </c>
      <c r="J868" t="n">
        <v>13.91000589104736</v>
      </c>
      <c r="K868" t="n">
        <v>13.68973887441835</v>
      </c>
      <c r="L868" t="n">
        <v>14.22492713923119</v>
      </c>
      <c r="BH868" t="n">
        <v>13.942</v>
      </c>
      <c r="BS868" t="n">
        <v>-5.8</v>
      </c>
      <c r="CD868" t="n">
        <v>1.58</v>
      </c>
      <c r="CF868" t="n">
        <v>9</v>
      </c>
      <c r="CG868" t="n">
        <v>44.7</v>
      </c>
      <c r="CH868" t="n">
        <v>447</v>
      </c>
      <c r="CI868" t="n">
        <v>-357.6</v>
      </c>
      <c r="CJ868" t="n">
        <v>43.95158995849637</v>
      </c>
      <c r="EH868" t="n">
        <v>43.952</v>
      </c>
      <c r="ES868" t="n">
        <v>-1.67</v>
      </c>
      <c r="FF868" t="n">
        <v>9</v>
      </c>
      <c r="FG868" t="n">
        <v>14.7</v>
      </c>
      <c r="FH868" t="n">
        <v>147</v>
      </c>
      <c r="FI868" t="n">
        <v>-117.6</v>
      </c>
      <c r="IF868" t="n">
        <v>9</v>
      </c>
      <c r="IG868" t="n">
        <v>65.7</v>
      </c>
      <c r="IH868" t="n">
        <v>657</v>
      </c>
      <c r="II868" t="n">
        <v>-525.6</v>
      </c>
    </row>
    <row r="869">
      <c r="A869" t="inlineStr">
        <is>
          <t>2026-03-06</t>
        </is>
      </c>
      <c r="B869" t="inlineStr">
        <is>
          <t>General Chem 26</t>
        </is>
      </c>
      <c r="C869" t="inlineStr">
        <is>
          <t>00105305425120101</t>
        </is>
      </c>
      <c r="D869" t="inlineStr">
        <is>
          <t>CHOL</t>
        </is>
      </c>
      <c r="F869" t="n">
        <v>10</v>
      </c>
      <c r="G869" t="n">
        <v>228</v>
      </c>
      <c r="H869" t="n">
        <v>2508</v>
      </c>
      <c r="I869" t="n">
        <v>-2052</v>
      </c>
      <c r="J869" t="n">
        <v>231.9325005385292</v>
      </c>
      <c r="K869" t="n">
        <v>235.5543674338415</v>
      </c>
      <c r="L869" t="n">
        <v>241.9194872591897</v>
      </c>
      <c r="BH869" t="n">
        <v>236.469</v>
      </c>
      <c r="BS869" t="n">
        <v>3.71</v>
      </c>
      <c r="CD869" t="n">
        <v>1.75</v>
      </c>
      <c r="CF869" t="n">
        <v>10</v>
      </c>
      <c r="CG869" t="n">
        <v>99</v>
      </c>
      <c r="CH869" t="n">
        <v>1089</v>
      </c>
      <c r="CI869" t="n">
        <v>-891</v>
      </c>
      <c r="CJ869" t="n">
        <v>106.6718934522601</v>
      </c>
      <c r="EH869" t="n">
        <v>106.672</v>
      </c>
      <c r="ES869" t="n">
        <v>7.75</v>
      </c>
      <c r="FF869" t="n">
        <v>10</v>
      </c>
      <c r="FG869" t="n">
        <v>115</v>
      </c>
      <c r="FH869" t="n">
        <v>1265</v>
      </c>
      <c r="FI869" t="n">
        <v>-1035</v>
      </c>
      <c r="IF869" t="n">
        <v>10</v>
      </c>
      <c r="IG869" t="n">
        <v>269</v>
      </c>
      <c r="IH869" t="n">
        <v>2959</v>
      </c>
      <c r="II869" t="n">
        <v>-2421</v>
      </c>
    </row>
    <row r="870">
      <c r="A870" t="inlineStr">
        <is>
          <t>2026-03-06</t>
        </is>
      </c>
      <c r="B870" t="inlineStr">
        <is>
          <t>General Chem 26</t>
        </is>
      </c>
      <c r="C870" t="inlineStr">
        <is>
          <t>00105305425120101</t>
        </is>
      </c>
      <c r="D870" t="inlineStr">
        <is>
          <t>CREA</t>
        </is>
      </c>
      <c r="F870" t="n">
        <v>10</v>
      </c>
      <c r="G870" t="n">
        <v>1.5</v>
      </c>
      <c r="H870" t="n">
        <v>16.5</v>
      </c>
      <c r="I870" t="n">
        <v>-13.5</v>
      </c>
      <c r="J870" t="n">
        <v>1.220340976468859</v>
      </c>
      <c r="K870" t="n">
        <v>1.134494221404482</v>
      </c>
      <c r="L870" t="n">
        <v>1.195289696796993</v>
      </c>
      <c r="BH870" t="n">
        <v>1.183</v>
      </c>
      <c r="BS870" t="n">
        <v>-21.11</v>
      </c>
      <c r="CD870" t="n">
        <v>3.05</v>
      </c>
      <c r="CF870" t="n">
        <v>10</v>
      </c>
      <c r="CG870" t="n">
        <v>5.55</v>
      </c>
      <c r="CH870" t="n">
        <v>61.05</v>
      </c>
      <c r="CI870" t="n">
        <v>-49.95</v>
      </c>
      <c r="CJ870" t="n">
        <v>4.555460378167952</v>
      </c>
      <c r="EH870" t="n">
        <v>4.555</v>
      </c>
      <c r="ES870" t="n">
        <v>-17.92</v>
      </c>
      <c r="FF870" t="n">
        <v>10</v>
      </c>
      <c r="FG870" t="n">
        <v>0.97</v>
      </c>
      <c r="FH870" t="n">
        <v>10.67</v>
      </c>
      <c r="FI870" t="n">
        <v>-8.73</v>
      </c>
      <c r="IF870" t="n">
        <v>10</v>
      </c>
      <c r="IG870" t="n">
        <v>5.95</v>
      </c>
      <c r="IH870" t="n">
        <v>65.45</v>
      </c>
      <c r="II870" t="n">
        <v>-53.55</v>
      </c>
    </row>
    <row r="871">
      <c r="A871" t="inlineStr">
        <is>
          <t>2026-03-06</t>
        </is>
      </c>
      <c r="B871" t="inlineStr">
        <is>
          <t>General Chem 26</t>
        </is>
      </c>
      <c r="C871" t="inlineStr">
        <is>
          <t>00105305425120101</t>
        </is>
      </c>
      <c r="D871" t="inlineStr">
        <is>
          <t>Ca</t>
        </is>
      </c>
      <c r="G871" t="n">
        <v>9.1</v>
      </c>
      <c r="J871" t="n">
        <v>9.635054806429466</v>
      </c>
      <c r="K871" t="n">
        <v>9.844149951943717</v>
      </c>
      <c r="L871" t="n">
        <v>10.16672688795554</v>
      </c>
      <c r="BH871" t="n">
        <v>9.882</v>
      </c>
      <c r="BS871" t="n">
        <v>8.59</v>
      </c>
      <c r="CD871" t="n">
        <v>2.21</v>
      </c>
      <c r="CG871" t="n">
        <v>12.4</v>
      </c>
      <c r="CJ871" t="n">
        <v>12.62887925832136</v>
      </c>
      <c r="EH871" t="n">
        <v>12.629</v>
      </c>
      <c r="ES871" t="n">
        <v>1.85</v>
      </c>
      <c r="FG871" t="n">
        <v>5.9</v>
      </c>
      <c r="IG871" t="n">
        <v>12.7</v>
      </c>
    </row>
    <row r="872">
      <c r="A872" t="inlineStr">
        <is>
          <t>2026-03-06</t>
        </is>
      </c>
      <c r="B872" t="inlineStr">
        <is>
          <t>General Chem 26</t>
        </is>
      </c>
      <c r="C872" t="inlineStr">
        <is>
          <t>00105305425120101</t>
        </is>
      </c>
      <c r="D872" t="inlineStr">
        <is>
          <t>GGT</t>
        </is>
      </c>
      <c r="F872" t="n">
        <v>15</v>
      </c>
      <c r="G872" t="n">
        <v>57</v>
      </c>
      <c r="H872" t="n">
        <v>912</v>
      </c>
      <c r="I872" t="n">
        <v>-798</v>
      </c>
      <c r="J872" t="n">
        <v>60.57304170787267</v>
      </c>
      <c r="K872" t="n">
        <v>59.71296712461105</v>
      </c>
      <c r="L872" t="n">
        <v>62.46585191479659</v>
      </c>
      <c r="BH872" t="n">
        <v>60.917</v>
      </c>
      <c r="BS872" t="n">
        <v>6.87</v>
      </c>
      <c r="CD872" t="n">
        <v>1.89</v>
      </c>
      <c r="CF872" t="n">
        <v>15</v>
      </c>
      <c r="CG872" t="n">
        <v>164</v>
      </c>
      <c r="CH872" t="n">
        <v>2624</v>
      </c>
      <c r="CI872" t="n">
        <v>-2296</v>
      </c>
      <c r="CJ872" t="n">
        <v>172.2474759540196</v>
      </c>
      <c r="EH872" t="n">
        <v>172.247</v>
      </c>
      <c r="ES872" t="n">
        <v>5.03</v>
      </c>
      <c r="FF872" t="n">
        <v>15</v>
      </c>
      <c r="FG872" t="n">
        <v>23</v>
      </c>
      <c r="FH872" t="n">
        <v>368</v>
      </c>
      <c r="FI872" t="n">
        <v>-322</v>
      </c>
      <c r="IF872" t="n">
        <v>15</v>
      </c>
      <c r="IG872" t="n">
        <v>126</v>
      </c>
      <c r="IH872" t="n">
        <v>2016</v>
      </c>
      <c r="II872" t="n">
        <v>-1764</v>
      </c>
    </row>
    <row r="873">
      <c r="A873" t="inlineStr">
        <is>
          <t>2026-03-06</t>
        </is>
      </c>
      <c r="B873" t="inlineStr">
        <is>
          <t>General Chem 26</t>
        </is>
      </c>
      <c r="C873" t="inlineStr">
        <is>
          <t>00105305425120101</t>
        </is>
      </c>
      <c r="D873" t="inlineStr">
        <is>
          <t>GLU</t>
        </is>
      </c>
      <c r="F873" t="n">
        <v>8</v>
      </c>
      <c r="G873" t="n">
        <v>90.16</v>
      </c>
      <c r="H873" t="n">
        <v>811.4399999999999</v>
      </c>
      <c r="I873" t="n">
        <v>-631.12</v>
      </c>
      <c r="J873" t="n">
        <v>91.21494793634544</v>
      </c>
      <c r="K873" t="n">
        <v>91.17929846225888</v>
      </c>
      <c r="L873" t="n">
        <v>92.36383018074375</v>
      </c>
      <c r="BH873" t="n">
        <v>91.586</v>
      </c>
      <c r="BS873" t="n">
        <v>1.58</v>
      </c>
      <c r="CD873" t="n">
        <v>0.6</v>
      </c>
      <c r="CF873" t="n">
        <v>8</v>
      </c>
      <c r="CG873" t="n">
        <v>293.02</v>
      </c>
      <c r="CH873" t="n">
        <v>2637.18</v>
      </c>
      <c r="CI873" t="n">
        <v>-2051.14</v>
      </c>
      <c r="CJ873" t="n">
        <v>309.0548836382143</v>
      </c>
      <c r="EH873" t="n">
        <v>309.055</v>
      </c>
      <c r="ES873" t="n">
        <v>5.47</v>
      </c>
      <c r="FF873" t="n">
        <v>8</v>
      </c>
      <c r="FG873" t="n">
        <v>65.66</v>
      </c>
      <c r="FH873" t="n">
        <v>590.9399999999999</v>
      </c>
      <c r="FI873" t="n">
        <v>-459.62</v>
      </c>
      <c r="IF873" t="n">
        <v>8</v>
      </c>
      <c r="IG873" t="n">
        <v>359.66</v>
      </c>
      <c r="IH873" t="n">
        <v>3236.94</v>
      </c>
      <c r="II873" t="n">
        <v>-2517.62</v>
      </c>
    </row>
    <row r="874">
      <c r="A874" t="inlineStr">
        <is>
          <t>2026-03-06</t>
        </is>
      </c>
      <c r="B874" t="inlineStr">
        <is>
          <t>General Chem 26</t>
        </is>
      </c>
      <c r="C874" t="inlineStr">
        <is>
          <t>00105305425120101</t>
        </is>
      </c>
      <c r="D874" t="inlineStr">
        <is>
          <t>P-LIPA</t>
        </is>
      </c>
      <c r="F874" t="n">
        <v>30</v>
      </c>
      <c r="J874" t="n">
        <v>56.31017124973491</v>
      </c>
      <c r="K874" t="n">
        <v>58.2950027832611</v>
      </c>
      <c r="L874" t="n">
        <v>57.18141031541317</v>
      </c>
      <c r="BH874" t="n">
        <v>57.262</v>
      </c>
      <c r="CD874" t="n">
        <v>1.42</v>
      </c>
      <c r="CF874" t="n">
        <v>30</v>
      </c>
      <c r="CJ874" t="n">
        <v>71.94221346579633</v>
      </c>
      <c r="EH874" t="n">
        <v>71.94199999999999</v>
      </c>
      <c r="FF874" t="n">
        <v>30</v>
      </c>
      <c r="IF874" t="n">
        <v>30</v>
      </c>
    </row>
    <row r="875">
      <c r="A875" t="inlineStr">
        <is>
          <t>2026-03-06</t>
        </is>
      </c>
      <c r="B875" t="inlineStr">
        <is>
          <t>General Chem 26</t>
        </is>
      </c>
      <c r="C875" t="inlineStr">
        <is>
          <t>00105305425120101</t>
        </is>
      </c>
      <c r="D875" t="inlineStr">
        <is>
          <t>PHOS</t>
        </is>
      </c>
      <c r="F875" t="n">
        <v>10</v>
      </c>
      <c r="G875" t="n">
        <v>3.3</v>
      </c>
      <c r="H875" t="n">
        <v>36.3</v>
      </c>
      <c r="I875" t="n">
        <v>-29.7</v>
      </c>
      <c r="J875" t="n">
        <v>3.195235861891811</v>
      </c>
      <c r="K875" t="n">
        <v>3.25807840236475</v>
      </c>
      <c r="L875" t="n">
        <v>3.256618390017733</v>
      </c>
      <c r="BH875" t="n">
        <v>3.237</v>
      </c>
      <c r="BS875" t="n">
        <v>-1.92</v>
      </c>
      <c r="CD875" t="n">
        <v>0.9</v>
      </c>
      <c r="CF875" t="n">
        <v>10</v>
      </c>
      <c r="CG875" t="n">
        <v>7.2</v>
      </c>
      <c r="CH875" t="n">
        <v>79.2</v>
      </c>
      <c r="CI875" t="n">
        <v>-64.8</v>
      </c>
      <c r="CJ875" t="n">
        <v>7.204289794989232</v>
      </c>
      <c r="EH875" t="n">
        <v>7.204</v>
      </c>
      <c r="ES875" t="n">
        <v>0.06</v>
      </c>
      <c r="FF875" t="n">
        <v>10</v>
      </c>
      <c r="FG875" t="n">
        <v>1.9</v>
      </c>
      <c r="FH875" t="n">
        <v>20.9</v>
      </c>
      <c r="FI875" t="n">
        <v>-17.1</v>
      </c>
      <c r="IF875" t="n">
        <v>10</v>
      </c>
      <c r="IG875" t="n">
        <v>7.2</v>
      </c>
      <c r="IH875" t="n">
        <v>79.2</v>
      </c>
      <c r="II875" t="n">
        <v>-64.8</v>
      </c>
    </row>
    <row r="876">
      <c r="A876" t="inlineStr">
        <is>
          <t>2026-03-06</t>
        </is>
      </c>
      <c r="B876" t="inlineStr">
        <is>
          <t>General Chem 26</t>
        </is>
      </c>
      <c r="C876" t="inlineStr">
        <is>
          <t>00105305425120101</t>
        </is>
      </c>
      <c r="D876" t="inlineStr">
        <is>
          <t>TBIL</t>
        </is>
      </c>
      <c r="F876" t="n">
        <v>20</v>
      </c>
      <c r="G876" t="n">
        <v>1.1</v>
      </c>
      <c r="H876" t="n">
        <v>23.1</v>
      </c>
      <c r="I876" t="n">
        <v>-20.9</v>
      </c>
      <c r="J876" t="n">
        <v>1.348549713705186</v>
      </c>
      <c r="K876" t="n">
        <v>1.314593493631771</v>
      </c>
      <c r="L876" t="n">
        <v>1.405534947789878</v>
      </c>
      <c r="BH876" t="n">
        <v>1.356</v>
      </c>
      <c r="BS876" t="n">
        <v>23.29</v>
      </c>
      <c r="CD876" t="n">
        <v>2.77</v>
      </c>
      <c r="CF876" t="n">
        <v>20</v>
      </c>
      <c r="CG876" t="n">
        <v>5.1</v>
      </c>
      <c r="CH876" t="n">
        <v>107.1</v>
      </c>
      <c r="CI876" t="n">
        <v>-96.89999999999999</v>
      </c>
      <c r="CJ876" t="n">
        <v>5.393703577563731</v>
      </c>
      <c r="EH876" t="n">
        <v>5.394</v>
      </c>
      <c r="ES876" t="n">
        <v>5.76</v>
      </c>
      <c r="FF876" t="n">
        <v>20</v>
      </c>
      <c r="FG876" t="n">
        <v>0.8</v>
      </c>
      <c r="FH876" t="n">
        <v>16.8</v>
      </c>
      <c r="FI876" t="n">
        <v>-15.2</v>
      </c>
      <c r="IF876" t="n">
        <v>20</v>
      </c>
      <c r="IG876" t="n">
        <v>8.4</v>
      </c>
      <c r="IH876" t="n">
        <v>176.4</v>
      </c>
      <c r="II876" t="n">
        <v>-159.6</v>
      </c>
    </row>
    <row r="877">
      <c r="A877" t="inlineStr">
        <is>
          <t>2026-03-06</t>
        </is>
      </c>
      <c r="B877" t="inlineStr">
        <is>
          <t>General Chem 26</t>
        </is>
      </c>
      <c r="C877" t="inlineStr">
        <is>
          <t>00105305425120101</t>
        </is>
      </c>
      <c r="D877" t="inlineStr">
        <is>
          <t>TP</t>
        </is>
      </c>
      <c r="F877" t="n">
        <v>8</v>
      </c>
      <c r="G877" t="n">
        <v>6.4</v>
      </c>
      <c r="H877" t="n">
        <v>57.6</v>
      </c>
      <c r="I877" t="n">
        <v>-44.8</v>
      </c>
      <c r="J877" t="n">
        <v>6.264444915913529</v>
      </c>
      <c r="K877" t="n">
        <v>6.332182829251089</v>
      </c>
      <c r="L877" t="n">
        <v>6.426224718575153</v>
      </c>
      <c r="BH877" t="n">
        <v>6.341</v>
      </c>
      <c r="BS877" t="n">
        <v>-0.92</v>
      </c>
      <c r="CD877" t="n">
        <v>1.05</v>
      </c>
      <c r="CF877" t="n">
        <v>8</v>
      </c>
      <c r="CG877" t="n">
        <v>4.1</v>
      </c>
      <c r="CH877" t="n">
        <v>36.9</v>
      </c>
      <c r="CI877" t="n">
        <v>-28.7</v>
      </c>
      <c r="CJ877" t="n">
        <v>4.076264962293006</v>
      </c>
      <c r="EH877" t="n">
        <v>4.076</v>
      </c>
      <c r="ES877" t="n">
        <v>-0.58</v>
      </c>
      <c r="FF877" t="n">
        <v>8</v>
      </c>
      <c r="FG877" t="n">
        <v>4.2</v>
      </c>
      <c r="FH877" t="n">
        <v>37.8</v>
      </c>
      <c r="FI877" t="n">
        <v>-29.4</v>
      </c>
      <c r="IF877" t="n">
        <v>8</v>
      </c>
      <c r="IG877" t="n">
        <v>7.5</v>
      </c>
      <c r="IH877" t="n">
        <v>67.5</v>
      </c>
      <c r="II877" t="n">
        <v>-52.5</v>
      </c>
    </row>
    <row r="878">
      <c r="A878" t="inlineStr">
        <is>
          <t>2026-02-13</t>
        </is>
      </c>
      <c r="B878" t="inlineStr">
        <is>
          <t>Total T4</t>
        </is>
      </c>
      <c r="C878" t="inlineStr">
        <is>
          <t>00100010126021201</t>
        </is>
      </c>
      <c r="D878" t="inlineStr">
        <is>
          <t>TT4</t>
        </is>
      </c>
      <c r="J878" t="n">
        <v>5.73318329634596</v>
      </c>
      <c r="K878" t="n">
        <v>5.662431233135967</v>
      </c>
      <c r="L878" t="n">
        <v>6.006492256390877</v>
      </c>
      <c r="M878" t="n">
        <v>1.210529128800505</v>
      </c>
      <c r="N878" t="n">
        <v>1.21347483825395</v>
      </c>
      <c r="O878" t="n">
        <v>1.078123108029488</v>
      </c>
      <c r="P878" t="n">
        <v>1.183101288894749</v>
      </c>
      <c r="BH878" t="n">
        <v>3.155</v>
      </c>
      <c r="CD878" t="n">
        <v>72.68000000000001</v>
      </c>
      <c r="CJ878" t="n">
        <v>6.282696031917002</v>
      </c>
      <c r="CK878" t="n">
        <v>6.177805149569041</v>
      </c>
      <c r="CL878" t="n">
        <v>4.746919727630301</v>
      </c>
      <c r="CM878" t="n">
        <v>4.964586659423758</v>
      </c>
      <c r="EH878" t="n">
        <v>5.543</v>
      </c>
      <c r="FD878" t="n">
        <v>12.49</v>
      </c>
    </row>
    <row r="879">
      <c r="A879" t="inlineStr">
        <is>
          <t>2026-02-06</t>
        </is>
      </c>
      <c r="B879" t="inlineStr">
        <is>
          <t>Diagnosis Plus 27</t>
        </is>
      </c>
      <c r="C879" t="inlineStr">
        <is>
          <t>00205105226020601</t>
        </is>
      </c>
      <c r="D879" t="inlineStr">
        <is>
          <t>AMY</t>
        </is>
      </c>
      <c r="F879" t="n">
        <v>10</v>
      </c>
      <c r="G879" t="n">
        <v>78</v>
      </c>
      <c r="H879" t="n">
        <v>858</v>
      </c>
      <c r="I879" t="n">
        <v>-702</v>
      </c>
      <c r="J879" t="n">
        <v>76.51754106947905</v>
      </c>
      <c r="K879" t="n">
        <v>74.82844856134537</v>
      </c>
      <c r="L879" t="n">
        <v>75.79064492659134</v>
      </c>
      <c r="M879" t="n">
        <v>76.03063452482583</v>
      </c>
      <c r="N879" t="n">
        <v>74.59817276550385</v>
      </c>
      <c r="O879" t="n">
        <v>74.66107917639368</v>
      </c>
      <c r="P879" t="n">
        <v>75.76068281131438</v>
      </c>
      <c r="Q879" t="n">
        <v>38.43984606079172</v>
      </c>
      <c r="R879" t="n">
        <v>73.34383318754124</v>
      </c>
      <c r="BH879" t="n">
        <v>71.108</v>
      </c>
      <c r="BS879" t="n">
        <v>-8.84</v>
      </c>
      <c r="CD879" t="n">
        <v>16.29</v>
      </c>
      <c r="CF879" t="n">
        <v>10</v>
      </c>
      <c r="CG879" t="n">
        <v>404</v>
      </c>
      <c r="CH879" t="n">
        <v>4444</v>
      </c>
      <c r="CI879" t="n">
        <v>-3636</v>
      </c>
      <c r="CJ879" t="n">
        <v>388.7093624148249</v>
      </c>
      <c r="CK879" t="n">
        <v>393.0091471071448</v>
      </c>
      <c r="CL879" t="n">
        <v>390.5483696359507</v>
      </c>
      <c r="CM879" t="n">
        <v>377.7984493048717</v>
      </c>
      <c r="CN879" t="n">
        <v>378.651423703138</v>
      </c>
      <c r="CO879" t="n">
        <v>377.9052187965207</v>
      </c>
      <c r="EH879" t="n">
        <v>384.437</v>
      </c>
      <c r="ES879" t="n">
        <v>-4.84</v>
      </c>
      <c r="FD879" t="n">
        <v>1.68</v>
      </c>
      <c r="FF879" t="n">
        <v>10</v>
      </c>
      <c r="FG879" t="n">
        <v>63</v>
      </c>
      <c r="FH879" t="n">
        <v>693</v>
      </c>
      <c r="FI879" t="n">
        <v>-567</v>
      </c>
      <c r="FJ879" t="n">
        <v>62.21995345042413</v>
      </c>
      <c r="FK879" t="n">
        <v>62.71626731640401</v>
      </c>
      <c r="FL879" t="n">
        <v>62.6039774075519</v>
      </c>
      <c r="HH879" t="n">
        <v>62.513</v>
      </c>
      <c r="HS879" t="n">
        <v>-0.77</v>
      </c>
      <c r="ID879" t="n">
        <v>0.34</v>
      </c>
      <c r="IF879" t="n">
        <v>10</v>
      </c>
      <c r="IG879" t="n">
        <v>297</v>
      </c>
      <c r="IH879" t="n">
        <v>3267</v>
      </c>
      <c r="II879" t="n">
        <v>-2673</v>
      </c>
      <c r="IJ879" t="n">
        <v>283.6522574554847</v>
      </c>
      <c r="IK879" t="n">
        <v>281.4111772692988</v>
      </c>
      <c r="IL879" t="n">
        <v>269.8491004772868</v>
      </c>
      <c r="KH879" t="n">
        <v>278.304</v>
      </c>
      <c r="KS879" t="n">
        <v>-6.29</v>
      </c>
      <c r="LD879" t="n">
        <v>2.17</v>
      </c>
    </row>
    <row r="880">
      <c r="A880" t="inlineStr">
        <is>
          <t>2026-02-06</t>
        </is>
      </c>
      <c r="B880" t="inlineStr">
        <is>
          <t>Diagnosis Plus 27</t>
        </is>
      </c>
      <c r="C880" t="inlineStr">
        <is>
          <t>00205105226020601</t>
        </is>
      </c>
      <c r="D880" t="inlineStr">
        <is>
          <t>AST</t>
        </is>
      </c>
      <c r="F880" t="n">
        <v>15</v>
      </c>
      <c r="G880" t="n">
        <v>44</v>
      </c>
      <c r="H880" t="n">
        <v>704</v>
      </c>
      <c r="I880" t="n">
        <v>-616</v>
      </c>
      <c r="J880" t="n">
        <v>42.03317796359695</v>
      </c>
      <c r="K880" t="n">
        <v>37.51404442723167</v>
      </c>
      <c r="L880" t="n">
        <v>41.92482569994313</v>
      </c>
      <c r="M880" t="n">
        <v>39.69259947603581</v>
      </c>
      <c r="N880" t="n">
        <v>40.06926822215399</v>
      </c>
      <c r="O880" t="n">
        <v>43.15758412570671</v>
      </c>
      <c r="P880" t="n">
        <v>38.73635954320156</v>
      </c>
      <c r="Q880" t="n">
        <v>81.4207318318665</v>
      </c>
      <c r="R880" t="n">
        <v>41.86761473592971</v>
      </c>
      <c r="BH880" t="n">
        <v>45.157</v>
      </c>
      <c r="BS880" t="n">
        <v>2.63</v>
      </c>
      <c r="CD880" t="n">
        <v>28.64</v>
      </c>
      <c r="CF880" t="n">
        <v>15</v>
      </c>
      <c r="CG880" t="n">
        <v>221</v>
      </c>
      <c r="CH880" t="n">
        <v>3536</v>
      </c>
      <c r="CI880" t="n">
        <v>-3094</v>
      </c>
      <c r="CJ880" t="n">
        <v>211.7078724144803</v>
      </c>
      <c r="CK880" t="n">
        <v>215.2542678044022</v>
      </c>
      <c r="CL880" t="n">
        <v>211.6752079974097</v>
      </c>
      <c r="CM880" t="n">
        <v>206.8137291352133</v>
      </c>
      <c r="CN880" t="n">
        <v>208.8144539656674</v>
      </c>
      <c r="CO880" t="n">
        <v>204.8471641476467</v>
      </c>
      <c r="EH880" t="n">
        <v>209.852</v>
      </c>
      <c r="ES880" t="n">
        <v>-5.04</v>
      </c>
      <c r="FD880" t="n">
        <v>1.64</v>
      </c>
      <c r="FF880" t="n">
        <v>15</v>
      </c>
      <c r="FG880" t="n">
        <v>45</v>
      </c>
      <c r="FH880" t="n">
        <v>720</v>
      </c>
      <c r="FI880" t="n">
        <v>-630</v>
      </c>
      <c r="FJ880" t="n">
        <v>41.49442641479998</v>
      </c>
      <c r="FK880" t="n">
        <v>39.17591909315339</v>
      </c>
      <c r="FL880" t="n">
        <v>41.02871759594033</v>
      </c>
      <c r="HH880" t="n">
        <v>40.566</v>
      </c>
      <c r="HS880" t="n">
        <v>-9.85</v>
      </c>
      <c r="ID880" t="n">
        <v>2.47</v>
      </c>
      <c r="IF880" t="n">
        <v>15</v>
      </c>
      <c r="IG880" t="n">
        <v>282</v>
      </c>
      <c r="IH880" t="n">
        <v>4512</v>
      </c>
      <c r="II880" t="n">
        <v>-3948</v>
      </c>
      <c r="IJ880" t="n">
        <v>255.9761720710319</v>
      </c>
      <c r="IK880" t="n">
        <v>250.5433558247215</v>
      </c>
      <c r="IL880" t="n">
        <v>245.9394725533138</v>
      </c>
      <c r="KH880" t="n">
        <v>250.82</v>
      </c>
      <c r="KS880" t="n">
        <v>-11.06</v>
      </c>
      <c r="LD880" t="n">
        <v>1.64</v>
      </c>
    </row>
    <row r="881">
      <c r="A881" t="inlineStr">
        <is>
          <t>2026-02-06</t>
        </is>
      </c>
      <c r="B881" t="inlineStr">
        <is>
          <t>Diagnosis Plus 27</t>
        </is>
      </c>
      <c r="C881" t="inlineStr">
        <is>
          <t>00205105226020601</t>
        </is>
      </c>
      <c r="D881" t="inlineStr">
        <is>
          <t>BA</t>
        </is>
      </c>
      <c r="J881" t="n">
        <v>3.676289413768036</v>
      </c>
      <c r="K881" t="n">
        <v>3.642531986576449</v>
      </c>
      <c r="L881" t="n">
        <v>2.666431344620306</v>
      </c>
      <c r="M881" t="n">
        <v>3.145309367886848</v>
      </c>
      <c r="N881" t="n">
        <v>3.034199887021117</v>
      </c>
      <c r="O881" t="n">
        <v>2.960087577716914</v>
      </c>
      <c r="P881" t="n">
        <v>2.590256588174198</v>
      </c>
      <c r="Q881" t="n">
        <v>5.567169784038537</v>
      </c>
      <c r="R881" t="n">
        <v>4.177367030408993</v>
      </c>
      <c r="BH881" t="n">
        <v>3.496</v>
      </c>
      <c r="CD881" t="n">
        <v>25.12</v>
      </c>
      <c r="CJ881" t="n">
        <v>2.624351506918723</v>
      </c>
      <c r="CK881" t="n">
        <v>4.129213835077707</v>
      </c>
      <c r="CL881" t="n">
        <v>2.404720232010081</v>
      </c>
      <c r="CM881" t="n">
        <v>2.260590218842027</v>
      </c>
      <c r="CN881" t="n">
        <v>3.055237919294751</v>
      </c>
      <c r="CO881" t="n">
        <v>4.675205002139339</v>
      </c>
      <c r="EH881" t="n">
        <v>3.192</v>
      </c>
      <c r="FD881" t="n">
        <v>28.33</v>
      </c>
      <c r="FJ881" t="n">
        <v>11.96277592986359</v>
      </c>
      <c r="FK881" t="n">
        <v>12.11905863219035</v>
      </c>
      <c r="FL881" t="n">
        <v>12.24402447666187</v>
      </c>
      <c r="HH881" t="n">
        <v>12.109</v>
      </c>
      <c r="ID881" t="n">
        <v>0.95</v>
      </c>
      <c r="IJ881" t="n">
        <v>10.20371831586944</v>
      </c>
      <c r="IK881" t="n">
        <v>11.40982474415106</v>
      </c>
      <c r="IL881" t="n">
        <v>11.45222441846192</v>
      </c>
      <c r="KH881" t="n">
        <v>11.022</v>
      </c>
      <c r="LD881" t="n">
        <v>5.25</v>
      </c>
    </row>
    <row r="882">
      <c r="A882" t="inlineStr">
        <is>
          <t>2026-02-06</t>
        </is>
      </c>
      <c r="B882" t="inlineStr">
        <is>
          <t>Diagnosis Plus 27</t>
        </is>
      </c>
      <c r="C882" t="inlineStr">
        <is>
          <t>00205105226020601</t>
        </is>
      </c>
      <c r="D882" t="inlineStr">
        <is>
          <t>CHOL</t>
        </is>
      </c>
      <c r="F882" t="n">
        <v>10</v>
      </c>
      <c r="G882" t="n">
        <v>228</v>
      </c>
      <c r="H882" t="n">
        <v>2508</v>
      </c>
      <c r="I882" t="n">
        <v>-2052</v>
      </c>
      <c r="J882" t="n">
        <v>238.2118000570933</v>
      </c>
      <c r="K882" t="n">
        <v>232.063505760706</v>
      </c>
      <c r="L882" t="n">
        <v>230.9555077223765</v>
      </c>
      <c r="M882" t="n">
        <v>231.9665179644761</v>
      </c>
      <c r="N882" t="n">
        <v>230.6344062608931</v>
      </c>
      <c r="O882" t="n">
        <v>235.2116157601579</v>
      </c>
      <c r="P882" t="n">
        <v>232.7282113258933</v>
      </c>
      <c r="Q882" t="n">
        <v>423.4635579855422</v>
      </c>
      <c r="R882" t="n">
        <v>228.6783125847309</v>
      </c>
      <c r="BH882" t="n">
        <v>253.768</v>
      </c>
      <c r="BS882" t="n">
        <v>11.3</v>
      </c>
      <c r="CD882" t="n">
        <v>23.66</v>
      </c>
      <c r="CF882" t="n">
        <v>10</v>
      </c>
      <c r="CG882" t="n">
        <v>99</v>
      </c>
      <c r="CH882" t="n">
        <v>1089</v>
      </c>
      <c r="CI882" t="n">
        <v>-891</v>
      </c>
      <c r="CJ882" t="n">
        <v>100.219901186587</v>
      </c>
      <c r="CK882" t="n">
        <v>100.8117515403372</v>
      </c>
      <c r="CL882" t="n">
        <v>100.2278843370675</v>
      </c>
      <c r="CM882" t="n">
        <v>96.45337136976408</v>
      </c>
      <c r="CN882" t="n">
        <v>96.93267626482491</v>
      </c>
      <c r="CO882" t="n">
        <v>99.81203250579588</v>
      </c>
      <c r="EH882" t="n">
        <v>99.07599999999999</v>
      </c>
      <c r="ES882" t="n">
        <v>0.08</v>
      </c>
      <c r="FD882" t="n">
        <v>1.73</v>
      </c>
      <c r="FF882" t="n">
        <v>10</v>
      </c>
      <c r="FG882" t="n">
        <v>115</v>
      </c>
      <c r="FH882" t="n">
        <v>1265</v>
      </c>
      <c r="FI882" t="n">
        <v>-1035</v>
      </c>
      <c r="FJ882" t="n">
        <v>114.1092780580403</v>
      </c>
      <c r="FK882" t="n">
        <v>113.4154555284903</v>
      </c>
      <c r="FL882" t="n">
        <v>116.5292284966224</v>
      </c>
      <c r="HH882" t="n">
        <v>114.685</v>
      </c>
      <c r="HS882" t="n">
        <v>-0.27</v>
      </c>
      <c r="ID882" t="n">
        <v>1.16</v>
      </c>
      <c r="IF882" t="n">
        <v>10</v>
      </c>
      <c r="IG882" t="n">
        <v>269</v>
      </c>
      <c r="IH882" t="n">
        <v>2959</v>
      </c>
      <c r="II882" t="n">
        <v>-2421</v>
      </c>
      <c r="IJ882" t="n">
        <v>259.5770098572656</v>
      </c>
      <c r="IK882" t="n">
        <v>259.5767612285596</v>
      </c>
      <c r="IL882" t="n">
        <v>267.5441525130829</v>
      </c>
      <c r="KH882" t="n">
        <v>262.233</v>
      </c>
      <c r="KS882" t="n">
        <v>-2.52</v>
      </c>
      <c r="LD882" t="n">
        <v>1.43</v>
      </c>
    </row>
    <row r="883">
      <c r="A883" t="inlineStr">
        <is>
          <t>2026-02-06</t>
        </is>
      </c>
      <c r="B883" t="inlineStr">
        <is>
          <t>Diagnosis Plus 27</t>
        </is>
      </c>
      <c r="C883" t="inlineStr">
        <is>
          <t>00205105226020601</t>
        </is>
      </c>
      <c r="D883" t="inlineStr">
        <is>
          <t>GGT</t>
        </is>
      </c>
      <c r="F883" t="n">
        <v>15</v>
      </c>
      <c r="G883" t="n">
        <v>57</v>
      </c>
      <c r="H883" t="n">
        <v>912</v>
      </c>
      <c r="I883" t="n">
        <v>-798</v>
      </c>
      <c r="J883" t="n">
        <v>58.21251830185667</v>
      </c>
      <c r="K883" t="n">
        <v>59.03355866535859</v>
      </c>
      <c r="L883" t="n">
        <v>57.36250349728437</v>
      </c>
      <c r="M883" t="n">
        <v>56.91680290860179</v>
      </c>
      <c r="N883" t="n">
        <v>56.58342635953216</v>
      </c>
      <c r="O883" t="n">
        <v>56.81172779981282</v>
      </c>
      <c r="P883" t="n">
        <v>55.15849950094667</v>
      </c>
      <c r="Q883" t="n">
        <v>110.8729650734772</v>
      </c>
      <c r="R883" t="n">
        <v>56.5633848634871</v>
      </c>
      <c r="BH883" t="n">
        <v>63.057</v>
      </c>
      <c r="BS883" t="n">
        <v>10.63</v>
      </c>
      <c r="CD883" t="n">
        <v>26.86</v>
      </c>
      <c r="CF883" t="n">
        <v>15</v>
      </c>
      <c r="CG883" t="n">
        <v>164</v>
      </c>
      <c r="CH883" t="n">
        <v>2624</v>
      </c>
      <c r="CI883" t="n">
        <v>-2296</v>
      </c>
      <c r="CJ883" t="n">
        <v>161.5676113149366</v>
      </c>
      <c r="CK883" t="n">
        <v>164.0449830423023</v>
      </c>
      <c r="CL883" t="n">
        <v>163.9018807154263</v>
      </c>
      <c r="CM883" t="n">
        <v>109.854284173002</v>
      </c>
      <c r="CN883" t="n">
        <v>163.8579194051534</v>
      </c>
      <c r="CO883" t="n">
        <v>161.4481703458195</v>
      </c>
      <c r="EH883" t="n">
        <v>154.112</v>
      </c>
      <c r="ES883" t="n">
        <v>-6.03</v>
      </c>
      <c r="FD883" t="n">
        <v>12.86</v>
      </c>
      <c r="FF883" t="n">
        <v>15</v>
      </c>
      <c r="FG883" t="n">
        <v>23</v>
      </c>
      <c r="FH883" t="n">
        <v>368</v>
      </c>
      <c r="FI883" t="n">
        <v>-322</v>
      </c>
      <c r="FJ883" t="n">
        <v>22.14787338592871</v>
      </c>
      <c r="FK883" t="n">
        <v>22.3786720984982</v>
      </c>
      <c r="FL883" t="n">
        <v>24.23316919355801</v>
      </c>
      <c r="HH883" t="n">
        <v>22.92</v>
      </c>
      <c r="HS883" t="n">
        <v>-0.35</v>
      </c>
      <c r="ID883" t="n">
        <v>4.07</v>
      </c>
      <c r="IF883" t="n">
        <v>15</v>
      </c>
      <c r="IG883" t="n">
        <v>126</v>
      </c>
      <c r="IH883" t="n">
        <v>2016</v>
      </c>
      <c r="II883" t="n">
        <v>-1764</v>
      </c>
      <c r="IJ883" t="n">
        <v>98.88206302828513</v>
      </c>
      <c r="IK883" t="n">
        <v>124.869801238678</v>
      </c>
      <c r="IL883" t="n">
        <v>122.2204349594577</v>
      </c>
      <c r="KH883" t="n">
        <v>115.324</v>
      </c>
      <c r="KS883" t="n">
        <v>-8.470000000000001</v>
      </c>
      <c r="LD883" t="n">
        <v>10.12</v>
      </c>
    </row>
    <row r="884">
      <c r="A884" t="inlineStr">
        <is>
          <t>2026-02-06</t>
        </is>
      </c>
      <c r="B884" t="inlineStr">
        <is>
          <t>Diagnosis Plus 27</t>
        </is>
      </c>
      <c r="C884" t="inlineStr">
        <is>
          <t>00205105226020601</t>
        </is>
      </c>
      <c r="D884" t="inlineStr">
        <is>
          <t>P-LIPA</t>
        </is>
      </c>
      <c r="F884" t="n">
        <v>30</v>
      </c>
      <c r="J884" t="n">
        <v>58.25775576584418</v>
      </c>
      <c r="K884" t="n">
        <v>57.4205789747148</v>
      </c>
      <c r="L884" t="n">
        <v>55.43598891061856</v>
      </c>
      <c r="M884" t="n">
        <v>59.17130535745115</v>
      </c>
      <c r="N884" t="n">
        <v>56.71681718233872</v>
      </c>
      <c r="O884" t="n">
        <v>57.43007101228987</v>
      </c>
      <c r="P884" t="n">
        <v>47.00810705437576</v>
      </c>
      <c r="Q884" t="n">
        <v>85.23466652075749</v>
      </c>
      <c r="R884" t="n">
        <v>57.5299234099548</v>
      </c>
      <c r="BH884" t="n">
        <v>59.356</v>
      </c>
      <c r="CD884" t="n">
        <v>16.44</v>
      </c>
      <c r="CF884" t="n">
        <v>30</v>
      </c>
      <c r="CJ884" t="n">
        <v>73.58699996761541</v>
      </c>
      <c r="CK884" t="n">
        <v>70.80671942026839</v>
      </c>
      <c r="CL884" t="n">
        <v>70.84626178687986</v>
      </c>
      <c r="CM884" t="n">
        <v>44.95069268772212</v>
      </c>
      <c r="CN884" t="n">
        <v>73.9847911781774</v>
      </c>
      <c r="CO884" t="n">
        <v>74.07836372687444</v>
      </c>
      <c r="EH884" t="n">
        <v>68.042</v>
      </c>
      <c r="FD884" t="n">
        <v>15.31</v>
      </c>
      <c r="FF884" t="n">
        <v>30</v>
      </c>
      <c r="FJ884" t="n">
        <v>23.31117334906792</v>
      </c>
      <c r="FK884" t="n">
        <v>31.33850472193209</v>
      </c>
      <c r="FL884" t="n">
        <v>29.33119076354975</v>
      </c>
      <c r="HH884" t="n">
        <v>27.994</v>
      </c>
      <c r="ID884" t="n">
        <v>12.18</v>
      </c>
      <c r="IF884" t="n">
        <v>30</v>
      </c>
      <c r="IJ884" t="n">
        <v>48.73819767296867</v>
      </c>
      <c r="IK884" t="n">
        <v>89.82463660235396</v>
      </c>
      <c r="IL884" t="n">
        <v>94.68479676695381</v>
      </c>
      <c r="KH884" t="n">
        <v>77.749</v>
      </c>
      <c r="LD884" t="n">
        <v>26.51</v>
      </c>
    </row>
    <row r="885">
      <c r="A885" t="inlineStr">
        <is>
          <t>2026-02-06</t>
        </is>
      </c>
      <c r="B885" t="inlineStr">
        <is>
          <t>Diagnosis Plus 27</t>
        </is>
      </c>
      <c r="C885" t="inlineStr">
        <is>
          <t>00205105226020601</t>
        </is>
      </c>
      <c r="D885" t="inlineStr">
        <is>
          <t>TBIL</t>
        </is>
      </c>
      <c r="F885" t="n">
        <v>20</v>
      </c>
      <c r="G885" t="n">
        <v>1.1</v>
      </c>
      <c r="H885" t="n">
        <v>23.1</v>
      </c>
      <c r="I885" t="n">
        <v>-20.9</v>
      </c>
      <c r="J885" t="n">
        <v>1.167329163779137</v>
      </c>
      <c r="K885" t="n">
        <v>1.222849508673569</v>
      </c>
      <c r="L885" t="n">
        <v>1.080424755764917</v>
      </c>
      <c r="M885" t="n">
        <v>1.154641951823072</v>
      </c>
      <c r="N885" t="n">
        <v>1.114494595860583</v>
      </c>
      <c r="O885" t="n">
        <v>1.077973370695973</v>
      </c>
      <c r="P885" t="n">
        <v>1.158016200810065</v>
      </c>
      <c r="Q885" t="n">
        <v>-0.0724275285264051</v>
      </c>
      <c r="R885" t="n">
        <v>1.07219467743549</v>
      </c>
      <c r="BH885" t="n">
        <v>0.997</v>
      </c>
      <c r="BS885" t="n">
        <v>-9.34</v>
      </c>
      <c r="CD885" t="n">
        <v>38.22</v>
      </c>
      <c r="CF885" t="n">
        <v>20</v>
      </c>
      <c r="CG885" t="n">
        <v>5.1</v>
      </c>
      <c r="CH885" t="n">
        <v>107.1</v>
      </c>
      <c r="CI885" t="n">
        <v>-96.89999999999999</v>
      </c>
      <c r="CJ885" t="n">
        <v>5.295977702025211</v>
      </c>
      <c r="CK885" t="n">
        <v>5.386394659197513</v>
      </c>
      <c r="CL885" t="n">
        <v>5.332731472850047</v>
      </c>
      <c r="CM885" t="n">
        <v>5.081212932491721</v>
      </c>
      <c r="CN885" t="n">
        <v>5.190868304830835</v>
      </c>
      <c r="CO885" t="n">
        <v>5.238961892809008</v>
      </c>
      <c r="EH885" t="n">
        <v>5.254</v>
      </c>
      <c r="ES885" t="n">
        <v>3.03</v>
      </c>
      <c r="FD885" t="n">
        <v>1.9</v>
      </c>
      <c r="FF885" t="n">
        <v>20</v>
      </c>
      <c r="FG885" t="n">
        <v>0.8</v>
      </c>
      <c r="FH885" t="n">
        <v>16.8</v>
      </c>
      <c r="FI885" t="n">
        <v>-15.2</v>
      </c>
      <c r="FJ885" t="n">
        <v>0.6310790796764643</v>
      </c>
      <c r="FK885" t="n">
        <v>0.5972558999437014</v>
      </c>
      <c r="FL885" t="n">
        <v>0.6154999689304335</v>
      </c>
      <c r="HH885" t="n">
        <v>0.615</v>
      </c>
      <c r="HS885" t="n">
        <v>-23.17</v>
      </c>
      <c r="ID885" t="n">
        <v>2.25</v>
      </c>
      <c r="IF885" t="n">
        <v>20</v>
      </c>
      <c r="IG885" t="n">
        <v>8.4</v>
      </c>
      <c r="IH885" t="n">
        <v>176.4</v>
      </c>
      <c r="II885" t="n">
        <v>-159.6</v>
      </c>
      <c r="IJ885" t="n">
        <v>8.523106682982888</v>
      </c>
      <c r="IK885" t="n">
        <v>8.422613412077091</v>
      </c>
      <c r="IL885" t="n">
        <v>8.615882931059499</v>
      </c>
      <c r="KH885" t="n">
        <v>8.521000000000001</v>
      </c>
      <c r="KS885" t="n">
        <v>1.43</v>
      </c>
      <c r="LD885" t="n">
        <v>0.93</v>
      </c>
    </row>
    <row r="886">
      <c r="A886" t="inlineStr">
        <is>
          <t>2026-02-06</t>
        </is>
      </c>
      <c r="B886" t="inlineStr">
        <is>
          <t>Diagnosis Plus 27</t>
        </is>
      </c>
      <c r="C886" t="inlineStr">
        <is>
          <t>00205105226020601</t>
        </is>
      </c>
      <c r="D886" t="inlineStr">
        <is>
          <t>TRIG</t>
        </is>
      </c>
      <c r="F886" t="n">
        <v>15</v>
      </c>
      <c r="J886" t="n">
        <v>171.1679375459862</v>
      </c>
      <c r="K886" t="n">
        <v>172.7275665436641</v>
      </c>
      <c r="L886" t="n">
        <v>172.9787230725019</v>
      </c>
      <c r="M886" t="n">
        <v>171.509257733566</v>
      </c>
      <c r="N886" t="n">
        <v>168.7994320469021</v>
      </c>
      <c r="O886" t="n">
        <v>174.2075093531485</v>
      </c>
      <c r="P886" t="n">
        <v>174.1765844053049</v>
      </c>
      <c r="Q886" t="n">
        <v>-8.438009790350536</v>
      </c>
      <c r="R886" t="n">
        <v>174.966280691303</v>
      </c>
      <c r="BH886" t="n">
        <v>152.455</v>
      </c>
      <c r="CD886" t="n">
        <v>37.33</v>
      </c>
      <c r="CF886" t="n">
        <v>15</v>
      </c>
      <c r="CJ886" t="n">
        <v>92.95305447097761</v>
      </c>
      <c r="CK886" t="n">
        <v>102.9123824874303</v>
      </c>
      <c r="CL886" t="n">
        <v>95.63024554309419</v>
      </c>
      <c r="CM886" t="n">
        <v>94.24403888476725</v>
      </c>
      <c r="CN886" t="n">
        <v>97.5989071378868</v>
      </c>
      <c r="CO886" t="n">
        <v>98.0102109691888</v>
      </c>
      <c r="EH886" t="n">
        <v>96.89100000000001</v>
      </c>
      <c r="FD886" t="n">
        <v>3.32</v>
      </c>
      <c r="FF886" t="n">
        <v>15</v>
      </c>
      <c r="FJ886" t="n">
        <v>109.5356637996282</v>
      </c>
      <c r="FK886" t="n">
        <v>111.1444765300073</v>
      </c>
      <c r="FL886" t="n">
        <v>113.167969759009</v>
      </c>
      <c r="HH886" t="n">
        <v>111.283</v>
      </c>
      <c r="ID886" t="n">
        <v>1.34</v>
      </c>
      <c r="IF886" t="n">
        <v>15</v>
      </c>
      <c r="IJ886" t="n">
        <v>229.4773451832551</v>
      </c>
      <c r="IK886" t="n">
        <v>224.3624824202474</v>
      </c>
      <c r="IL886" t="n">
        <v>229.2310215959072</v>
      </c>
      <c r="KH886" t="n">
        <v>227.69</v>
      </c>
      <c r="LD886" t="n">
        <v>1.03</v>
      </c>
    </row>
    <row r="887">
      <c r="A887" t="inlineStr">
        <is>
          <t>2026-02-06</t>
        </is>
      </c>
      <c r="B887" t="inlineStr">
        <is>
          <t>Diagnosis Plus 27</t>
        </is>
      </c>
      <c r="C887" t="inlineStr">
        <is>
          <t>00105105226020601</t>
        </is>
      </c>
      <c r="D887" t="inlineStr">
        <is>
          <t>ALB</t>
        </is>
      </c>
      <c r="F887" t="n">
        <v>8</v>
      </c>
      <c r="G887" t="n">
        <v>4.2</v>
      </c>
      <c r="H887" t="n">
        <v>37.8</v>
      </c>
      <c r="I887" t="n">
        <v>-29.4</v>
      </c>
      <c r="J887" t="n">
        <v>4.916118703403817</v>
      </c>
      <c r="K887" t="n">
        <v>4.871200861096457</v>
      </c>
      <c r="L887" t="n">
        <v>4.890963079993941</v>
      </c>
      <c r="M887" t="n">
        <v>4.957770342939087</v>
      </c>
      <c r="N887" t="n">
        <v>4.97988358795957</v>
      </c>
      <c r="O887" t="n">
        <v>4.890168830995593</v>
      </c>
      <c r="P887" t="n">
        <v>3.758053618383285</v>
      </c>
      <c r="Q887" t="n">
        <v>4.900522842968592</v>
      </c>
      <c r="R887" t="n">
        <v>4.932124852705249</v>
      </c>
      <c r="BH887" t="n">
        <v>4.805</v>
      </c>
      <c r="BS887" t="n">
        <v>14.41</v>
      </c>
      <c r="CD887" t="n">
        <v>6.87</v>
      </c>
      <c r="CF887" t="n">
        <v>8</v>
      </c>
      <c r="CG887" t="n">
        <v>2.7</v>
      </c>
      <c r="CH887" t="n">
        <v>24.3</v>
      </c>
      <c r="CI887" t="n">
        <v>-18.9</v>
      </c>
      <c r="CJ887" t="n">
        <v>3.526002010438319</v>
      </c>
      <c r="CK887" t="n">
        <v>3.457088540724751</v>
      </c>
      <c r="CL887" t="n">
        <v>3.274533010812972</v>
      </c>
      <c r="CM887" t="n">
        <v>3.103328342765051</v>
      </c>
      <c r="CN887" t="n">
        <v>3.359194398533961</v>
      </c>
      <c r="CO887" t="n">
        <v>3.41554912784097</v>
      </c>
      <c r="CP887" t="n">
        <v>3.341081773581701</v>
      </c>
      <c r="CQ887" t="n">
        <v>3.400852013701182</v>
      </c>
      <c r="CR887" t="n">
        <v>3.563583980925032</v>
      </c>
      <c r="EH887" t="n">
        <v>3.382</v>
      </c>
      <c r="ES887" t="n">
        <v>25.27</v>
      </c>
      <c r="FD887" t="n">
        <v>3.85</v>
      </c>
      <c r="FF887" t="n">
        <v>8</v>
      </c>
      <c r="FG887" t="n">
        <v>2.6</v>
      </c>
      <c r="FH887" t="n">
        <v>23.4</v>
      </c>
      <c r="FI887" t="n">
        <v>-18.2</v>
      </c>
      <c r="FJ887" t="n">
        <v>3.123334978372751</v>
      </c>
      <c r="FK887" t="n">
        <v>3.389008852359858</v>
      </c>
      <c r="FL887" t="n">
        <v>3.206769811966529</v>
      </c>
      <c r="HH887" t="n">
        <v>3.24</v>
      </c>
      <c r="HS887" t="n">
        <v>24.6</v>
      </c>
      <c r="ID887" t="n">
        <v>3.42</v>
      </c>
      <c r="IF887" t="n">
        <v>8</v>
      </c>
      <c r="IG887" t="n">
        <v>4.2</v>
      </c>
      <c r="IH887" t="n">
        <v>37.8</v>
      </c>
      <c r="II887" t="n">
        <v>-29.4</v>
      </c>
      <c r="IJ887" t="n">
        <v>3.842551302935962</v>
      </c>
      <c r="IK887" t="n">
        <v>5.042359064136438</v>
      </c>
      <c r="IL887" t="n">
        <v>5.090938159196164</v>
      </c>
      <c r="KH887" t="n">
        <v>4.659</v>
      </c>
      <c r="KS887" t="n">
        <v>10.92</v>
      </c>
      <c r="LD887" t="n">
        <v>12.39</v>
      </c>
    </row>
    <row r="888">
      <c r="A888" t="inlineStr">
        <is>
          <t>2026-02-06</t>
        </is>
      </c>
      <c r="B888" t="inlineStr">
        <is>
          <t>Diagnosis Plus 27</t>
        </is>
      </c>
      <c r="C888" t="inlineStr">
        <is>
          <t>00105105226020601</t>
        </is>
      </c>
      <c r="D888" t="inlineStr">
        <is>
          <t>ALP</t>
        </is>
      </c>
      <c r="F888" t="n">
        <v>20</v>
      </c>
      <c r="G888" t="n">
        <v>136</v>
      </c>
      <c r="H888" t="n">
        <v>2856</v>
      </c>
      <c r="I888" t="n">
        <v>-2584</v>
      </c>
      <c r="J888" t="n">
        <v>142.206960927369</v>
      </c>
      <c r="K888" t="n">
        <v>140.9909827192727</v>
      </c>
      <c r="L888" t="n">
        <v>139.881592508573</v>
      </c>
      <c r="M888" t="n">
        <v>140.6618819573643</v>
      </c>
      <c r="N888" t="n">
        <v>141.8248803525734</v>
      </c>
      <c r="O888" t="n">
        <v>138.7310278798183</v>
      </c>
      <c r="P888" t="n">
        <v>141.3514059964011</v>
      </c>
      <c r="Q888" t="n">
        <v>142.9535961162176</v>
      </c>
      <c r="R888" t="n">
        <v>141.6059216743029</v>
      </c>
      <c r="BH888" t="n">
        <v>141.27</v>
      </c>
      <c r="BS888" t="n">
        <v>3.87</v>
      </c>
      <c r="CD888" t="n">
        <v>1.08</v>
      </c>
      <c r="CF888" t="n">
        <v>20</v>
      </c>
      <c r="CG888" t="n">
        <v>456</v>
      </c>
      <c r="CH888" t="n">
        <v>9576</v>
      </c>
      <c r="CI888" t="n">
        <v>-8664</v>
      </c>
      <c r="CJ888" t="n">
        <v>443.2073623177565</v>
      </c>
      <c r="CK888" t="n">
        <v>445.6241922808954</v>
      </c>
      <c r="CL888" t="n">
        <v>435.3123410569821</v>
      </c>
      <c r="CM888" t="n">
        <v>446.1214259569097</v>
      </c>
      <c r="CN888" t="n">
        <v>437.9890596894111</v>
      </c>
      <c r="CO888" t="n">
        <v>426.2694269074173</v>
      </c>
      <c r="CP888" t="n">
        <v>440.1598967170817</v>
      </c>
      <c r="CQ888" t="n">
        <v>433.6795196173388</v>
      </c>
      <c r="CR888" t="n">
        <v>431.0785524668266</v>
      </c>
      <c r="EH888" t="n">
        <v>437.716</v>
      </c>
      <c r="ES888" t="n">
        <v>-4.01</v>
      </c>
      <c r="FD888" t="n">
        <v>1.46</v>
      </c>
      <c r="FF888" t="n">
        <v>20</v>
      </c>
      <c r="FG888" t="n">
        <v>75</v>
      </c>
      <c r="FH888" t="n">
        <v>1575</v>
      </c>
      <c r="FI888" t="n">
        <v>-1425</v>
      </c>
      <c r="FJ888" t="n">
        <v>78.59280481108766</v>
      </c>
      <c r="FK888" t="n">
        <v>77.80467562550953</v>
      </c>
      <c r="FL888" t="n">
        <v>76.10755674751913</v>
      </c>
      <c r="HH888" t="n">
        <v>77.502</v>
      </c>
      <c r="HS888" t="n">
        <v>3.34</v>
      </c>
      <c r="ID888" t="n">
        <v>1.34</v>
      </c>
      <c r="IF888" t="n">
        <v>20</v>
      </c>
      <c r="IG888" t="n">
        <v>251</v>
      </c>
      <c r="IH888" t="n">
        <v>5271</v>
      </c>
      <c r="II888" t="n">
        <v>-4769</v>
      </c>
      <c r="IJ888" t="n">
        <v>220.8237874721137</v>
      </c>
      <c r="IK888" t="n">
        <v>217.9174390317579</v>
      </c>
      <c r="IL888" t="n">
        <v>212.411628840516</v>
      </c>
      <c r="KH888" t="n">
        <v>217.051</v>
      </c>
      <c r="KS888" t="n">
        <v>-13.53</v>
      </c>
      <c r="LD888" t="n">
        <v>1.61</v>
      </c>
    </row>
    <row r="889">
      <c r="A889" t="inlineStr">
        <is>
          <t>2026-02-06</t>
        </is>
      </c>
      <c r="B889" t="inlineStr">
        <is>
          <t>Diagnosis Plus 27</t>
        </is>
      </c>
      <c r="C889" t="inlineStr">
        <is>
          <t>00105105226020601</t>
        </is>
      </c>
      <c r="D889" t="inlineStr">
        <is>
          <t>ALT</t>
        </is>
      </c>
      <c r="F889" t="n">
        <v>15</v>
      </c>
      <c r="G889" t="n">
        <v>28</v>
      </c>
      <c r="H889" t="n">
        <v>448</v>
      </c>
      <c r="I889" t="n">
        <v>-392</v>
      </c>
      <c r="J889" t="n">
        <v>25.69152313196921</v>
      </c>
      <c r="K889" t="n">
        <v>24.11691949974282</v>
      </c>
      <c r="L889" t="n">
        <v>27.11352421804515</v>
      </c>
      <c r="M889" t="n">
        <v>26.94795133926812</v>
      </c>
      <c r="N889" t="n">
        <v>29.73303370496912</v>
      </c>
      <c r="O889" t="n">
        <v>30.4256837531841</v>
      </c>
      <c r="P889" t="n">
        <v>335.9282717349604</v>
      </c>
      <c r="Q889" t="n">
        <v>50.82435622600543</v>
      </c>
      <c r="R889" t="n">
        <v>88.15044561646717</v>
      </c>
      <c r="BH889" t="n">
        <v>52.294</v>
      </c>
      <c r="BS889" t="n">
        <v>86.76000000000001</v>
      </c>
      <c r="CD889" t="n">
        <v>175.24</v>
      </c>
      <c r="CF889" t="n">
        <v>15</v>
      </c>
      <c r="CG889" t="n">
        <v>115</v>
      </c>
      <c r="CH889" t="n">
        <v>1840</v>
      </c>
      <c r="CI889" t="n">
        <v>-1610</v>
      </c>
      <c r="CJ889" t="n">
        <v>121.0293872567195</v>
      </c>
      <c r="CK889" t="n">
        <v>120.7910684792056</v>
      </c>
      <c r="CL889" t="n">
        <v>113.3669139009708</v>
      </c>
      <c r="CM889" t="n">
        <v>-1.048223783149192</v>
      </c>
      <c r="CN889" t="n">
        <v>121.6566027275891</v>
      </c>
      <c r="CO889" t="n">
        <v>112.6753408197507</v>
      </c>
      <c r="CP889" t="n">
        <v>86.41894188736967</v>
      </c>
      <c r="CQ889" t="n">
        <v>91.14919436832091</v>
      </c>
      <c r="CR889" t="n">
        <v>115.695143259255</v>
      </c>
      <c r="EH889" t="n">
        <v>97.97</v>
      </c>
      <c r="ES889" t="n">
        <v>-14.81</v>
      </c>
      <c r="FD889" t="n">
        <v>37.83</v>
      </c>
      <c r="FF889" t="n">
        <v>15</v>
      </c>
      <c r="FG889" t="n">
        <v>26</v>
      </c>
      <c r="FH889" t="n">
        <v>416</v>
      </c>
      <c r="FI889" t="n">
        <v>-364</v>
      </c>
      <c r="FJ889" t="n">
        <v>166.0014642988868</v>
      </c>
      <c r="FK889" t="n">
        <v>-15.67944770194652</v>
      </c>
      <c r="FL889" t="n">
        <v>19.68908241832051</v>
      </c>
      <c r="HH889" t="n">
        <v>56.67</v>
      </c>
      <c r="HS889" t="n">
        <v>117.96</v>
      </c>
      <c r="ID889" t="n">
        <v>138.78</v>
      </c>
      <c r="IF889" t="n">
        <v>15</v>
      </c>
      <c r="IG889" t="n">
        <v>217</v>
      </c>
      <c r="IH889" t="n">
        <v>3472</v>
      </c>
      <c r="II889" t="n">
        <v>-3038</v>
      </c>
      <c r="IJ889" t="n">
        <v>-48.89476945307512</v>
      </c>
      <c r="IK889" t="n">
        <v>-36.26194125937176</v>
      </c>
      <c r="IL889" t="n">
        <v>197.5014998974676</v>
      </c>
      <c r="KH889" t="n">
        <v>37.448</v>
      </c>
      <c r="KS889" t="n">
        <v>-82.73999999999999</v>
      </c>
      <c r="LD889" t="n">
        <v>302.53</v>
      </c>
    </row>
    <row r="890">
      <c r="A890" t="inlineStr">
        <is>
          <t>2026-02-06</t>
        </is>
      </c>
      <c r="B890" t="inlineStr">
        <is>
          <t>Diagnosis Plus 27</t>
        </is>
      </c>
      <c r="C890" t="inlineStr">
        <is>
          <t>00105105226020601</t>
        </is>
      </c>
      <c r="D890" t="inlineStr">
        <is>
          <t>BUN</t>
        </is>
      </c>
      <c r="F890" t="n">
        <v>9</v>
      </c>
      <c r="G890" t="n">
        <v>14.8</v>
      </c>
      <c r="H890" t="n">
        <v>148</v>
      </c>
      <c r="I890" t="n">
        <v>-118.4</v>
      </c>
      <c r="J890" t="n">
        <v>13.82911782532567</v>
      </c>
      <c r="K890" t="n">
        <v>13.55350557397227</v>
      </c>
      <c r="L890" t="n">
        <v>13.3615812917177</v>
      </c>
      <c r="M890" t="n">
        <v>13.58747814892846</v>
      </c>
      <c r="N890" t="n">
        <v>13.56577023086833</v>
      </c>
      <c r="O890" t="n">
        <v>13.35504166119127</v>
      </c>
      <c r="P890" t="n">
        <v>13.75784033502638</v>
      </c>
      <c r="Q890" t="n">
        <v>13.67660574831105</v>
      </c>
      <c r="R890" t="n">
        <v>13.36902646792061</v>
      </c>
      <c r="BH890" t="n">
        <v>13.649</v>
      </c>
      <c r="BS890" t="n">
        <v>-7.78</v>
      </c>
      <c r="CD890" t="n">
        <v>1.89</v>
      </c>
      <c r="CF890" t="n">
        <v>9</v>
      </c>
      <c r="CG890" t="n">
        <v>44.7</v>
      </c>
      <c r="CH890" t="n">
        <v>447</v>
      </c>
      <c r="CI890" t="n">
        <v>-357.6</v>
      </c>
      <c r="CJ890" t="n">
        <v>43.15570066643329</v>
      </c>
      <c r="CK890" t="n">
        <v>44.26405680894164</v>
      </c>
      <c r="CL890" t="n">
        <v>42.82340114045064</v>
      </c>
      <c r="CM890" t="n">
        <v>44.24650593104251</v>
      </c>
      <c r="CN890" t="n">
        <v>42.95437690284547</v>
      </c>
      <c r="CO890" t="n">
        <v>42.83286453209504</v>
      </c>
      <c r="CP890" t="n">
        <v>43.7591165726827</v>
      </c>
      <c r="CQ890" t="n">
        <v>43.11658464944215</v>
      </c>
      <c r="CR890" t="n">
        <v>43.10087623004759</v>
      </c>
      <c r="EH890" t="n">
        <v>43.361</v>
      </c>
      <c r="ES890" t="n">
        <v>-2.99</v>
      </c>
      <c r="FD890" t="n">
        <v>1.25</v>
      </c>
      <c r="FF890" t="n">
        <v>9</v>
      </c>
      <c r="FG890" t="n">
        <v>14.7</v>
      </c>
      <c r="FH890" t="n">
        <v>147</v>
      </c>
      <c r="FI890" t="n">
        <v>-117.6</v>
      </c>
      <c r="FJ890" t="n">
        <v>13.75749103605334</v>
      </c>
      <c r="FK890" t="n">
        <v>13.97207644174522</v>
      </c>
      <c r="FL890" t="n">
        <v>13.38083886024148</v>
      </c>
      <c r="HH890" t="n">
        <v>13.703</v>
      </c>
      <c r="HS890" t="n">
        <v>-6.78</v>
      </c>
      <c r="ID890" t="n">
        <v>1.78</v>
      </c>
      <c r="IF890" t="n">
        <v>9</v>
      </c>
      <c r="IG890" t="n">
        <v>65.7</v>
      </c>
      <c r="IH890" t="n">
        <v>657</v>
      </c>
      <c r="II890" t="n">
        <v>-525.6</v>
      </c>
      <c r="IJ890" t="n">
        <v>65.74659891253256</v>
      </c>
      <c r="IK890" t="n">
        <v>63.73019670553625</v>
      </c>
      <c r="IL890" t="n">
        <v>63.7581856483314</v>
      </c>
      <c r="KH890" t="n">
        <v>64.41200000000001</v>
      </c>
      <c r="KS890" t="n">
        <v>-1.96</v>
      </c>
      <c r="LD890" t="n">
        <v>1.47</v>
      </c>
    </row>
    <row r="891">
      <c r="A891" t="inlineStr">
        <is>
          <t>2026-02-06</t>
        </is>
      </c>
      <c r="B891" t="inlineStr">
        <is>
          <t>Diagnosis Plus 27</t>
        </is>
      </c>
      <c r="C891" t="inlineStr">
        <is>
          <t>00105105226020601</t>
        </is>
      </c>
      <c r="D891" t="inlineStr">
        <is>
          <t>CREA</t>
        </is>
      </c>
      <c r="F891" t="n">
        <v>10</v>
      </c>
      <c r="G891" t="n">
        <v>1.5</v>
      </c>
      <c r="H891" t="n">
        <v>16.5</v>
      </c>
      <c r="I891" t="n">
        <v>-13.5</v>
      </c>
      <c r="J891" t="n">
        <v>1.166013468731043</v>
      </c>
      <c r="K891" t="n">
        <v>1.230131070893693</v>
      </c>
      <c r="L891" t="n">
        <v>1.178925988149011</v>
      </c>
      <c r="M891" t="n">
        <v>1.189948028281321</v>
      </c>
      <c r="N891" t="n">
        <v>1.215228527027092</v>
      </c>
      <c r="O891" t="n">
        <v>1.188117717052051</v>
      </c>
      <c r="P891" t="n">
        <v>1.276863644383064</v>
      </c>
      <c r="Q891" t="n">
        <v>1.189077394908626</v>
      </c>
      <c r="R891" t="n">
        <v>1.257463200858519</v>
      </c>
      <c r="BH891" t="n">
        <v>1.231</v>
      </c>
      <c r="BS891" t="n">
        <v>-17.95</v>
      </c>
      <c r="CD891" t="n">
        <v>4.14</v>
      </c>
      <c r="CF891" t="n">
        <v>10</v>
      </c>
      <c r="CG891" t="n">
        <v>5.55</v>
      </c>
      <c r="CH891" t="n">
        <v>61.05</v>
      </c>
      <c r="CI891" t="n">
        <v>-49.95</v>
      </c>
      <c r="CJ891" t="n">
        <v>4.414422347032399</v>
      </c>
      <c r="CK891" t="n">
        <v>4.518871042659095</v>
      </c>
      <c r="CL891" t="n">
        <v>4.291423692207785</v>
      </c>
      <c r="CM891" t="n">
        <v>4.653644548483971</v>
      </c>
      <c r="CN891" t="n">
        <v>4.402847439460577</v>
      </c>
      <c r="CO891" t="n">
        <v>4.339513104442211</v>
      </c>
      <c r="CP891" t="n">
        <v>4.525786013504744</v>
      </c>
      <c r="CQ891" t="n">
        <v>4.498879236793376</v>
      </c>
      <c r="CR891" t="n">
        <v>4.505206842363564</v>
      </c>
      <c r="EH891" t="n">
        <v>4.461</v>
      </c>
      <c r="ES891" t="n">
        <v>-19.62</v>
      </c>
      <c r="FD891" t="n">
        <v>2.33</v>
      </c>
      <c r="FF891" t="n">
        <v>10</v>
      </c>
      <c r="FG891" t="n">
        <v>0.97</v>
      </c>
      <c r="FH891" t="n">
        <v>10.67</v>
      </c>
      <c r="FI891" t="n">
        <v>-8.73</v>
      </c>
      <c r="FJ891" t="n">
        <v>0.6875784403169586</v>
      </c>
      <c r="FK891" t="n">
        <v>0.6996562141329076</v>
      </c>
      <c r="FL891" t="n">
        <v>0.599947783263963</v>
      </c>
      <c r="HH891" t="n">
        <v>0.662</v>
      </c>
      <c r="HS891" t="n">
        <v>-31.71</v>
      </c>
      <c r="ID891" t="n">
        <v>6.71</v>
      </c>
      <c r="IF891" t="n">
        <v>10</v>
      </c>
      <c r="IG891" t="n">
        <v>5.95</v>
      </c>
      <c r="IH891" t="n">
        <v>65.45</v>
      </c>
      <c r="II891" t="n">
        <v>-53.55</v>
      </c>
      <c r="IJ891" t="n">
        <v>5.291055057307249</v>
      </c>
      <c r="IK891" t="n">
        <v>5.219225449112383</v>
      </c>
      <c r="IL891" t="n">
        <v>5.21450157129313</v>
      </c>
      <c r="KH891" t="n">
        <v>5.242</v>
      </c>
      <c r="KS891" t="n">
        <v>-11.91</v>
      </c>
      <c r="LD891" t="n">
        <v>0.67</v>
      </c>
    </row>
    <row r="892">
      <c r="A892" t="inlineStr">
        <is>
          <t>2026-02-06</t>
        </is>
      </c>
      <c r="B892" t="inlineStr">
        <is>
          <t>Diagnosis Plus 27</t>
        </is>
      </c>
      <c r="C892" t="inlineStr">
        <is>
          <t>00105105226020601</t>
        </is>
      </c>
      <c r="D892" t="inlineStr">
        <is>
          <t>GLU</t>
        </is>
      </c>
      <c r="F892" t="n">
        <v>8</v>
      </c>
      <c r="G892" t="n">
        <v>90.16</v>
      </c>
      <c r="H892" t="n">
        <v>811.4399999999999</v>
      </c>
      <c r="I892" t="n">
        <v>-631.12</v>
      </c>
      <c r="J892" t="n">
        <v>89.0529847383695</v>
      </c>
      <c r="K892" t="n">
        <v>88.69940483865619</v>
      </c>
      <c r="L892" t="n">
        <v>88.47215243166974</v>
      </c>
      <c r="M892" t="n">
        <v>89.38214735134474</v>
      </c>
      <c r="N892" t="n">
        <v>89.10816189790603</v>
      </c>
      <c r="O892" t="n">
        <v>88.87931398414744</v>
      </c>
      <c r="P892" t="n">
        <v>88.82037081643131</v>
      </c>
      <c r="Q892" t="n">
        <v>90.28282679641345</v>
      </c>
      <c r="R892" t="n">
        <v>90.93119455642554</v>
      </c>
      <c r="BH892" t="n">
        <v>89.524</v>
      </c>
      <c r="BS892" t="n">
        <v>-0.71</v>
      </c>
      <c r="CD892" t="n">
        <v>1.1</v>
      </c>
      <c r="CF892" t="n">
        <v>8</v>
      </c>
      <c r="CG892" t="n">
        <v>293.02</v>
      </c>
      <c r="CH892" t="n">
        <v>2637.18</v>
      </c>
      <c r="CI892" t="n">
        <v>-2051.14</v>
      </c>
      <c r="CJ892" t="n">
        <v>297.4827690134219</v>
      </c>
      <c r="CK892" t="n">
        <v>299.8506152466081</v>
      </c>
      <c r="CL892" t="n">
        <v>294.033075532166</v>
      </c>
      <c r="CM892" t="n">
        <v>298.2291511242548</v>
      </c>
      <c r="CN892" t="n">
        <v>289.7621592760682</v>
      </c>
      <c r="CO892" t="n">
        <v>292.3111149220735</v>
      </c>
      <c r="CP892" t="n">
        <v>293.9800130325588</v>
      </c>
      <c r="CQ892" t="n">
        <v>290.2378688420304</v>
      </c>
      <c r="CR892" t="n">
        <v>294.6439643800709</v>
      </c>
      <c r="EH892" t="n">
        <v>294.503</v>
      </c>
      <c r="ES892" t="n">
        <v>0.51</v>
      </c>
      <c r="FD892" t="n">
        <v>1.12</v>
      </c>
      <c r="FF892" t="n">
        <v>8</v>
      </c>
      <c r="FG892" t="n">
        <v>65.66</v>
      </c>
      <c r="FH892" t="n">
        <v>590.9399999999999</v>
      </c>
      <c r="FI892" t="n">
        <v>-459.62</v>
      </c>
      <c r="FJ892" t="n">
        <v>65.73644743268736</v>
      </c>
      <c r="FK892" t="n">
        <v>66.18058712248555</v>
      </c>
      <c r="FL892" t="n">
        <v>63.52368746389519</v>
      </c>
      <c r="HH892" t="n">
        <v>65.14700000000001</v>
      </c>
      <c r="HS892" t="n">
        <v>-0.78</v>
      </c>
      <c r="ID892" t="n">
        <v>1.78</v>
      </c>
      <c r="IF892" t="n">
        <v>8</v>
      </c>
      <c r="IG892" t="n">
        <v>359.66</v>
      </c>
      <c r="IH892" t="n">
        <v>3236.94</v>
      </c>
      <c r="II892" t="n">
        <v>-2517.62</v>
      </c>
      <c r="IJ892" t="n">
        <v>364.0467072721464</v>
      </c>
      <c r="IK892" t="n">
        <v>351.8688883442171</v>
      </c>
      <c r="IL892" t="n">
        <v>352.7251622779897</v>
      </c>
      <c r="KH892" t="n">
        <v>356.214</v>
      </c>
      <c r="KS892" t="n">
        <v>-0.96</v>
      </c>
      <c r="LD892" t="n">
        <v>1.56</v>
      </c>
    </row>
    <row r="893">
      <c r="A893" t="inlineStr">
        <is>
          <t>2026-02-06</t>
        </is>
      </c>
      <c r="B893" t="inlineStr">
        <is>
          <t>Diagnosis Plus 27</t>
        </is>
      </c>
      <c r="C893" t="inlineStr">
        <is>
          <t>00105105226020601</t>
        </is>
      </c>
      <c r="D893" t="inlineStr">
        <is>
          <t>TP</t>
        </is>
      </c>
      <c r="F893" t="n">
        <v>8</v>
      </c>
      <c r="G893" t="n">
        <v>6.4</v>
      </c>
      <c r="H893" t="n">
        <v>57.6</v>
      </c>
      <c r="I893" t="n">
        <v>-44.8</v>
      </c>
      <c r="J893" t="n">
        <v>6.142021966834944</v>
      </c>
      <c r="K893" t="n">
        <v>6.048842875128722</v>
      </c>
      <c r="L893" t="n">
        <v>6.038779379546632</v>
      </c>
      <c r="M893" t="n">
        <v>6.089188928345596</v>
      </c>
      <c r="N893" t="n">
        <v>6.067561546104633</v>
      </c>
      <c r="O893" t="n">
        <v>6.014061808364769</v>
      </c>
      <c r="P893" t="n">
        <v>6.082414609305232</v>
      </c>
      <c r="Q893" t="n">
        <v>6.125903668519083</v>
      </c>
      <c r="R893" t="n">
        <v>6.308935847779216</v>
      </c>
      <c r="BH893" t="n">
        <v>6.146</v>
      </c>
      <c r="BS893" t="n">
        <v>-3.98</v>
      </c>
      <c r="CD893" t="n">
        <v>1.9</v>
      </c>
      <c r="CF893" t="n">
        <v>8</v>
      </c>
      <c r="CG893" t="n">
        <v>4.1</v>
      </c>
      <c r="CH893" t="n">
        <v>36.9</v>
      </c>
      <c r="CI893" t="n">
        <v>-28.7</v>
      </c>
      <c r="CJ893" t="n">
        <v>4.081803301749785</v>
      </c>
      <c r="CK893" t="n">
        <v>4.084228715916685</v>
      </c>
      <c r="CL893" t="n">
        <v>3.9520796911532</v>
      </c>
      <c r="CM893" t="n">
        <v>4.105345111619854</v>
      </c>
      <c r="CN893" t="n">
        <v>3.960021539202425</v>
      </c>
      <c r="CO893" t="n">
        <v>4.063032125767325</v>
      </c>
      <c r="CP893" t="n">
        <v>4.052109487205804</v>
      </c>
      <c r="CQ893" t="n">
        <v>3.968647134114522</v>
      </c>
      <c r="CR893" t="n">
        <v>4.149888972744122</v>
      </c>
      <c r="EH893" t="n">
        <v>4.046</v>
      </c>
      <c r="ES893" t="n">
        <v>-1.31</v>
      </c>
      <c r="FD893" t="n">
        <v>1.64</v>
      </c>
      <c r="FF893" t="n">
        <v>8</v>
      </c>
      <c r="FG893" t="n">
        <v>4.2</v>
      </c>
      <c r="FH893" t="n">
        <v>37.8</v>
      </c>
      <c r="FI893" t="n">
        <v>-29.4</v>
      </c>
      <c r="FJ893" t="n">
        <v>3.827009389078392</v>
      </c>
      <c r="FK893" t="n">
        <v>3.808331253103336</v>
      </c>
      <c r="FL893" t="n">
        <v>3.63900618509196</v>
      </c>
      <c r="HH893" t="n">
        <v>3.758</v>
      </c>
      <c r="HS893" t="n">
        <v>-10.52</v>
      </c>
      <c r="ID893" t="n">
        <v>2.25</v>
      </c>
      <c r="IF893" t="n">
        <v>8</v>
      </c>
      <c r="IG893" t="n">
        <v>7.5</v>
      </c>
      <c r="IH893" t="n">
        <v>67.5</v>
      </c>
      <c r="II893" t="n">
        <v>-52.5</v>
      </c>
      <c r="IJ893" t="n">
        <v>7.419662579635402</v>
      </c>
      <c r="IK893" t="n">
        <v>7.140172755675779</v>
      </c>
      <c r="IL893" t="n">
        <v>7.291689079519772</v>
      </c>
      <c r="KH893" t="n">
        <v>7.284</v>
      </c>
      <c r="KS893" t="n">
        <v>-2.88</v>
      </c>
      <c r="LD893" t="n">
        <v>1.57</v>
      </c>
    </row>
    <row r="894">
      <c r="A894" t="inlineStr">
        <is>
          <t>2025-08-27</t>
        </is>
      </c>
      <c r="B894" t="inlineStr">
        <is>
          <t>General Chem 27   Panel</t>
        </is>
      </c>
      <c r="C894" t="inlineStr">
        <is>
          <t>00105305425081501</t>
        </is>
      </c>
      <c r="D894" t="inlineStr">
        <is>
          <t>ALB</t>
        </is>
      </c>
      <c r="F894" t="n">
        <v>8</v>
      </c>
      <c r="G894" t="n">
        <v>4.2</v>
      </c>
      <c r="H894" t="n">
        <v>37.8</v>
      </c>
      <c r="I894" t="n">
        <v>-29.4</v>
      </c>
      <c r="J894" t="n">
        <v>0.105193126521566</v>
      </c>
      <c r="K894" t="n">
        <v>0.1123814124432845</v>
      </c>
      <c r="L894" t="n">
        <v>2.767452291510963</v>
      </c>
      <c r="M894" t="n">
        <v>2.827688183983645</v>
      </c>
      <c r="N894" t="n">
        <v>2.615437863533972</v>
      </c>
      <c r="O894" t="n">
        <v>2.444391361520687</v>
      </c>
      <c r="P894" t="n">
        <v>2.43046355403158</v>
      </c>
      <c r="BH894" t="n">
        <v>1.9</v>
      </c>
      <c r="BS894" t="n">
        <v>-54.75</v>
      </c>
      <c r="CD894" t="n">
        <v>60.06</v>
      </c>
      <c r="CF894" t="n">
        <v>8</v>
      </c>
      <c r="CG894" t="n">
        <v>2.7</v>
      </c>
      <c r="CH894" t="n">
        <v>24.3</v>
      </c>
      <c r="CI894" t="n">
        <v>-18.9</v>
      </c>
      <c r="FF894" t="n">
        <v>8</v>
      </c>
      <c r="FG894" t="n">
        <v>2.6</v>
      </c>
      <c r="FH894" t="n">
        <v>23.4</v>
      </c>
      <c r="FI894" t="n">
        <v>-18.2</v>
      </c>
      <c r="FJ894" t="n">
        <v>3.075341954554332</v>
      </c>
      <c r="HH894" t="n">
        <v>3.075</v>
      </c>
      <c r="HS894" t="n">
        <v>18.28</v>
      </c>
      <c r="IF894" t="n">
        <v>8</v>
      </c>
      <c r="IG894" t="n">
        <v>4.2</v>
      </c>
      <c r="IH894" t="n">
        <v>37.8</v>
      </c>
      <c r="II894" t="n">
        <v>-29.4</v>
      </c>
    </row>
    <row r="895">
      <c r="A895" t="inlineStr">
        <is>
          <t>2025-08-27</t>
        </is>
      </c>
      <c r="B895" t="inlineStr">
        <is>
          <t>General Chem 27   Panel</t>
        </is>
      </c>
      <c r="C895" t="inlineStr">
        <is>
          <t>00105305425081501</t>
        </is>
      </c>
      <c r="D895" t="inlineStr">
        <is>
          <t>ALP</t>
        </is>
      </c>
      <c r="F895" t="n">
        <v>20</v>
      </c>
      <c r="G895" t="n">
        <v>136</v>
      </c>
      <c r="H895" t="n">
        <v>2856</v>
      </c>
      <c r="I895" t="n">
        <v>-2584</v>
      </c>
      <c r="J895" t="n">
        <v>54.76436454503821</v>
      </c>
      <c r="K895" t="n">
        <v>54.81413575691039</v>
      </c>
      <c r="L895" t="n">
        <v>419.0122380589127</v>
      </c>
      <c r="M895" t="n">
        <v>418.36258405932</v>
      </c>
      <c r="N895" t="n">
        <v>424.909066820402</v>
      </c>
      <c r="O895" t="n">
        <v>421.6581929567855</v>
      </c>
      <c r="P895" t="n">
        <v>432.7145136932329</v>
      </c>
      <c r="BH895" t="n">
        <v>318.034</v>
      </c>
      <c r="BS895" t="n">
        <v>133.85</v>
      </c>
      <c r="CD895" t="n">
        <v>52.37</v>
      </c>
      <c r="CF895" t="n">
        <v>20</v>
      </c>
      <c r="CG895" t="n">
        <v>456</v>
      </c>
      <c r="CH895" t="n">
        <v>9576</v>
      </c>
      <c r="CI895" t="n">
        <v>-8664</v>
      </c>
      <c r="FF895" t="n">
        <v>20</v>
      </c>
      <c r="FG895" t="n">
        <v>75</v>
      </c>
      <c r="FH895" t="n">
        <v>1575</v>
      </c>
      <c r="FI895" t="n">
        <v>-1425</v>
      </c>
      <c r="FJ895" t="n">
        <v>100.7324600131676</v>
      </c>
      <c r="HH895" t="n">
        <v>100.732</v>
      </c>
      <c r="HS895" t="n">
        <v>34.31</v>
      </c>
      <c r="IF895" t="n">
        <v>20</v>
      </c>
      <c r="IG895" t="n">
        <v>251</v>
      </c>
      <c r="IH895" t="n">
        <v>5271</v>
      </c>
      <c r="II895" t="n">
        <v>-4769</v>
      </c>
    </row>
    <row r="896">
      <c r="A896" t="inlineStr">
        <is>
          <t>2025-08-27</t>
        </is>
      </c>
      <c r="B896" t="inlineStr">
        <is>
          <t>General Chem 27   Panel</t>
        </is>
      </c>
      <c r="C896" t="inlineStr">
        <is>
          <t>00105305425081501</t>
        </is>
      </c>
      <c r="D896" t="inlineStr">
        <is>
          <t>ALT</t>
        </is>
      </c>
      <c r="F896" t="n">
        <v>15</v>
      </c>
      <c r="G896" t="n">
        <v>28</v>
      </c>
      <c r="H896" t="n">
        <v>448</v>
      </c>
      <c r="I896" t="n">
        <v>-392</v>
      </c>
      <c r="J896" t="n">
        <v>-4.203081016573242</v>
      </c>
      <c r="K896" t="n">
        <v>-2.946580650869153</v>
      </c>
      <c r="L896" t="n">
        <v>241.5594670513213</v>
      </c>
      <c r="M896" t="n">
        <v>212.9196820094863</v>
      </c>
      <c r="N896" t="n">
        <v>177.9457449251886</v>
      </c>
      <c r="O896" t="n">
        <v>153.7721829740593</v>
      </c>
      <c r="P896" t="n">
        <v>122.2119411907128</v>
      </c>
      <c r="BH896" t="n">
        <v>128.751</v>
      </c>
      <c r="BS896" t="n">
        <v>359.83</v>
      </c>
      <c r="CD896" t="n">
        <v>70.65000000000001</v>
      </c>
      <c r="CF896" t="n">
        <v>15</v>
      </c>
      <c r="CG896" t="n">
        <v>115</v>
      </c>
      <c r="CH896" t="n">
        <v>1840</v>
      </c>
      <c r="CI896" t="n">
        <v>-1610</v>
      </c>
      <c r="FF896" t="n">
        <v>15</v>
      </c>
      <c r="FG896" t="n">
        <v>26</v>
      </c>
      <c r="FH896" t="n">
        <v>416</v>
      </c>
      <c r="FI896" t="n">
        <v>-364</v>
      </c>
      <c r="FJ896" t="n">
        <v>41.82005061723969</v>
      </c>
      <c r="HH896" t="n">
        <v>41.82</v>
      </c>
      <c r="HS896" t="n">
        <v>60.85</v>
      </c>
      <c r="IF896" t="n">
        <v>15</v>
      </c>
      <c r="IG896" t="n">
        <v>217</v>
      </c>
      <c r="IH896" t="n">
        <v>3472</v>
      </c>
      <c r="II896" t="n">
        <v>-3038</v>
      </c>
    </row>
    <row r="897">
      <c r="A897" t="inlineStr">
        <is>
          <t>2025-08-27</t>
        </is>
      </c>
      <c r="B897" t="inlineStr">
        <is>
          <t>General Chem 27   Panel</t>
        </is>
      </c>
      <c r="C897" t="inlineStr">
        <is>
          <t>00105305425081501</t>
        </is>
      </c>
      <c r="D897" t="inlineStr">
        <is>
          <t>AMY</t>
        </is>
      </c>
      <c r="F897" t="n">
        <v>10</v>
      </c>
      <c r="G897" t="n">
        <v>78</v>
      </c>
      <c r="H897" t="n">
        <v>858</v>
      </c>
      <c r="I897" t="n">
        <v>-702</v>
      </c>
      <c r="J897" t="n">
        <v>314.7549386361735</v>
      </c>
      <c r="K897" t="n">
        <v>329.8512371018854</v>
      </c>
      <c r="L897" t="n">
        <v>356.5945861253251</v>
      </c>
      <c r="M897" t="n">
        <v>377.1645623854936</v>
      </c>
      <c r="N897" t="n">
        <v>393.8952718346288</v>
      </c>
      <c r="BH897" t="n">
        <v>354.452</v>
      </c>
      <c r="BS897" t="n">
        <v>354.43</v>
      </c>
      <c r="CD897" t="n">
        <v>8.23</v>
      </c>
      <c r="CF897" t="n">
        <v>10</v>
      </c>
      <c r="CG897" t="n">
        <v>404</v>
      </c>
      <c r="CH897" t="n">
        <v>4444</v>
      </c>
      <c r="CI897" t="n">
        <v>-3636</v>
      </c>
      <c r="FF897" t="n">
        <v>10</v>
      </c>
      <c r="FG897" t="n">
        <v>63</v>
      </c>
      <c r="FH897" t="n">
        <v>693</v>
      </c>
      <c r="FI897" t="n">
        <v>-567</v>
      </c>
      <c r="IF897" t="n">
        <v>10</v>
      </c>
      <c r="IG897" t="n">
        <v>297</v>
      </c>
      <c r="IH897" t="n">
        <v>3267</v>
      </c>
      <c r="II897" t="n">
        <v>-2673</v>
      </c>
    </row>
    <row r="898">
      <c r="A898" t="inlineStr">
        <is>
          <t>2025-08-27</t>
        </is>
      </c>
      <c r="B898" t="inlineStr">
        <is>
          <t>General Chem 27   Panel</t>
        </is>
      </c>
      <c r="C898" t="inlineStr">
        <is>
          <t>00105305425081501</t>
        </is>
      </c>
      <c r="D898" t="inlineStr">
        <is>
          <t>AST</t>
        </is>
      </c>
      <c r="F898" t="n">
        <v>15</v>
      </c>
      <c r="G898" t="n">
        <v>44</v>
      </c>
      <c r="H898" t="n">
        <v>704</v>
      </c>
      <c r="I898" t="n">
        <v>-616</v>
      </c>
      <c r="J898" t="n">
        <v>239.2374322668697</v>
      </c>
      <c r="K898" t="n">
        <v>227.4691816467367</v>
      </c>
      <c r="L898" t="n">
        <v>214.2802674843892</v>
      </c>
      <c r="M898" t="n">
        <v>214.5403595048441</v>
      </c>
      <c r="N898" t="n">
        <v>222.9804134945237</v>
      </c>
      <c r="BH898" t="n">
        <v>223.702</v>
      </c>
      <c r="BS898" t="n">
        <v>408.41</v>
      </c>
      <c r="CD898" t="n">
        <v>4.14</v>
      </c>
      <c r="CF898" t="n">
        <v>15</v>
      </c>
      <c r="CG898" t="n">
        <v>221</v>
      </c>
      <c r="CH898" t="n">
        <v>3536</v>
      </c>
      <c r="CI898" t="n">
        <v>-3094</v>
      </c>
      <c r="FF898" t="n">
        <v>15</v>
      </c>
      <c r="FG898" t="n">
        <v>45</v>
      </c>
      <c r="FH898" t="n">
        <v>720</v>
      </c>
      <c r="FI898" t="n">
        <v>-630</v>
      </c>
      <c r="IF898" t="n">
        <v>15</v>
      </c>
      <c r="IG898" t="n">
        <v>282</v>
      </c>
      <c r="IH898" t="n">
        <v>4512</v>
      </c>
      <c r="II898" t="n">
        <v>-3948</v>
      </c>
    </row>
    <row r="899">
      <c r="A899" t="inlineStr">
        <is>
          <t>2025-08-27</t>
        </is>
      </c>
      <c r="B899" t="inlineStr">
        <is>
          <t>General Chem 27   Panel</t>
        </is>
      </c>
      <c r="C899" t="inlineStr">
        <is>
          <t>00105305425081501</t>
        </is>
      </c>
      <c r="D899" t="inlineStr">
        <is>
          <t>BUN</t>
        </is>
      </c>
      <c r="F899" t="n">
        <v>9</v>
      </c>
      <c r="G899" t="n">
        <v>14.8</v>
      </c>
      <c r="H899" t="n">
        <v>148</v>
      </c>
      <c r="I899" t="n">
        <v>-118.4</v>
      </c>
      <c r="J899" t="n">
        <v>2.31825754532054</v>
      </c>
      <c r="K899" t="n">
        <v>2.333951767075064</v>
      </c>
      <c r="L899" t="n">
        <v>39.9373486036808</v>
      </c>
      <c r="M899" t="n">
        <v>39.24847008726353</v>
      </c>
      <c r="N899" t="n">
        <v>40.30556739815902</v>
      </c>
      <c r="O899" t="n">
        <v>40.43854901874772</v>
      </c>
      <c r="P899" t="n">
        <v>41.20393684116532</v>
      </c>
      <c r="BH899" t="n">
        <v>29.398</v>
      </c>
      <c r="BS899" t="n">
        <v>98.64</v>
      </c>
      <c r="CD899" t="n">
        <v>58.27</v>
      </c>
      <c r="CF899" t="n">
        <v>9</v>
      </c>
      <c r="CG899" t="n">
        <v>44.7</v>
      </c>
      <c r="CH899" t="n">
        <v>447</v>
      </c>
      <c r="CI899" t="n">
        <v>-357.6</v>
      </c>
      <c r="FF899" t="n">
        <v>9</v>
      </c>
      <c r="FG899" t="n">
        <v>14.7</v>
      </c>
      <c r="FH899" t="n">
        <v>147</v>
      </c>
      <c r="FI899" t="n">
        <v>-117.6</v>
      </c>
      <c r="FJ899" t="n">
        <v>19.06758059067549</v>
      </c>
      <c r="HH899" t="n">
        <v>19.068</v>
      </c>
      <c r="HS899" t="n">
        <v>29.71</v>
      </c>
      <c r="IF899" t="n">
        <v>9</v>
      </c>
      <c r="IG899" t="n">
        <v>65.7</v>
      </c>
      <c r="IH899" t="n">
        <v>657</v>
      </c>
      <c r="II899" t="n">
        <v>-525.6</v>
      </c>
    </row>
    <row r="900">
      <c r="A900" t="inlineStr">
        <is>
          <t>2025-08-27</t>
        </is>
      </c>
      <c r="B900" t="inlineStr">
        <is>
          <t>General Chem 27   Panel</t>
        </is>
      </c>
      <c r="C900" t="inlineStr">
        <is>
          <t>00105305425081501</t>
        </is>
      </c>
      <c r="D900" t="inlineStr">
        <is>
          <t>CHOL</t>
        </is>
      </c>
      <c r="F900" t="n">
        <v>10</v>
      </c>
      <c r="G900" t="n">
        <v>228</v>
      </c>
      <c r="H900" t="n">
        <v>2508</v>
      </c>
      <c r="I900" t="n">
        <v>-2052</v>
      </c>
      <c r="J900" t="n">
        <v>89.54188028693916</v>
      </c>
      <c r="K900" t="n">
        <v>88.64930733529172</v>
      </c>
      <c r="L900" t="n">
        <v>89.81741069797147</v>
      </c>
      <c r="M900" t="n">
        <v>91.02219032100952</v>
      </c>
      <c r="N900" t="n">
        <v>94.89265455709416</v>
      </c>
      <c r="BH900" t="n">
        <v>90.785</v>
      </c>
      <c r="BS900" t="n">
        <v>-60.18</v>
      </c>
      <c r="CD900" t="n">
        <v>2.41</v>
      </c>
      <c r="CF900" t="n">
        <v>10</v>
      </c>
      <c r="CG900" t="n">
        <v>99</v>
      </c>
      <c r="CH900" t="n">
        <v>1089</v>
      </c>
      <c r="CI900" t="n">
        <v>-891</v>
      </c>
      <c r="FF900" t="n">
        <v>10</v>
      </c>
      <c r="FG900" t="n">
        <v>115</v>
      </c>
      <c r="FH900" t="n">
        <v>1265</v>
      </c>
      <c r="FI900" t="n">
        <v>-1035</v>
      </c>
      <c r="IF900" t="n">
        <v>10</v>
      </c>
      <c r="IG900" t="n">
        <v>269</v>
      </c>
      <c r="IH900" t="n">
        <v>2959</v>
      </c>
      <c r="II900" t="n">
        <v>-2421</v>
      </c>
    </row>
    <row r="901">
      <c r="A901" t="inlineStr">
        <is>
          <t>2025-08-27</t>
        </is>
      </c>
      <c r="B901" t="inlineStr">
        <is>
          <t>General Chem 27   Panel</t>
        </is>
      </c>
      <c r="C901" t="inlineStr">
        <is>
          <t>00105305425081501</t>
        </is>
      </c>
      <c r="D901" t="inlineStr">
        <is>
          <t>CREA</t>
        </is>
      </c>
      <c r="F901" t="n">
        <v>10</v>
      </c>
      <c r="G901" t="n">
        <v>1.5</v>
      </c>
      <c r="H901" t="n">
        <v>16.5</v>
      </c>
      <c r="I901" t="n">
        <v>-13.5</v>
      </c>
      <c r="J901" t="n">
        <v>0.3124161676182414</v>
      </c>
      <c r="K901" t="n">
        <v>0.3017712646887724</v>
      </c>
      <c r="L901" t="n">
        <v>5.252320680812806</v>
      </c>
      <c r="M901" t="n">
        <v>5.133514977284709</v>
      </c>
      <c r="N901" t="n">
        <v>5.078576916860182</v>
      </c>
      <c r="O901" t="n">
        <v>5.013389263961002</v>
      </c>
      <c r="P901" t="n">
        <v>5.030180818849846</v>
      </c>
      <c r="BH901" t="n">
        <v>3.732</v>
      </c>
      <c r="BS901" t="n">
        <v>148.78</v>
      </c>
      <c r="CD901" t="n">
        <v>58.07</v>
      </c>
      <c r="CF901" t="n">
        <v>10</v>
      </c>
      <c r="CG901" t="n">
        <v>5.55</v>
      </c>
      <c r="CH901" t="n">
        <v>61.05</v>
      </c>
      <c r="CI901" t="n">
        <v>-49.95</v>
      </c>
      <c r="FF901" t="n">
        <v>10</v>
      </c>
      <c r="FG901" t="n">
        <v>0.97</v>
      </c>
      <c r="FH901" t="n">
        <v>10.67</v>
      </c>
      <c r="FI901" t="n">
        <v>-8.73</v>
      </c>
      <c r="FJ901" t="n">
        <v>1.838148620660631</v>
      </c>
      <c r="HH901" t="n">
        <v>1.838</v>
      </c>
      <c r="HS901" t="n">
        <v>89.5</v>
      </c>
      <c r="IF901" t="n">
        <v>10</v>
      </c>
      <c r="IG901" t="n">
        <v>5.95</v>
      </c>
      <c r="IH901" t="n">
        <v>65.45</v>
      </c>
      <c r="II901" t="n">
        <v>-53.55</v>
      </c>
    </row>
    <row r="902">
      <c r="A902" t="inlineStr">
        <is>
          <t>2025-08-27</t>
        </is>
      </c>
      <c r="B902" t="inlineStr">
        <is>
          <t>General Chem 27   Panel</t>
        </is>
      </c>
      <c r="C902" t="inlineStr">
        <is>
          <t>00105305425081501</t>
        </is>
      </c>
      <c r="D902" t="inlineStr">
        <is>
          <t>Ca</t>
        </is>
      </c>
      <c r="G902" t="n">
        <v>9.1</v>
      </c>
      <c r="J902" t="n">
        <v>14.21653655524497</v>
      </c>
      <c r="K902" t="n">
        <v>13.50113940242642</v>
      </c>
      <c r="L902" t="n">
        <v>12.90543209541201</v>
      </c>
      <c r="M902" t="n">
        <v>12.25661966314474</v>
      </c>
      <c r="N902" t="n">
        <v>13.28463608435943</v>
      </c>
      <c r="BH902" t="n">
        <v>13.233</v>
      </c>
      <c r="BS902" t="n">
        <v>45.42</v>
      </c>
      <c r="CD902" t="n">
        <v>4.9</v>
      </c>
      <c r="CG902" t="n">
        <v>12.4</v>
      </c>
      <c r="FG902" t="n">
        <v>5.9</v>
      </c>
      <c r="IG902" t="n">
        <v>12.7</v>
      </c>
    </row>
    <row r="903">
      <c r="A903" t="inlineStr">
        <is>
          <t>2025-08-27</t>
        </is>
      </c>
      <c r="B903" t="inlineStr">
        <is>
          <t>General Chem 27   Panel</t>
        </is>
      </c>
      <c r="C903" t="inlineStr">
        <is>
          <t>00105305425081501</t>
        </is>
      </c>
      <c r="D903" t="inlineStr">
        <is>
          <t>GGT</t>
        </is>
      </c>
      <c r="F903" t="n">
        <v>15</v>
      </c>
      <c r="G903" t="n">
        <v>57</v>
      </c>
      <c r="H903" t="n">
        <v>912</v>
      </c>
      <c r="I903" t="n">
        <v>-798</v>
      </c>
      <c r="J903" t="n">
        <v>51.93571383696506</v>
      </c>
      <c r="K903" t="n">
        <v>84.67203220162028</v>
      </c>
      <c r="L903" t="n">
        <v>119.2193159420898</v>
      </c>
      <c r="M903" t="n">
        <v>139.9370311353652</v>
      </c>
      <c r="N903" t="n">
        <v>169.8750226541537</v>
      </c>
      <c r="BH903" t="n">
        <v>113.128</v>
      </c>
      <c r="BS903" t="n">
        <v>98.47</v>
      </c>
      <c r="CD903" t="n">
        <v>36.51</v>
      </c>
      <c r="CF903" t="n">
        <v>15</v>
      </c>
      <c r="CG903" t="n">
        <v>164</v>
      </c>
      <c r="CH903" t="n">
        <v>2624</v>
      </c>
      <c r="CI903" t="n">
        <v>-2296</v>
      </c>
      <c r="FF903" t="n">
        <v>15</v>
      </c>
      <c r="FG903" t="n">
        <v>23</v>
      </c>
      <c r="FH903" t="n">
        <v>368</v>
      </c>
      <c r="FI903" t="n">
        <v>-322</v>
      </c>
      <c r="IF903" t="n">
        <v>15</v>
      </c>
      <c r="IG903" t="n">
        <v>126</v>
      </c>
      <c r="IH903" t="n">
        <v>2016</v>
      </c>
      <c r="II903" t="n">
        <v>-1764</v>
      </c>
    </row>
    <row r="904">
      <c r="A904" t="inlineStr">
        <is>
          <t>2025-08-27</t>
        </is>
      </c>
      <c r="B904" t="inlineStr">
        <is>
          <t>General Chem 27   Panel</t>
        </is>
      </c>
      <c r="C904" t="inlineStr">
        <is>
          <t>00105305425081501</t>
        </is>
      </c>
      <c r="D904" t="inlineStr">
        <is>
          <t>GLU</t>
        </is>
      </c>
      <c r="F904" t="n">
        <v>8</v>
      </c>
      <c r="G904" t="n">
        <v>90.16</v>
      </c>
      <c r="H904" t="n">
        <v>811.4399999999999</v>
      </c>
      <c r="I904" t="n">
        <v>-631.12</v>
      </c>
      <c r="J904" t="n">
        <v>22.37412233206883</v>
      </c>
      <c r="K904" t="n">
        <v>21.50614674619848</v>
      </c>
      <c r="L904" t="n">
        <v>282.3221254512636</v>
      </c>
      <c r="M904" t="n">
        <v>280.1959997023927</v>
      </c>
      <c r="N904" t="n">
        <v>284.4633553121755</v>
      </c>
      <c r="O904" t="n">
        <v>283.3490681586771</v>
      </c>
      <c r="P904" t="n">
        <v>288.0675551655394</v>
      </c>
      <c r="BH904" t="n">
        <v>208.897</v>
      </c>
      <c r="BS904" t="n">
        <v>131.7</v>
      </c>
      <c r="CD904" t="n">
        <v>56.61</v>
      </c>
      <c r="CF904" t="n">
        <v>8</v>
      </c>
      <c r="CG904" t="n">
        <v>293.02</v>
      </c>
      <c r="CH904" t="n">
        <v>2637.18</v>
      </c>
      <c r="CI904" t="n">
        <v>-2051.14</v>
      </c>
      <c r="FF904" t="n">
        <v>8</v>
      </c>
      <c r="FG904" t="n">
        <v>65.66</v>
      </c>
      <c r="FH904" t="n">
        <v>590.9399999999999</v>
      </c>
      <c r="FI904" t="n">
        <v>-459.62</v>
      </c>
      <c r="FJ904" t="n">
        <v>111.9562788233397</v>
      </c>
      <c r="HH904" t="n">
        <v>111.956</v>
      </c>
      <c r="HS904" t="n">
        <v>70.51000000000001</v>
      </c>
      <c r="IF904" t="n">
        <v>8</v>
      </c>
      <c r="IG904" t="n">
        <v>359.66</v>
      </c>
      <c r="IH904" t="n">
        <v>3236.94</v>
      </c>
      <c r="II904" t="n">
        <v>-2517.62</v>
      </c>
    </row>
    <row r="905">
      <c r="A905" t="inlineStr">
        <is>
          <t>2025-08-27</t>
        </is>
      </c>
      <c r="B905" t="inlineStr">
        <is>
          <t>General Chem 27   Panel</t>
        </is>
      </c>
      <c r="C905" t="inlineStr">
        <is>
          <t>00105305425081501</t>
        </is>
      </c>
      <c r="D905" t="inlineStr">
        <is>
          <t>P-LIPA</t>
        </is>
      </c>
      <c r="F905" t="n">
        <v>30</v>
      </c>
      <c r="J905" t="n">
        <v>74.56756357681658</v>
      </c>
      <c r="K905" t="n">
        <v>68.96368566365555</v>
      </c>
      <c r="L905" t="n">
        <v>80.4159151466496</v>
      </c>
      <c r="M905" t="n">
        <v>75.63745922673935</v>
      </c>
      <c r="N905" t="n">
        <v>70.45586205705622</v>
      </c>
      <c r="BH905" t="n">
        <v>74.008</v>
      </c>
      <c r="CD905" t="n">
        <v>5.48</v>
      </c>
      <c r="CF905" t="n">
        <v>30</v>
      </c>
      <c r="FF905" t="n">
        <v>30</v>
      </c>
      <c r="IF905" t="n">
        <v>30</v>
      </c>
    </row>
    <row r="906">
      <c r="A906" t="inlineStr">
        <is>
          <t>2025-08-27</t>
        </is>
      </c>
      <c r="B906" t="inlineStr">
        <is>
          <t>General Chem 27   Panel</t>
        </is>
      </c>
      <c r="C906" t="inlineStr">
        <is>
          <t>00105305425081501</t>
        </is>
      </c>
      <c r="D906" t="inlineStr">
        <is>
          <t>PHOS</t>
        </is>
      </c>
      <c r="F906" t="n">
        <v>10</v>
      </c>
      <c r="G906" t="n">
        <v>3.3</v>
      </c>
      <c r="H906" t="n">
        <v>36.3</v>
      </c>
      <c r="I906" t="n">
        <v>-29.7</v>
      </c>
      <c r="J906" t="n">
        <v>8.836795661269566</v>
      </c>
      <c r="K906" t="n">
        <v>8.365603948124326</v>
      </c>
      <c r="L906" t="n">
        <v>7.990942870492739</v>
      </c>
      <c r="M906" t="n">
        <v>7.75501973088654</v>
      </c>
      <c r="N906" t="n">
        <v>7.536125589037123</v>
      </c>
      <c r="BH906" t="n">
        <v>8.097</v>
      </c>
      <c r="BS906" t="n">
        <v>145.36</v>
      </c>
      <c r="CD906" t="n">
        <v>5.69</v>
      </c>
      <c r="CF906" t="n">
        <v>10</v>
      </c>
      <c r="CG906" t="n">
        <v>7.2</v>
      </c>
      <c r="CH906" t="n">
        <v>79.2</v>
      </c>
      <c r="CI906" t="n">
        <v>-64.8</v>
      </c>
      <c r="FF906" t="n">
        <v>10</v>
      </c>
      <c r="FG906" t="n">
        <v>1.9</v>
      </c>
      <c r="FH906" t="n">
        <v>20.9</v>
      </c>
      <c r="FI906" t="n">
        <v>-17.1</v>
      </c>
      <c r="IF906" t="n">
        <v>10</v>
      </c>
      <c r="IG906" t="n">
        <v>7.2</v>
      </c>
      <c r="IH906" t="n">
        <v>79.2</v>
      </c>
      <c r="II906" t="n">
        <v>-64.8</v>
      </c>
    </row>
    <row r="907">
      <c r="A907" t="inlineStr">
        <is>
          <t>2025-08-27</t>
        </is>
      </c>
      <c r="B907" t="inlineStr">
        <is>
          <t>General Chem 27   Panel</t>
        </is>
      </c>
      <c r="C907" t="inlineStr">
        <is>
          <t>00105305425081501</t>
        </is>
      </c>
      <c r="D907" t="inlineStr">
        <is>
          <t>TBIL</t>
        </is>
      </c>
      <c r="F907" t="n">
        <v>20</v>
      </c>
      <c r="G907" t="n">
        <v>1.1</v>
      </c>
      <c r="H907" t="n">
        <v>23.1</v>
      </c>
      <c r="I907" t="n">
        <v>-20.9</v>
      </c>
      <c r="J907" t="n">
        <v>9.487855582042295</v>
      </c>
      <c r="K907" t="n">
        <v>7.860717469022058</v>
      </c>
      <c r="L907" t="n">
        <v>7.009279585297017</v>
      </c>
      <c r="M907" t="n">
        <v>5.890280712002781</v>
      </c>
      <c r="N907" t="n">
        <v>5.129039017336522</v>
      </c>
      <c r="BH907" t="n">
        <v>7.075</v>
      </c>
      <c r="BS907" t="n">
        <v>543.22</v>
      </c>
      <c r="CD907" t="n">
        <v>21.56</v>
      </c>
      <c r="CF907" t="n">
        <v>20</v>
      </c>
      <c r="CG907" t="n">
        <v>5.1</v>
      </c>
      <c r="CH907" t="n">
        <v>107.1</v>
      </c>
      <c r="CI907" t="n">
        <v>-96.89999999999999</v>
      </c>
      <c r="FF907" t="n">
        <v>20</v>
      </c>
      <c r="FG907" t="n">
        <v>0.8</v>
      </c>
      <c r="FH907" t="n">
        <v>16.8</v>
      </c>
      <c r="FI907" t="n">
        <v>-15.2</v>
      </c>
      <c r="IF907" t="n">
        <v>20</v>
      </c>
      <c r="IG907" t="n">
        <v>8.4</v>
      </c>
      <c r="IH907" t="n">
        <v>176.4</v>
      </c>
      <c r="II907" t="n">
        <v>-159.6</v>
      </c>
    </row>
    <row r="908">
      <c r="A908" t="inlineStr">
        <is>
          <t>2025-08-27</t>
        </is>
      </c>
      <c r="B908" t="inlineStr">
        <is>
          <t>General Chem 27   Panel</t>
        </is>
      </c>
      <c r="C908" t="inlineStr">
        <is>
          <t>00105305425081501</t>
        </is>
      </c>
      <c r="D908" t="inlineStr">
        <is>
          <t>TP</t>
        </is>
      </c>
      <c r="F908" t="n">
        <v>8</v>
      </c>
      <c r="G908" t="n">
        <v>6.4</v>
      </c>
      <c r="H908" t="n">
        <v>57.6</v>
      </c>
      <c r="I908" t="n">
        <v>-44.8</v>
      </c>
      <c r="J908" t="n">
        <v>0.4584404849682513</v>
      </c>
      <c r="K908" t="n">
        <v>0.4480089934762108</v>
      </c>
      <c r="L908" t="n">
        <v>1.7437974574879</v>
      </c>
      <c r="M908" t="n">
        <v>2.638160051069276</v>
      </c>
      <c r="N908" t="n">
        <v>3.169718946144663</v>
      </c>
      <c r="O908" t="n">
        <v>3.224271128534003</v>
      </c>
      <c r="P908" t="n">
        <v>4.04275405066308</v>
      </c>
      <c r="BH908" t="n">
        <v>2.246</v>
      </c>
      <c r="BS908" t="n">
        <v>-64.90000000000001</v>
      </c>
      <c r="CD908" t="n">
        <v>57.97</v>
      </c>
      <c r="CF908" t="n">
        <v>8</v>
      </c>
      <c r="CG908" t="n">
        <v>4.1</v>
      </c>
      <c r="CH908" t="n">
        <v>36.9</v>
      </c>
      <c r="CI908" t="n">
        <v>-28.7</v>
      </c>
      <c r="FF908" t="n">
        <v>8</v>
      </c>
      <c r="FG908" t="n">
        <v>4.2</v>
      </c>
      <c r="FH908" t="n">
        <v>37.8</v>
      </c>
      <c r="FI908" t="n">
        <v>-29.4</v>
      </c>
      <c r="FJ908" t="n">
        <v>4.507084648354453</v>
      </c>
      <c r="HH908" t="n">
        <v>4.507</v>
      </c>
      <c r="HS908" t="n">
        <v>7.31</v>
      </c>
      <c r="IF908" t="n">
        <v>8</v>
      </c>
      <c r="IG908" t="n">
        <v>7.5</v>
      </c>
      <c r="IH908" t="n">
        <v>67.5</v>
      </c>
      <c r="II908" t="n">
        <v>-52.5</v>
      </c>
    </row>
    <row r="909">
      <c r="A909" t="inlineStr">
        <is>
          <t>2025-08-27</t>
        </is>
      </c>
      <c r="B909" t="inlineStr">
        <is>
          <t>Electrolyte 10   Panel</t>
        </is>
      </c>
      <c r="C909" t="inlineStr">
        <is>
          <t>00100000325082001</t>
        </is>
      </c>
      <c r="D909" t="inlineStr">
        <is>
          <t>ALP</t>
        </is>
      </c>
      <c r="F909" t="n">
        <v>20</v>
      </c>
      <c r="G909" t="n">
        <v>136</v>
      </c>
      <c r="H909" t="n">
        <v>2856</v>
      </c>
      <c r="I909" t="n">
        <v>-2584</v>
      </c>
      <c r="J909" t="n">
        <v>139.9327328119706</v>
      </c>
      <c r="K909" t="n">
        <v>140.2536891029949</v>
      </c>
      <c r="L909" t="n">
        <v>421.2544190134181</v>
      </c>
      <c r="M909" t="n">
        <v>406.4669129063313</v>
      </c>
      <c r="N909" t="n">
        <v>428.6601448490417</v>
      </c>
      <c r="O909" t="n">
        <v>432.6399311097948</v>
      </c>
      <c r="P909" t="n">
        <v>434.7943715944014</v>
      </c>
      <c r="BH909" t="n">
        <v>343.429</v>
      </c>
      <c r="BS909" t="n">
        <v>152.52</v>
      </c>
      <c r="CD909" t="n">
        <v>37.53</v>
      </c>
      <c r="CF909" t="n">
        <v>20</v>
      </c>
      <c r="CG909" t="n">
        <v>456</v>
      </c>
      <c r="CH909" t="n">
        <v>9576</v>
      </c>
      <c r="CI909" t="n">
        <v>-8664</v>
      </c>
      <c r="CJ909" t="n">
        <v>440.8081522824756</v>
      </c>
      <c r="CK909" t="n">
        <v>451.6088146940892</v>
      </c>
      <c r="EH909" t="n">
        <v>446.208</v>
      </c>
      <c r="ES909" t="n">
        <v>-2.15</v>
      </c>
      <c r="FD909" t="n">
        <v>1.21</v>
      </c>
      <c r="FF909" t="n">
        <v>20</v>
      </c>
      <c r="FG909" t="n">
        <v>75</v>
      </c>
      <c r="FH909" t="n">
        <v>1575</v>
      </c>
      <c r="FI909" t="n">
        <v>-1425</v>
      </c>
      <c r="FJ909" t="n">
        <v>75.20382424286807</v>
      </c>
      <c r="FK909" t="n">
        <v>75.35651993614414</v>
      </c>
      <c r="HH909" t="n">
        <v>75.28</v>
      </c>
      <c r="HS909" t="n">
        <v>0.37</v>
      </c>
      <c r="ID909" t="n">
        <v>0.1</v>
      </c>
      <c r="IF909" t="n">
        <v>20</v>
      </c>
      <c r="IG909" t="n">
        <v>251</v>
      </c>
      <c r="IH909" t="n">
        <v>5271</v>
      </c>
      <c r="II909" t="n">
        <v>-4769</v>
      </c>
      <c r="IJ909" t="n">
        <v>223.6695294460422</v>
      </c>
      <c r="IK909" t="n">
        <v>222.9175031895762</v>
      </c>
      <c r="KH909" t="n">
        <v>223.294</v>
      </c>
      <c r="KS909" t="n">
        <v>-11.04</v>
      </c>
      <c r="LD909" t="n">
        <v>0.17</v>
      </c>
    </row>
    <row r="910">
      <c r="A910" t="inlineStr">
        <is>
          <t>2025-08-27</t>
        </is>
      </c>
      <c r="B910" t="inlineStr">
        <is>
          <t>Electrolyte 10   Panel</t>
        </is>
      </c>
      <c r="C910" t="inlineStr">
        <is>
          <t>00100000325082001</t>
        </is>
      </c>
      <c r="D910" t="inlineStr">
        <is>
          <t>CK</t>
        </is>
      </c>
      <c r="F910" t="n">
        <v>20</v>
      </c>
      <c r="J910" t="n">
        <v>156.421731195508</v>
      </c>
      <c r="K910" t="n">
        <v>151.8031527783965</v>
      </c>
      <c r="L910" t="n">
        <v>226.7020122487343</v>
      </c>
      <c r="M910" t="n">
        <v>280.3510610601298</v>
      </c>
      <c r="N910" t="n">
        <v>401.7511646160036</v>
      </c>
      <c r="O910" t="n">
        <v>448.4190286830435</v>
      </c>
      <c r="P910" t="n">
        <v>482.7181821155945</v>
      </c>
      <c r="BH910" t="n">
        <v>306.881</v>
      </c>
      <c r="CD910" t="n">
        <v>41.54</v>
      </c>
      <c r="CF910" t="n">
        <v>20</v>
      </c>
      <c r="CJ910" t="n">
        <v>500.0097996211728</v>
      </c>
      <c r="CK910" t="n">
        <v>522.504848474548</v>
      </c>
      <c r="EH910" t="n">
        <v>511.257</v>
      </c>
      <c r="FD910" t="n">
        <v>2.2</v>
      </c>
      <c r="FF910" t="n">
        <v>20</v>
      </c>
      <c r="FJ910" t="n">
        <v>100.5233473723883</v>
      </c>
      <c r="FK910" t="n">
        <v>109.6946874071995</v>
      </c>
      <c r="HH910" t="n">
        <v>105.109</v>
      </c>
      <c r="ID910" t="n">
        <v>4.36</v>
      </c>
      <c r="IF910" t="n">
        <v>20</v>
      </c>
      <c r="IJ910" t="n">
        <v>643.2237463638944</v>
      </c>
      <c r="IK910" t="n">
        <v>638.8035551512214</v>
      </c>
      <c r="KH910" t="n">
        <v>641.014</v>
      </c>
      <c r="LD910" t="n">
        <v>0.34</v>
      </c>
    </row>
    <row r="911">
      <c r="A911" t="inlineStr">
        <is>
          <t>2025-08-27</t>
        </is>
      </c>
      <c r="B911" t="inlineStr">
        <is>
          <t>Electrolyte 10   Panel</t>
        </is>
      </c>
      <c r="C911" t="inlineStr">
        <is>
          <t>00100000325082001</t>
        </is>
      </c>
      <c r="D911" t="inlineStr">
        <is>
          <t>Cl</t>
        </is>
      </c>
      <c r="F911" t="n">
        <v>5</v>
      </c>
      <c r="G911" t="n">
        <v>90</v>
      </c>
      <c r="H911" t="n">
        <v>540</v>
      </c>
      <c r="I911" t="n">
        <v>-360</v>
      </c>
      <c r="J911" t="n">
        <v>88.27027933637224</v>
      </c>
      <c r="K911" t="n">
        <v>87.55151518591768</v>
      </c>
      <c r="L911" t="n">
        <v>81.34002667623723</v>
      </c>
      <c r="M911" t="n">
        <v>74.35862096539022</v>
      </c>
      <c r="N911" t="n">
        <v>80.12354138225525</v>
      </c>
      <c r="O911" t="n">
        <v>78.00630023616741</v>
      </c>
      <c r="P911" t="n">
        <v>73.31484372784034</v>
      </c>
      <c r="BH911" t="n">
        <v>80.42400000000001</v>
      </c>
      <c r="BS911" t="n">
        <v>-10.64</v>
      </c>
      <c r="CD911" t="n">
        <v>6.75</v>
      </c>
      <c r="CF911" t="n">
        <v>5</v>
      </c>
      <c r="CG911" t="n">
        <v>91</v>
      </c>
      <c r="CH911" t="n">
        <v>546</v>
      </c>
      <c r="CI911" t="n">
        <v>-364</v>
      </c>
      <c r="CJ911" t="n">
        <v>77.7019000949434</v>
      </c>
      <c r="CK911" t="n">
        <v>79.99016514534151</v>
      </c>
      <c r="EH911" t="n">
        <v>78.846</v>
      </c>
      <c r="ES911" t="n">
        <v>-13.36</v>
      </c>
      <c r="FD911" t="n">
        <v>1.45</v>
      </c>
      <c r="FF911" t="n">
        <v>5</v>
      </c>
      <c r="FG911" t="n">
        <v>77</v>
      </c>
      <c r="FH911" t="n">
        <v>462</v>
      </c>
      <c r="FI911" t="n">
        <v>-308</v>
      </c>
      <c r="FJ911" t="n">
        <v>72.61015316734888</v>
      </c>
      <c r="FK911" t="n">
        <v>73.43792731845011</v>
      </c>
      <c r="HH911" t="n">
        <v>73.024</v>
      </c>
      <c r="HS911" t="n">
        <v>-5.16</v>
      </c>
      <c r="ID911" t="n">
        <v>0.57</v>
      </c>
      <c r="IF911" t="n">
        <v>5</v>
      </c>
      <c r="IG911" t="n">
        <v>118</v>
      </c>
      <c r="IH911" t="n">
        <v>708</v>
      </c>
      <c r="II911" t="n">
        <v>-472</v>
      </c>
      <c r="IJ911" t="n">
        <v>112.8166741416359</v>
      </c>
      <c r="IK911" t="n">
        <v>112.7039991332268</v>
      </c>
      <c r="KH911" t="n">
        <v>112.76</v>
      </c>
      <c r="KS911" t="n">
        <v>-4.44</v>
      </c>
      <c r="LD911" t="n">
        <v>0.05</v>
      </c>
    </row>
    <row r="912">
      <c r="A912" t="inlineStr">
        <is>
          <t>2025-08-27</t>
        </is>
      </c>
      <c r="B912" t="inlineStr">
        <is>
          <t>Electrolyte 10   Panel</t>
        </is>
      </c>
      <c r="C912" t="inlineStr">
        <is>
          <t>00100000325082001</t>
        </is>
      </c>
      <c r="D912" t="inlineStr">
        <is>
          <t>K</t>
        </is>
      </c>
      <c r="G912" t="n">
        <v>3.9</v>
      </c>
      <c r="J912" t="n">
        <v>3.721808854840989</v>
      </c>
      <c r="K912" t="n">
        <v>3.633850162224185</v>
      </c>
      <c r="L912" t="n">
        <v>6.977793848988469</v>
      </c>
      <c r="M912" t="n">
        <v>6.268290650228652</v>
      </c>
      <c r="N912" t="n">
        <v>6.519513100026716</v>
      </c>
      <c r="O912" t="n">
        <v>6.342481631937845</v>
      </c>
      <c r="P912" t="n">
        <v>6.025939831392821</v>
      </c>
      <c r="BH912" t="n">
        <v>5.641</v>
      </c>
      <c r="BS912" t="n">
        <v>44.65</v>
      </c>
      <c r="CD912" t="n">
        <v>22.53</v>
      </c>
      <c r="CG912" t="n">
        <v>6</v>
      </c>
      <c r="CJ912" t="n">
        <v>6.01556554658538</v>
      </c>
      <c r="CK912" t="n">
        <v>6.283621208499452</v>
      </c>
      <c r="EH912" t="n">
        <v>6.15</v>
      </c>
      <c r="ES912" t="n">
        <v>2.49</v>
      </c>
      <c r="FD912" t="n">
        <v>2.18</v>
      </c>
      <c r="FG912" t="n">
        <v>2.2</v>
      </c>
      <c r="FJ912" t="n">
        <v>2.22203481071213</v>
      </c>
      <c r="FK912" t="n">
        <v>2.235940229029012</v>
      </c>
      <c r="HH912" t="n">
        <v>2.229</v>
      </c>
      <c r="HS912" t="n">
        <v>1.32</v>
      </c>
      <c r="ID912" t="n">
        <v>0.31</v>
      </c>
      <c r="IG912" t="n">
        <v>8.4</v>
      </c>
      <c r="IJ912" t="n">
        <v>8.638151221386394</v>
      </c>
      <c r="IK912" t="n">
        <v>8.50298347502711</v>
      </c>
      <c r="KH912" t="n">
        <v>8.571</v>
      </c>
      <c r="KS912" t="n">
        <v>2.03</v>
      </c>
      <c r="LD912" t="n">
        <v>0.79</v>
      </c>
    </row>
    <row r="913">
      <c r="A913" t="inlineStr">
        <is>
          <t>2025-08-27</t>
        </is>
      </c>
      <c r="B913" t="inlineStr">
        <is>
          <t>Electrolyte 10   Panel</t>
        </is>
      </c>
      <c r="C913" t="inlineStr">
        <is>
          <t>00100000325082001</t>
        </is>
      </c>
      <c r="D913" t="inlineStr">
        <is>
          <t>Mg</t>
        </is>
      </c>
      <c r="F913" t="n">
        <v>15</v>
      </c>
      <c r="G913" t="n">
        <v>2.4</v>
      </c>
      <c r="H913" t="n">
        <v>38.4</v>
      </c>
      <c r="I913" t="n">
        <v>-33.6</v>
      </c>
      <c r="J913" t="n">
        <v>2.371035352957805</v>
      </c>
      <c r="K913" t="n">
        <v>1.977813609231974</v>
      </c>
      <c r="L913" t="n">
        <v>5.182718045282417</v>
      </c>
      <c r="M913" t="n">
        <v>4.48896294744591</v>
      </c>
      <c r="N913" t="n">
        <v>4.415072983388274</v>
      </c>
      <c r="O913" t="n">
        <v>4.184594180651413</v>
      </c>
      <c r="P913" t="n">
        <v>4.337386290590636</v>
      </c>
      <c r="BH913" t="n">
        <v>3.851</v>
      </c>
      <c r="BS913" t="n">
        <v>60.46</v>
      </c>
      <c r="CD913" t="n">
        <v>28.69</v>
      </c>
      <c r="CF913" t="n">
        <v>15</v>
      </c>
      <c r="CG913" t="n">
        <v>4.4</v>
      </c>
      <c r="CH913" t="n">
        <v>70.40000000000001</v>
      </c>
      <c r="CI913" t="n">
        <v>-61.60000000000001</v>
      </c>
      <c r="CJ913" t="n">
        <v>4.230878427784212</v>
      </c>
      <c r="CK913" t="n">
        <v>4.440015630307801</v>
      </c>
      <c r="EH913" t="n">
        <v>4.335</v>
      </c>
      <c r="ES913" t="n">
        <v>-1.47</v>
      </c>
      <c r="FD913" t="n">
        <v>2.41</v>
      </c>
      <c r="FF913" t="n">
        <v>15</v>
      </c>
      <c r="FG913" t="n">
        <v>1</v>
      </c>
      <c r="FH913" t="n">
        <v>16</v>
      </c>
      <c r="FI913" t="n">
        <v>-14</v>
      </c>
      <c r="FJ913" t="n">
        <v>0.9076199136036845</v>
      </c>
      <c r="FK913" t="n">
        <v>0.9409909303043499</v>
      </c>
      <c r="HH913" t="n">
        <v>0.924</v>
      </c>
      <c r="HS913" t="n">
        <v>-7.57</v>
      </c>
      <c r="ID913" t="n">
        <v>1.81</v>
      </c>
      <c r="IF913" t="n">
        <v>15</v>
      </c>
      <c r="IG913" t="n">
        <v>4</v>
      </c>
      <c r="IH913" t="n">
        <v>64</v>
      </c>
      <c r="II913" t="n">
        <v>-56</v>
      </c>
      <c r="IJ913" t="n">
        <v>3.708988653869159</v>
      </c>
      <c r="IK913" t="n">
        <v>3.731079216063478</v>
      </c>
      <c r="KH913" t="n">
        <v>3.72</v>
      </c>
      <c r="KS913" t="n">
        <v>-7</v>
      </c>
      <c r="LD913" t="n">
        <v>0.3</v>
      </c>
    </row>
    <row r="914">
      <c r="A914" t="inlineStr">
        <is>
          <t>2025-08-27</t>
        </is>
      </c>
      <c r="B914" t="inlineStr">
        <is>
          <t>Electrolyte 10   Panel</t>
        </is>
      </c>
      <c r="C914" t="inlineStr">
        <is>
          <t>00100000325082001</t>
        </is>
      </c>
      <c r="D914" t="inlineStr">
        <is>
          <t>Na</t>
        </is>
      </c>
      <c r="G914" t="n">
        <v>141</v>
      </c>
      <c r="J914" t="n">
        <v>145.9255525822553</v>
      </c>
      <c r="K914" t="n">
        <v>142.0087834948246</v>
      </c>
      <c r="L914" t="n">
        <v>124.6367672374403</v>
      </c>
      <c r="M914" t="n">
        <v>116.6072087782087</v>
      </c>
      <c r="N914" t="n">
        <v>128.3730886402142</v>
      </c>
      <c r="O914" t="n">
        <v>130.943933474378</v>
      </c>
      <c r="P914" t="n">
        <v>126.6522407500705</v>
      </c>
      <c r="BH914" t="n">
        <v>130.735</v>
      </c>
      <c r="BS914" t="n">
        <v>-7.28</v>
      </c>
      <c r="CD914" t="n">
        <v>7.18</v>
      </c>
      <c r="CG914" t="n">
        <v>129</v>
      </c>
      <c r="CJ914" t="n">
        <v>129.9718232849739</v>
      </c>
      <c r="CK914" t="n">
        <v>130.7876854031743</v>
      </c>
      <c r="EH914" t="n">
        <v>130.38</v>
      </c>
      <c r="ES914" t="n">
        <v>1.07</v>
      </c>
      <c r="FD914" t="n">
        <v>0.31</v>
      </c>
      <c r="FG914" t="n">
        <v>118</v>
      </c>
      <c r="FJ914" t="n">
        <v>122.3821823604647</v>
      </c>
      <c r="FK914" t="n">
        <v>126.0757525279492</v>
      </c>
      <c r="HH914" t="n">
        <v>124.229</v>
      </c>
      <c r="HS914" t="n">
        <v>5.28</v>
      </c>
      <c r="ID914" t="n">
        <v>1.49</v>
      </c>
      <c r="IG914" t="n">
        <v>166</v>
      </c>
      <c r="IJ914" t="n">
        <v>159.3057472212058</v>
      </c>
      <c r="IK914" t="n">
        <v>156.424588518321</v>
      </c>
      <c r="KH914" t="n">
        <v>157.865</v>
      </c>
      <c r="KS914" t="n">
        <v>-4.9</v>
      </c>
      <c r="LD914" t="n">
        <v>0.91</v>
      </c>
    </row>
    <row r="915">
      <c r="A915" t="inlineStr">
        <is>
          <t>2025-08-27</t>
        </is>
      </c>
      <c r="B915" t="inlineStr">
        <is>
          <t>Electrolyte 10   Panel</t>
        </is>
      </c>
      <c r="C915" t="inlineStr">
        <is>
          <t>00100000325082001</t>
        </is>
      </c>
      <c r="D915" t="inlineStr">
        <is>
          <t>TCO2</t>
        </is>
      </c>
      <c r="F915" t="n">
        <v>20</v>
      </c>
      <c r="G915" t="n">
        <v>32.5</v>
      </c>
      <c r="H915" t="n">
        <v>682.5</v>
      </c>
      <c r="I915" t="n">
        <v>-617.5</v>
      </c>
      <c r="J915" t="n">
        <v>32.00428855187108</v>
      </c>
      <c r="K915" t="n">
        <v>32.55184294980587</v>
      </c>
      <c r="L915" t="n">
        <v>22.93962026865917</v>
      </c>
      <c r="M915" t="n">
        <v>19.30048586013777</v>
      </c>
      <c r="N915" t="n">
        <v>21.00927068459742</v>
      </c>
      <c r="O915" t="n">
        <v>17.81519427828961</v>
      </c>
      <c r="P915" t="n">
        <v>17.004079346464</v>
      </c>
      <c r="BH915" t="n">
        <v>23.232</v>
      </c>
      <c r="BS915" t="n">
        <v>-28.52</v>
      </c>
      <c r="CD915" t="n">
        <v>25.85</v>
      </c>
      <c r="CF915" t="n">
        <v>20</v>
      </c>
      <c r="CG915" t="n">
        <v>21.2</v>
      </c>
      <c r="CH915" t="n">
        <v>445.2</v>
      </c>
      <c r="CI915" t="n">
        <v>-402.8</v>
      </c>
      <c r="CJ915" t="n">
        <v>18.36310503256875</v>
      </c>
      <c r="CK915" t="n">
        <v>18.43078841048486</v>
      </c>
      <c r="EH915" t="n">
        <v>18.397</v>
      </c>
      <c r="ES915" t="n">
        <v>-13.22</v>
      </c>
      <c r="FD915" t="n">
        <v>0.18</v>
      </c>
      <c r="FF915" t="n">
        <v>20</v>
      </c>
      <c r="FG915" t="n">
        <v>17.3</v>
      </c>
      <c r="FH915" t="n">
        <v>363.3</v>
      </c>
      <c r="FI915" t="n">
        <v>-328.7</v>
      </c>
      <c r="FJ915" t="n">
        <v>17.10728788855151</v>
      </c>
      <c r="FK915" t="n">
        <v>16.63905808863562</v>
      </c>
      <c r="HH915" t="n">
        <v>16.873</v>
      </c>
      <c r="HS915" t="n">
        <v>-2.47</v>
      </c>
      <c r="ID915" t="n">
        <v>1.39</v>
      </c>
      <c r="IF915" t="n">
        <v>20</v>
      </c>
      <c r="IG915" t="n">
        <v>26.7</v>
      </c>
      <c r="IH915" t="n">
        <v>560.6999999999999</v>
      </c>
      <c r="II915" t="n">
        <v>-507.3</v>
      </c>
      <c r="IJ915" t="n">
        <v>24.10238752463607</v>
      </c>
      <c r="IK915" t="n">
        <v>25.03232792940188</v>
      </c>
      <c r="KH915" t="n">
        <v>24.567</v>
      </c>
      <c r="KS915" t="n">
        <v>-7.99</v>
      </c>
      <c r="LD915" t="n">
        <v>1.89</v>
      </c>
    </row>
    <row r="916">
      <c r="A916" t="inlineStr">
        <is>
          <t>2025-08-27</t>
        </is>
      </c>
      <c r="B916" t="inlineStr">
        <is>
          <t>Basic Chem 14   Panel</t>
        </is>
      </c>
      <c r="C916" t="inlineStr">
        <is>
          <t>00100000125080801</t>
        </is>
      </c>
      <c r="D916" t="inlineStr">
        <is>
          <t>BA</t>
        </is>
      </c>
      <c r="J916" t="n">
        <v>-23.45127979216732</v>
      </c>
      <c r="K916" t="n">
        <v>-18.40660143301926</v>
      </c>
      <c r="L916" t="n">
        <v>-14.73918480989102</v>
      </c>
      <c r="M916" t="n">
        <v>-9.871013383815725</v>
      </c>
      <c r="N916" t="n">
        <v>-4.935634277899184</v>
      </c>
      <c r="BH916" t="n">
        <v>-14.281</v>
      </c>
      <c r="CD916" t="n">
        <v>45.18</v>
      </c>
    </row>
    <row r="917">
      <c r="A917" t="inlineStr">
        <is>
          <t>2025-08-27</t>
        </is>
      </c>
      <c r="B917" t="inlineStr">
        <is>
          <t>Basic Chem 14   Panel</t>
        </is>
      </c>
      <c r="C917" t="inlineStr">
        <is>
          <t>00100000125080801</t>
        </is>
      </c>
      <c r="D917" t="inlineStr">
        <is>
          <t>LAC</t>
        </is>
      </c>
      <c r="F917" t="n">
        <v>15</v>
      </c>
      <c r="G917" t="n">
        <v>4.399999999999999</v>
      </c>
      <c r="H917" t="n">
        <v>70.39999999999999</v>
      </c>
      <c r="I917" t="n">
        <v>-61.59999999999999</v>
      </c>
      <c r="J917" t="n">
        <v>1.214985285806152</v>
      </c>
      <c r="K917" t="n">
        <v>1.150516040249095</v>
      </c>
      <c r="L917" t="n">
        <v>1.166753519168866</v>
      </c>
      <c r="M917" t="n">
        <v>1.15305747799686</v>
      </c>
      <c r="N917" t="n">
        <v>1.113727086465823</v>
      </c>
      <c r="BH917" t="n">
        <v>1.16</v>
      </c>
      <c r="BS917" t="n">
        <v>-73.64</v>
      </c>
      <c r="CD917" t="n">
        <v>2.82</v>
      </c>
      <c r="CF917" t="n">
        <v>15</v>
      </c>
      <c r="CG917" t="n">
        <v>1.15</v>
      </c>
      <c r="CH917" t="n">
        <v>18.4</v>
      </c>
      <c r="CI917" t="n">
        <v>-16.1</v>
      </c>
      <c r="FF917" t="n">
        <v>15</v>
      </c>
      <c r="FG917" t="n">
        <v>1.45</v>
      </c>
      <c r="FH917" t="n">
        <v>23.2</v>
      </c>
      <c r="FI917" t="n">
        <v>-20.3</v>
      </c>
      <c r="IF917" t="n">
        <v>15</v>
      </c>
      <c r="IG917" t="n">
        <v>5.899999999999999</v>
      </c>
      <c r="IH917" t="n">
        <v>94.39999999999999</v>
      </c>
      <c r="II917" t="n">
        <v>-82.59999999999999</v>
      </c>
    </row>
    <row r="918">
      <c r="A918" t="inlineStr">
        <is>
          <t>2025-08-27</t>
        </is>
      </c>
      <c r="B918" t="inlineStr">
        <is>
          <t>Basic Chem 14   Panel</t>
        </is>
      </c>
      <c r="C918" t="inlineStr">
        <is>
          <t>00100000125080801</t>
        </is>
      </c>
      <c r="D918" t="inlineStr">
        <is>
          <t>TCO2</t>
        </is>
      </c>
      <c r="F918" t="n">
        <v>20</v>
      </c>
      <c r="G918" t="n">
        <v>32.5</v>
      </c>
      <c r="H918" t="n">
        <v>682.5</v>
      </c>
      <c r="I918" t="n">
        <v>-617.5</v>
      </c>
      <c r="J918" t="n">
        <v>27.10688608509335</v>
      </c>
      <c r="K918" t="n">
        <v>26.50683178669476</v>
      </c>
      <c r="L918" t="n">
        <v>22.79309647985259</v>
      </c>
      <c r="M918" t="n">
        <v>18.26503071104255</v>
      </c>
      <c r="N918" t="n">
        <v>18.82683505563183</v>
      </c>
      <c r="BH918" t="n">
        <v>22.7</v>
      </c>
      <c r="BS918" t="n">
        <v>-30.15</v>
      </c>
      <c r="CD918" t="n">
        <v>16.32</v>
      </c>
      <c r="CF918" t="n">
        <v>20</v>
      </c>
      <c r="CG918" t="n">
        <v>21.2</v>
      </c>
      <c r="CH918" t="n">
        <v>445.2</v>
      </c>
      <c r="CI918" t="n">
        <v>-402.8</v>
      </c>
      <c r="FF918" t="n">
        <v>20</v>
      </c>
      <c r="FG918" t="n">
        <v>17.3</v>
      </c>
      <c r="FH918" t="n">
        <v>363.3</v>
      </c>
      <c r="FI918" t="n">
        <v>-328.7</v>
      </c>
      <c r="IF918" t="n">
        <v>20</v>
      </c>
      <c r="IG918" t="n">
        <v>26.7</v>
      </c>
      <c r="IH918" t="n">
        <v>560.6999999999999</v>
      </c>
      <c r="II918" t="n">
        <v>-507.3</v>
      </c>
    </row>
    <row r="919">
      <c r="A919" t="inlineStr">
        <is>
          <t>2025-08-27</t>
        </is>
      </c>
      <c r="B919" t="inlineStr">
        <is>
          <t>Basic Chem 14   Panel</t>
        </is>
      </c>
      <c r="C919" t="inlineStr">
        <is>
          <t>00100000125080801</t>
        </is>
      </c>
      <c r="D919" t="inlineStr">
        <is>
          <t>TRIG</t>
        </is>
      </c>
      <c r="F919" t="n">
        <v>15</v>
      </c>
      <c r="J919" t="n">
        <v>484.2543580888391</v>
      </c>
      <c r="K919" t="n">
        <v>541.0716837946696</v>
      </c>
      <c r="L919" t="n">
        <v>483.0741236853898</v>
      </c>
      <c r="M919" t="n">
        <v>323.8812402456302</v>
      </c>
      <c r="N919" t="n">
        <v>86.64696849518798</v>
      </c>
      <c r="BH919" t="n">
        <v>383.786</v>
      </c>
      <c r="CD919" t="n">
        <v>43.06</v>
      </c>
      <c r="CF919" t="n">
        <v>15</v>
      </c>
      <c r="FF919" t="n">
        <v>15</v>
      </c>
      <c r="IF919" t="n">
        <v>15</v>
      </c>
    </row>
    <row r="920">
      <c r="A920" t="inlineStr">
        <is>
          <t>2025-08-27</t>
        </is>
      </c>
      <c r="B920" t="inlineStr">
        <is>
          <t>Basic Chem 14   Panel</t>
        </is>
      </c>
      <c r="C920" t="inlineStr">
        <is>
          <t>00100000125080801</t>
        </is>
      </c>
      <c r="D920" t="inlineStr">
        <is>
          <t>URIC</t>
        </is>
      </c>
      <c r="F920" t="n">
        <v>10</v>
      </c>
      <c r="G920" t="n">
        <v>4.561200670000002</v>
      </c>
      <c r="H920" t="n">
        <v>50.17320737000001</v>
      </c>
      <c r="I920" t="n">
        <v>-41.05080603000002</v>
      </c>
      <c r="J920" t="n">
        <v>12.57513090239996</v>
      </c>
      <c r="K920" t="n">
        <v>11.5387802951037</v>
      </c>
      <c r="L920" t="n">
        <v>10.85428671358583</v>
      </c>
      <c r="M920" t="n">
        <v>10.03643496403216</v>
      </c>
      <c r="N920" t="n">
        <v>9.308918659948157</v>
      </c>
      <c r="BH920" t="n">
        <v>10.863</v>
      </c>
      <c r="BS920" t="n">
        <v>138.15</v>
      </c>
      <c r="CD920" t="n">
        <v>10.49</v>
      </c>
      <c r="CF920" t="n">
        <v>10</v>
      </c>
      <c r="CG920" t="n">
        <v>9.699999999999999</v>
      </c>
      <c r="CH920" t="n">
        <v>106.7</v>
      </c>
      <c r="CI920" t="n">
        <v>-87.3</v>
      </c>
      <c r="FF920" t="n">
        <v>10</v>
      </c>
      <c r="FG920" t="n">
        <v>2.7</v>
      </c>
      <c r="FH920" t="n">
        <v>29.7</v>
      </c>
      <c r="FI920" t="n">
        <v>-24.3</v>
      </c>
      <c r="IF920" t="n">
        <v>10</v>
      </c>
      <c r="IG920" t="n">
        <v>9.300000000000001</v>
      </c>
      <c r="IH920" t="n">
        <v>102.3</v>
      </c>
      <c r="II920" t="n">
        <v>-83.7</v>
      </c>
    </row>
  </sheetData>
  <autoFilter ref="A1:LD134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I68"/>
  <sheetViews>
    <sheetView zoomScale="70" zoomScaleNormal="70" workbookViewId="0">
      <selection activeCell="G35" sqref="G35"/>
    </sheetView>
  </sheetViews>
  <sheetFormatPr baseColWidth="8" defaultColWidth="9" defaultRowHeight="16.5"/>
  <cols>
    <col width="9" customWidth="1" style="20" min="1" max="2"/>
    <col width="16.25" bestFit="1" customWidth="1" style="20" min="3" max="3"/>
    <col width="9.5" customWidth="1" style="20" min="4" max="23"/>
    <col width="9" customWidth="1" style="20" min="24" max="16384"/>
  </cols>
  <sheetData>
    <row r="2">
      <c r="C2" s="36" t="inlineStr">
        <is>
          <t>Panel Name</t>
        </is>
      </c>
      <c r="D2" s="37" t="inlineStr">
        <is>
          <t>Specific Test 2</t>
        </is>
      </c>
      <c r="E2" s="37" t="n"/>
      <c r="F2" s="37" t="n"/>
      <c r="G2" s="37" t="n"/>
      <c r="H2" s="36" t="n"/>
      <c r="I2" s="36" t="n"/>
      <c r="J2" s="37" t="n"/>
      <c r="K2" s="37" t="n"/>
      <c r="L2" s="37" t="n"/>
      <c r="M2" s="37" t="n"/>
      <c r="N2" s="36" t="n"/>
      <c r="O2" s="36" t="n"/>
      <c r="P2" s="37" t="n"/>
      <c r="Q2" s="37" t="n"/>
      <c r="R2" s="37" t="n"/>
      <c r="S2" s="37" t="n"/>
    </row>
    <row r="3">
      <c r="C3" s="36" t="inlineStr">
        <is>
          <t>Product Code (REF)</t>
        </is>
      </c>
      <c r="D3" s="37" t="n"/>
      <c r="E3" s="37" t="n"/>
      <c r="F3" s="37" t="n"/>
      <c r="G3" s="37" t="n"/>
      <c r="H3" s="36" t="n"/>
      <c r="I3" s="36" t="n"/>
      <c r="J3" s="37" t="n"/>
      <c r="K3" s="37" t="n"/>
      <c r="L3" s="37" t="n"/>
      <c r="M3" s="37" t="n"/>
      <c r="N3" s="36" t="inlineStr">
        <is>
          <t>2026-06-18</t>
        </is>
      </c>
      <c r="O3" s="36" t="n"/>
      <c r="P3" s="37" t="n"/>
      <c r="Q3" s="37" t="n"/>
      <c r="R3" s="37" t="n"/>
      <c r="S3" s="37" t="n"/>
    </row>
    <row r="4">
      <c r="C4" s="36" t="inlineStr">
        <is>
          <t>Lot No.</t>
        </is>
      </c>
      <c r="D4" s="37" t="inlineStr">
        <is>
          <t>103226061801 &amp; 203226061801</t>
        </is>
      </c>
      <c r="E4" s="37" t="n"/>
      <c r="F4" s="37" t="n"/>
      <c r="G4" s="37" t="n"/>
      <c r="H4" s="36" t="n"/>
      <c r="I4" s="36" t="n"/>
      <c r="J4" s="37" t="n"/>
      <c r="K4" s="37" t="n"/>
      <c r="L4" s="37" t="n"/>
      <c r="M4" s="37" t="n"/>
      <c r="N4" s="36" t="inlineStr">
        <is>
          <t>2026-06-18</t>
        </is>
      </c>
      <c r="O4" s="36" t="n"/>
      <c r="P4" s="37" t="n"/>
      <c r="Q4" s="37" t="n"/>
      <c r="R4" s="37" t="n"/>
      <c r="S4" s="37" t="n"/>
    </row>
    <row r="5">
      <c r="C5" s="36" t="inlineStr">
        <is>
          <t>Device FW</t>
        </is>
      </c>
      <c r="D5" s="37" t="n"/>
      <c r="E5" s="37" t="n"/>
      <c r="F5" s="37" t="n"/>
      <c r="G5" s="37" t="n"/>
      <c r="H5" s="36" t="n"/>
      <c r="I5" s="36" t="n"/>
      <c r="J5" s="37" t="n"/>
      <c r="K5" s="37" t="n"/>
      <c r="L5" s="37" t="n"/>
      <c r="M5" s="37" t="n"/>
      <c r="N5" s="36" t="n"/>
      <c r="O5" s="36" t="n"/>
      <c r="P5" s="37" t="n"/>
      <c r="Q5" s="37" t="n"/>
      <c r="R5" s="37" t="n"/>
      <c r="S5" s="37" t="n"/>
    </row>
    <row r="6"/>
    <row r="7">
      <c r="C7" s="36" t="inlineStr">
        <is>
          <t>Control  1</t>
        </is>
      </c>
      <c r="D7" s="37" t="n"/>
      <c r="E7" s="37" t="n"/>
      <c r="F7" s="37" t="n"/>
      <c r="G7" s="37" t="n"/>
    </row>
    <row r="8">
      <c r="C8" s="36" t="inlineStr">
        <is>
          <t>Control  2</t>
        </is>
      </c>
      <c r="D8" s="37" t="n"/>
      <c r="E8" s="37" t="n"/>
      <c r="F8" s="37" t="n"/>
      <c r="G8" s="37" t="n"/>
    </row>
    <row r="9">
      <c r="C9" s="36" t="inlineStr">
        <is>
          <t>Control  3</t>
        </is>
      </c>
      <c r="D9" s="37" t="n"/>
      <c r="E9" s="37" t="n"/>
      <c r="F9" s="37" t="n"/>
      <c r="G9" s="37" t="n"/>
    </row>
    <row r="10">
      <c r="C10" s="36" t="inlineStr">
        <is>
          <t>Control  4</t>
        </is>
      </c>
      <c r="D10" s="37" t="n"/>
      <c r="E10" s="37" t="n"/>
      <c r="F10" s="37" t="n"/>
      <c r="G10" s="37" t="n"/>
    </row>
    <row r="11">
      <c r="C11" s="36" t="inlineStr">
        <is>
          <t>Control  5</t>
        </is>
      </c>
      <c r="D11" s="37" t="n"/>
      <c r="E11" s="37" t="n"/>
      <c r="F11" s="37" t="n"/>
      <c r="G11" s="37" t="n"/>
    </row>
    <row r="12">
      <c r="C12" s="36" t="inlineStr">
        <is>
          <t>Control  6</t>
        </is>
      </c>
      <c r="D12" s="37" t="n"/>
      <c r="E12" s="37" t="n"/>
      <c r="F12" s="37" t="n"/>
      <c r="G12" s="37" t="n"/>
    </row>
    <row r="13"/>
    <row r="14"/>
    <row r="15"/>
    <row r="16"/>
    <row r="17"/>
    <row r="18">
      <c r="A18" s="24" t="n"/>
    </row>
    <row r="19">
      <c r="C19" s="20" t="inlineStr">
        <is>
          <t>Conc.</t>
        </is>
      </c>
      <c r="Y19" s="20" t="n"/>
    </row>
    <row r="20" ht="45" customHeight="1">
      <c r="B20" s="4" t="inlineStr">
        <is>
          <t>下拉選項Specise</t>
        </is>
      </c>
      <c r="C20" s="482" t="n"/>
      <c r="D20" s="484" t="inlineStr">
        <is>
          <t>ALB</t>
        </is>
      </c>
      <c r="E20" s="21" t="inlineStr">
        <is>
          <t>ALB
換線後</t>
        </is>
      </c>
      <c r="F20" s="484" t="inlineStr">
        <is>
          <t>BUN</t>
        </is>
      </c>
      <c r="G20" s="21" t="inlineStr">
        <is>
          <t>BUN
換線後</t>
        </is>
      </c>
      <c r="H20" s="484" t="inlineStr">
        <is>
          <t>CREA</t>
        </is>
      </c>
      <c r="I20" s="21" t="inlineStr">
        <is>
          <t>CREA
換線後</t>
        </is>
      </c>
      <c r="J20" s="484" t="inlineStr">
        <is>
          <t>GLU</t>
        </is>
      </c>
      <c r="K20" s="21" t="inlineStr">
        <is>
          <t>GLU
換線後</t>
        </is>
      </c>
      <c r="L20" s="484" t="inlineStr">
        <is>
          <t>TP</t>
        </is>
      </c>
      <c r="M20" s="21" t="inlineStr">
        <is>
          <t>TP
換線後</t>
        </is>
      </c>
      <c r="N20" s="484" t="n"/>
      <c r="O20" s="21" t="n"/>
      <c r="P20" s="484" t="n"/>
      <c r="Q20" s="21" t="n"/>
      <c r="R20" s="484" t="n"/>
      <c r="S20" s="21" t="n"/>
      <c r="T20" s="484" t="n"/>
      <c r="U20" s="21" t="n"/>
      <c r="V20" s="484" t="n"/>
      <c r="W20" s="21" t="n"/>
      <c r="Y20" s="484" t="n"/>
      <c r="Z20" s="484" t="inlineStr">
        <is>
          <t>ALB</t>
        </is>
      </c>
      <c r="AA20" s="484" t="inlineStr">
        <is>
          <t>BUN</t>
        </is>
      </c>
      <c r="AB20" s="484" t="inlineStr">
        <is>
          <t>CREA</t>
        </is>
      </c>
      <c r="AC20" s="484" t="inlineStr">
        <is>
          <t>GLU</t>
        </is>
      </c>
      <c r="AD20" s="484" t="inlineStr">
        <is>
          <t>TP</t>
        </is>
      </c>
      <c r="AE20" s="484" t="n"/>
      <c r="AF20" s="484" t="n"/>
      <c r="AG20" s="484" t="n"/>
      <c r="AH20" s="484" t="n"/>
      <c r="AI20" s="484" t="n"/>
    </row>
    <row r="21">
      <c r="B21" s="567" t="n"/>
      <c r="C21" s="482" t="inlineStr">
        <is>
          <t>Beads Lot.</t>
        </is>
      </c>
      <c r="D21" s="484" t="n"/>
      <c r="E21" s="484" t="n"/>
      <c r="F21" s="484" t="n"/>
      <c r="G21" s="484" t="n"/>
      <c r="H21" s="484" t="n"/>
      <c r="I21" s="484" t="n"/>
      <c r="J21" s="484" t="n"/>
      <c r="K21" s="484" t="n"/>
      <c r="L21" s="484" t="n"/>
      <c r="M21" s="484" t="n"/>
      <c r="N21" s="484" t="n"/>
      <c r="O21" s="484" t="n"/>
      <c r="P21" s="484" t="n"/>
      <c r="Q21" s="484" t="n"/>
      <c r="R21" s="484" t="n"/>
      <c r="S21" s="484" t="n"/>
      <c r="T21" s="484" t="n"/>
      <c r="U21" s="484" t="n"/>
      <c r="V21" s="484" t="n"/>
      <c r="W21" s="484" t="n"/>
      <c r="Y21" s="484" t="n"/>
      <c r="Z21" s="484" t="n"/>
      <c r="AA21" s="484" t="n"/>
      <c r="AB21" s="484" t="n"/>
      <c r="AC21" s="484" t="n"/>
      <c r="AD21" s="484" t="n"/>
      <c r="AE21" s="484" t="n"/>
      <c r="AF21" s="484" t="n"/>
      <c r="AG21" s="484" t="n"/>
      <c r="AH21" s="484" t="n"/>
      <c r="AI21" s="484" t="n"/>
    </row>
    <row r="22" ht="33" customFormat="1" customHeight="1" s="26">
      <c r="B22" s="568" t="n"/>
      <c r="C22" s="23" t="inlineStr">
        <is>
          <t>最終判定</t>
        </is>
      </c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</row>
    <row r="23">
      <c r="B23" s="4" t="n"/>
      <c r="C23" s="482" t="n"/>
      <c r="D23" s="484" t="n"/>
      <c r="E23" s="484" t="n"/>
      <c r="F23" s="484" t="n"/>
      <c r="G23" s="484" t="n"/>
      <c r="H23" s="484" t="n"/>
      <c r="I23" s="484" t="n"/>
      <c r="J23" s="484" t="n"/>
      <c r="K23" s="484" t="n"/>
      <c r="L23" s="484" t="n"/>
      <c r="M23" s="484" t="n"/>
      <c r="N23" s="484" t="n"/>
      <c r="O23" s="484" t="n"/>
      <c r="P23" s="484" t="n"/>
      <c r="Q23" s="484" t="n"/>
      <c r="R23" s="484" t="n"/>
      <c r="S23" s="484" t="n"/>
      <c r="T23" s="484" t="n"/>
      <c r="U23" s="484" t="n"/>
      <c r="V23" s="484" t="n"/>
      <c r="W23" s="484" t="n"/>
      <c r="Y23" s="484" t="n"/>
      <c r="Z23" s="484" t="n"/>
      <c r="AA23" s="484" t="n"/>
      <c r="AB23" s="484" t="n"/>
      <c r="AC23" s="484" t="n"/>
      <c r="AD23" s="484" t="n"/>
      <c r="AE23" s="484" t="n"/>
      <c r="AF23" s="484" t="n"/>
      <c r="AG23" s="484" t="n"/>
      <c r="AH23" s="484" t="n"/>
      <c r="AI23" s="484" t="n"/>
    </row>
    <row r="24" ht="15" customHeight="1">
      <c r="B24" s="484" t="inlineStr">
        <is>
          <t>Control  1</t>
        </is>
      </c>
      <c r="C24" s="482" t="inlineStr">
        <is>
          <t>Mean</t>
        </is>
      </c>
      <c r="D24" s="484" t="n">
        <v>4.063</v>
      </c>
      <c r="E24" s="484" t="n"/>
      <c r="F24" s="484" t="n">
        <v>14.676</v>
      </c>
      <c r="G24" s="484" t="n"/>
      <c r="H24" s="484" t="n">
        <v>1.239</v>
      </c>
      <c r="I24" s="484" t="n"/>
      <c r="J24" s="484" t="n">
        <v>91.857</v>
      </c>
      <c r="K24" s="484" t="n"/>
      <c r="L24" s="484" t="n">
        <v>6.551</v>
      </c>
      <c r="M24" s="484" t="n"/>
      <c r="N24" s="484" t="n"/>
      <c r="O24" s="484" t="n"/>
      <c r="P24" s="484" t="n"/>
      <c r="Q24" s="484" t="n"/>
      <c r="R24" s="484" t="n"/>
      <c r="S24" s="484" t="n"/>
      <c r="T24" s="484" t="n"/>
      <c r="U24" s="484" t="n"/>
      <c r="V24" s="484" t="n"/>
      <c r="W24" s="484" t="n"/>
      <c r="Y24" s="484" t="n"/>
      <c r="Z24" s="484" t="n">
        <v>2.6462</v>
      </c>
      <c r="AA24" s="484" t="n">
        <v>0.155</v>
      </c>
      <c r="AB24" s="484" t="n">
        <v>0.0555</v>
      </c>
      <c r="AC24" s="484" t="n">
        <v>0.6125</v>
      </c>
      <c r="AD24" s="484" t="n">
        <v>0.6977</v>
      </c>
      <c r="AE24" s="484" t="n"/>
      <c r="AF24" s="484" t="n"/>
      <c r="AG24" s="484" t="n"/>
      <c r="AH24" s="484" t="n"/>
      <c r="AI24" s="484" t="n"/>
    </row>
    <row r="25">
      <c r="B25" s="484" t="inlineStr">
        <is>
          <t>Control  1</t>
        </is>
      </c>
      <c r="C25" s="482" t="inlineStr">
        <is>
          <t>Bias</t>
        </is>
      </c>
      <c r="D25" s="484" t="n">
        <v>-3.26</v>
      </c>
      <c r="E25" s="484" t="n"/>
      <c r="F25" s="484" t="n">
        <v>-0.84</v>
      </c>
      <c r="G25" s="484" t="n"/>
      <c r="H25" s="484" t="n">
        <v>-17.38</v>
      </c>
      <c r="I25" s="484" t="n"/>
      <c r="J25" s="484" t="n">
        <v>1.88</v>
      </c>
      <c r="K25" s="484" t="n"/>
      <c r="L25" s="484" t="n">
        <v>2.36</v>
      </c>
      <c r="M25" s="484" t="n"/>
      <c r="N25" s="484" t="n"/>
      <c r="O25" s="484" t="n"/>
      <c r="P25" s="484" t="n"/>
      <c r="Q25" s="484" t="n"/>
      <c r="R25" s="484" t="n"/>
      <c r="S25" s="484" t="n"/>
      <c r="T25" s="484" t="n"/>
      <c r="U25" s="484" t="n"/>
      <c r="V25" s="484" t="n"/>
      <c r="W25" s="484" t="n"/>
      <c r="Y25" s="484" t="n"/>
      <c r="Z25" s="484" t="n"/>
      <c r="AA25" s="484" t="n"/>
      <c r="AB25" s="484" t="n"/>
      <c r="AC25" s="484" t="n"/>
      <c r="AD25" s="484" t="n"/>
      <c r="AE25" s="484" t="n"/>
      <c r="AF25" s="484" t="n"/>
      <c r="AG25" s="484" t="n"/>
      <c r="AH25" s="484" t="n"/>
      <c r="AI25" s="484" t="n"/>
    </row>
    <row r="26">
      <c r="B26" s="484" t="inlineStr">
        <is>
          <t>Control  1</t>
        </is>
      </c>
      <c r="C26" s="482" t="inlineStr">
        <is>
          <t>CV%</t>
        </is>
      </c>
      <c r="D26" s="484" t="n">
        <v>0.48</v>
      </c>
      <c r="E26" s="484" t="n"/>
      <c r="F26" s="484" t="n">
        <v>0.59</v>
      </c>
      <c r="G26" s="484" t="n"/>
      <c r="H26" s="484" t="n">
        <v>1.4</v>
      </c>
      <c r="I26" s="484" t="n"/>
      <c r="J26" s="484" t="n">
        <v>0.86</v>
      </c>
      <c r="K26" s="484" t="n"/>
      <c r="L26" s="484" t="n">
        <v>0.38</v>
      </c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</row>
    <row r="27" customFormat="1" s="28">
      <c r="B27" s="483" t="inlineStr">
        <is>
          <t>Control  2</t>
        </is>
      </c>
      <c r="C27" s="27" t="inlineStr">
        <is>
          <t>Mean</t>
        </is>
      </c>
      <c r="D27" s="483" t="n">
        <v>2.685</v>
      </c>
      <c r="E27" s="483" t="n"/>
      <c r="F27" s="483" t="n">
        <v>44.885</v>
      </c>
      <c r="G27" s="483" t="n"/>
      <c r="H27" s="483" t="n">
        <v>4.65</v>
      </c>
      <c r="I27" s="483" t="n"/>
      <c r="J27" s="483" t="n">
        <v>305.305</v>
      </c>
      <c r="K27" s="483" t="n"/>
      <c r="L27" s="483" t="n">
        <v>4.316</v>
      </c>
      <c r="M27" s="483" t="n"/>
      <c r="N27" s="483" t="n"/>
      <c r="O27" s="483" t="n"/>
      <c r="P27" s="483" t="n"/>
      <c r="Q27" s="483" t="n"/>
      <c r="R27" s="483" t="n"/>
      <c r="S27" s="483" t="n"/>
      <c r="T27" s="483" t="n"/>
      <c r="U27" s="483" t="n"/>
      <c r="V27" s="483" t="n"/>
      <c r="W27" s="483" t="n"/>
      <c r="Y27" s="483" t="n"/>
      <c r="Z27" s="483" t="n">
        <v>2.0921</v>
      </c>
      <c r="AA27" s="483" t="n">
        <v>0.4565</v>
      </c>
      <c r="AB27" s="483" t="n">
        <v>0.2284</v>
      </c>
      <c r="AC27" s="483" t="n">
        <v>1.8649</v>
      </c>
      <c r="AD27" s="483" t="n">
        <v>0.5359</v>
      </c>
      <c r="AE27" s="483" t="n"/>
      <c r="AF27" s="483" t="n"/>
      <c r="AG27" s="483" t="n"/>
      <c r="AH27" s="483" t="n"/>
      <c r="AI27" s="483" t="n"/>
    </row>
    <row r="28" customFormat="1" s="28">
      <c r="B28" s="483" t="inlineStr">
        <is>
          <t>Control  2</t>
        </is>
      </c>
      <c r="C28" s="27" t="inlineStr">
        <is>
          <t>Bias</t>
        </is>
      </c>
      <c r="D28" s="483" t="n">
        <v>-0.5600000000000001</v>
      </c>
      <c r="E28" s="483" t="n"/>
      <c r="F28" s="483" t="n">
        <v>0.41</v>
      </c>
      <c r="G28" s="483" t="n"/>
      <c r="H28" s="483" t="n">
        <v>-16.22</v>
      </c>
      <c r="I28" s="483" t="n"/>
      <c r="J28" s="483" t="n">
        <v>4.19</v>
      </c>
      <c r="K28" s="483" t="n"/>
      <c r="L28" s="483" t="n">
        <v>5.27</v>
      </c>
      <c r="M28" s="483" t="n"/>
      <c r="N28" s="483" t="n"/>
      <c r="O28" s="483" t="n"/>
      <c r="P28" s="483" t="n"/>
      <c r="Q28" s="483" t="n"/>
      <c r="R28" s="483" t="n"/>
      <c r="S28" s="483" t="n"/>
      <c r="T28" s="483" t="n"/>
      <c r="U28" s="483" t="n"/>
      <c r="V28" s="483" t="n"/>
      <c r="W28" s="483" t="n"/>
      <c r="Y28" s="483" t="n"/>
      <c r="Z28" s="483" t="n"/>
      <c r="AA28" s="483" t="n"/>
      <c r="AB28" s="483" t="n"/>
      <c r="AC28" s="483" t="n"/>
      <c r="AD28" s="483" t="n"/>
      <c r="AE28" s="483" t="n"/>
      <c r="AF28" s="483" t="n"/>
      <c r="AG28" s="483" t="n"/>
      <c r="AH28" s="483" t="n"/>
      <c r="AI28" s="483" t="n"/>
    </row>
    <row r="29" customFormat="1" s="28">
      <c r="B29" s="483" t="inlineStr">
        <is>
          <t>Control  2</t>
        </is>
      </c>
      <c r="C29" s="27" t="inlineStr">
        <is>
          <t>CV%</t>
        </is>
      </c>
      <c r="D29" s="483" t="n">
        <v>0.17</v>
      </c>
      <c r="E29" s="483" t="n"/>
      <c r="F29" s="483" t="n">
        <v>0.03</v>
      </c>
      <c r="G29" s="483" t="n"/>
      <c r="H29" s="483" t="n">
        <v>0.97</v>
      </c>
      <c r="I29" s="483" t="n"/>
      <c r="J29" s="483" t="n">
        <v>0.8100000000000001</v>
      </c>
      <c r="K29" s="483" t="n"/>
      <c r="L29" s="483" t="n">
        <v>0.85</v>
      </c>
      <c r="M29" s="483" t="n"/>
      <c r="N29" s="483" t="n"/>
      <c r="O29" s="483" t="n"/>
      <c r="P29" s="483" t="n"/>
      <c r="Q29" s="483" t="n"/>
      <c r="R29" s="483" t="n"/>
      <c r="S29" s="483" t="n"/>
      <c r="T29" s="483" t="n"/>
      <c r="U29" s="483" t="n"/>
      <c r="V29" s="483" t="n"/>
      <c r="W29" s="483" t="n"/>
      <c r="Y29" s="483" t="n"/>
      <c r="Z29" s="483" t="n"/>
      <c r="AA29" s="483" t="n"/>
      <c r="AB29" s="483" t="n"/>
      <c r="AC29" s="483" t="n"/>
      <c r="AD29" s="483" t="n"/>
      <c r="AE29" s="483" t="n"/>
      <c r="AF29" s="483" t="n"/>
      <c r="AG29" s="483" t="n"/>
      <c r="AH29" s="483" t="n"/>
      <c r="AI29" s="483" t="n"/>
    </row>
    <row r="30">
      <c r="B30" s="484" t="inlineStr">
        <is>
          <t>Control  3</t>
        </is>
      </c>
      <c r="C30" s="482" t="inlineStr">
        <is>
          <t>Mean</t>
        </is>
      </c>
      <c r="D30" s="484" t="n">
        <v>2.492</v>
      </c>
      <c r="E30" s="484" t="n"/>
      <c r="F30" s="484" t="n">
        <v>14.959</v>
      </c>
      <c r="G30" s="484" t="n"/>
      <c r="H30" s="484" t="n">
        <v>0.6929999999999999</v>
      </c>
      <c r="I30" s="484" t="n"/>
      <c r="J30" s="484" t="n">
        <v>67.845</v>
      </c>
      <c r="K30" s="484" t="n"/>
      <c r="L30" s="484" t="n">
        <v>4.122</v>
      </c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Y30" s="484" t="n"/>
      <c r="Z30" s="484" t="n">
        <v>2.0031</v>
      </c>
      <c r="AA30" s="484" t="n">
        <v>0.1575</v>
      </c>
      <c r="AB30" s="484" t="n">
        <v>0.0274</v>
      </c>
      <c r="AC30" s="484" t="n">
        <v>0.4734</v>
      </c>
      <c r="AD30" s="484" t="n">
        <v>0.5202</v>
      </c>
      <c r="AE30" s="484" t="n"/>
      <c r="AF30" s="484" t="n"/>
      <c r="AG30" s="484" t="n"/>
      <c r="AH30" s="484" t="n"/>
      <c r="AI30" s="484" t="n"/>
    </row>
    <row r="31">
      <c r="B31" s="484" t="inlineStr">
        <is>
          <t>Control  3</t>
        </is>
      </c>
      <c r="C31" s="482" t="inlineStr">
        <is>
          <t>Bias</t>
        </is>
      </c>
      <c r="D31" s="484" t="n">
        <v>-4.17</v>
      </c>
      <c r="E31" s="484" t="n"/>
      <c r="F31" s="484" t="n">
        <v>1.77</v>
      </c>
      <c r="G31" s="484" t="n"/>
      <c r="H31" s="484" t="n">
        <v>-28.51</v>
      </c>
      <c r="I31" s="484" t="n"/>
      <c r="J31" s="484" t="n">
        <v>3.33</v>
      </c>
      <c r="K31" s="484" t="n"/>
      <c r="L31" s="484" t="n">
        <v>-1.87</v>
      </c>
      <c r="M31" s="484" t="n"/>
      <c r="N31" s="484" t="n"/>
      <c r="O31" s="484" t="n"/>
      <c r="P31" s="484" t="n"/>
      <c r="Q31" s="484" t="n"/>
      <c r="R31" s="484" t="n"/>
      <c r="S31" s="484" t="n"/>
      <c r="T31" s="484" t="n"/>
      <c r="U31" s="484" t="n"/>
      <c r="V31" s="484" t="n"/>
      <c r="W31" s="484" t="n"/>
      <c r="Y31" s="484" t="n"/>
      <c r="Z31" s="484" t="n"/>
      <c r="AA31" s="484" t="n"/>
      <c r="AB31" s="484" t="n"/>
      <c r="AC31" s="484" t="n"/>
      <c r="AD31" s="484" t="n"/>
      <c r="AE31" s="484" t="n"/>
      <c r="AF31" s="484" t="n"/>
      <c r="AG31" s="484" t="n"/>
      <c r="AH31" s="484" t="n"/>
      <c r="AI31" s="484" t="n"/>
    </row>
    <row r="32">
      <c r="B32" s="484" t="inlineStr">
        <is>
          <t>Control  3</t>
        </is>
      </c>
      <c r="C32" s="482" t="inlineStr">
        <is>
          <t>CV%</t>
        </is>
      </c>
      <c r="D32" s="484" t="n">
        <v>1.39</v>
      </c>
      <c r="E32" s="484" t="n"/>
      <c r="F32" s="484" t="n">
        <v>0.07000000000000001</v>
      </c>
      <c r="G32" s="484" t="n"/>
      <c r="H32" s="484" t="n">
        <v>2.61</v>
      </c>
      <c r="I32" s="484" t="n"/>
      <c r="J32" s="484" t="n">
        <v>1.82</v>
      </c>
      <c r="K32" s="484" t="n"/>
      <c r="L32" s="484" t="n">
        <v>0.66</v>
      </c>
      <c r="M32" s="484" t="n"/>
      <c r="N32" s="484" t="n"/>
      <c r="O32" s="484" t="n"/>
      <c r="P32" s="484" t="n"/>
      <c r="Q32" s="484" t="n"/>
      <c r="R32" s="484" t="n"/>
      <c r="S32" s="484" t="n"/>
      <c r="T32" s="484" t="n"/>
      <c r="U32" s="484" t="n"/>
      <c r="V32" s="484" t="n"/>
      <c r="W32" s="484" t="n"/>
      <c r="Y32" s="484" t="n"/>
      <c r="Z32" s="484" t="n"/>
      <c r="AA32" s="484" t="n"/>
      <c r="AB32" s="484" t="n"/>
      <c r="AC32" s="484" t="n"/>
      <c r="AD32" s="484" t="n"/>
      <c r="AE32" s="484" t="n"/>
      <c r="AF32" s="484" t="n"/>
      <c r="AG32" s="484" t="n"/>
      <c r="AH32" s="484" t="n"/>
      <c r="AI32" s="484" t="n"/>
    </row>
    <row r="33" customFormat="1" s="28">
      <c r="B33" s="483" t="inlineStr">
        <is>
          <t>Control  4</t>
        </is>
      </c>
      <c r="C33" s="27" t="inlineStr">
        <is>
          <t>Mean</t>
        </is>
      </c>
      <c r="D33" s="483" t="n">
        <v>4.076</v>
      </c>
      <c r="E33" s="483" t="n"/>
      <c r="F33" s="483" t="n">
        <v>66.07899999999999</v>
      </c>
      <c r="G33" s="483" t="n"/>
      <c r="H33" s="483" t="n">
        <v>5.537</v>
      </c>
      <c r="I33" s="483" t="n"/>
      <c r="J33" s="483" t="n">
        <v>382.969</v>
      </c>
      <c r="K33" s="483" t="n"/>
      <c r="L33" s="483" t="n">
        <v>7.648</v>
      </c>
      <c r="M33" s="483" t="n"/>
      <c r="N33" s="483" t="n"/>
      <c r="O33" s="483" t="n"/>
      <c r="P33" s="483" t="n"/>
      <c r="Q33" s="483" t="n"/>
      <c r="R33" s="483" t="n"/>
      <c r="S33" s="483" t="n"/>
      <c r="T33" s="483" t="n"/>
      <c r="U33" s="483" t="n"/>
      <c r="V33" s="483" t="n"/>
      <c r="W33" s="483" t="n"/>
      <c r="Y33" s="483" t="n"/>
      <c r="Z33" s="483" t="n">
        <v>2.6436</v>
      </c>
      <c r="AA33" s="483" t="n">
        <v>0.6671</v>
      </c>
      <c r="AB33" s="483" t="n">
        <v>0.2484</v>
      </c>
      <c r="AC33" s="483" t="n">
        <v>2.2992</v>
      </c>
      <c r="AD33" s="483" t="n">
        <v>0.7791</v>
      </c>
      <c r="AE33" s="483" t="n"/>
      <c r="AF33" s="483" t="n"/>
      <c r="AG33" s="483" t="n"/>
      <c r="AH33" s="483" t="n"/>
      <c r="AI33" s="483" t="n"/>
    </row>
    <row r="34" customFormat="1" s="28">
      <c r="B34" s="483" t="inlineStr">
        <is>
          <t>Control  4</t>
        </is>
      </c>
      <c r="C34" s="27" t="inlineStr">
        <is>
          <t>Bias</t>
        </is>
      </c>
      <c r="D34" s="483" t="n">
        <v>-2.94</v>
      </c>
      <c r="E34" s="483" t="n"/>
      <c r="F34" s="483" t="n">
        <v>0.58</v>
      </c>
      <c r="G34" s="483" t="n"/>
      <c r="H34" s="483" t="n">
        <v>-6.95</v>
      </c>
      <c r="I34" s="483" t="n"/>
      <c r="J34" s="483" t="n">
        <v>6.48</v>
      </c>
      <c r="K34" s="483" t="n"/>
      <c r="L34" s="483" t="n">
        <v>1.97</v>
      </c>
      <c r="M34" s="483" t="n"/>
      <c r="N34" s="483" t="n"/>
      <c r="O34" s="483" t="n"/>
      <c r="P34" s="483" t="n"/>
      <c r="Q34" s="483" t="n"/>
      <c r="R34" s="483" t="n"/>
      <c r="S34" s="483" t="n"/>
      <c r="T34" s="483" t="n"/>
      <c r="U34" s="483" t="n"/>
      <c r="V34" s="483" t="n"/>
      <c r="W34" s="483" t="n"/>
      <c r="Y34" s="483" t="n"/>
      <c r="Z34" s="483" t="n"/>
      <c r="AA34" s="483" t="n"/>
      <c r="AB34" s="483" t="n"/>
      <c r="AC34" s="483" t="n"/>
      <c r="AD34" s="483" t="n"/>
      <c r="AE34" s="483" t="n"/>
      <c r="AF34" s="483" t="n"/>
      <c r="AG34" s="483" t="n"/>
      <c r="AH34" s="483" t="n"/>
      <c r="AI34" s="483" t="n"/>
    </row>
    <row r="35" customFormat="1" s="28">
      <c r="B35" s="483" t="inlineStr">
        <is>
          <t>Control  4</t>
        </is>
      </c>
      <c r="C35" s="27" t="inlineStr">
        <is>
          <t>CV%</t>
        </is>
      </c>
      <c r="D35" s="483" t="n"/>
      <c r="E35" s="483" t="n"/>
      <c r="F35" s="483" t="n"/>
      <c r="G35" s="483" t="n"/>
      <c r="H35" s="483" t="n"/>
      <c r="I35" s="483" t="n"/>
      <c r="J35" s="483" t="n"/>
      <c r="K35" s="483" t="n"/>
      <c r="L35" s="483" t="n"/>
      <c r="M35" s="483" t="n"/>
      <c r="N35" s="483" t="n"/>
      <c r="O35" s="483" t="n"/>
      <c r="P35" s="483" t="n"/>
      <c r="Q35" s="483" t="n"/>
      <c r="R35" s="483" t="n"/>
      <c r="S35" s="483" t="n"/>
      <c r="T35" s="483" t="n"/>
      <c r="U35" s="483" t="n"/>
      <c r="V35" s="483" t="n"/>
      <c r="W35" s="483" t="n"/>
      <c r="Y35" s="483" t="n"/>
      <c r="Z35" s="483" t="n"/>
      <c r="AA35" s="483" t="n"/>
      <c r="AB35" s="483" t="n"/>
      <c r="AC35" s="483" t="n"/>
      <c r="AD35" s="483" t="n"/>
      <c r="AE35" s="483" t="n"/>
      <c r="AF35" s="483" t="n"/>
      <c r="AG35" s="483" t="n"/>
      <c r="AH35" s="483" t="n"/>
      <c r="AI35" s="483" t="n"/>
    </row>
    <row r="36">
      <c r="B36" s="484" t="inlineStr">
        <is>
          <t>Control  5</t>
        </is>
      </c>
      <c r="C36" s="482" t="inlineStr">
        <is>
          <t>Mean</t>
        </is>
      </c>
      <c r="D36" s="484" t="n"/>
      <c r="E36" s="484" t="n"/>
      <c r="F36" s="484" t="n"/>
      <c r="G36" s="484" t="n"/>
      <c r="H36" s="484" t="n"/>
      <c r="I36" s="484" t="n"/>
      <c r="J36" s="484" t="n"/>
      <c r="K36" s="484" t="n"/>
      <c r="L36" s="484" t="n"/>
      <c r="M36" s="484" t="n"/>
      <c r="N36" s="484" t="n"/>
      <c r="O36" s="484" t="n"/>
      <c r="P36" s="484" t="n"/>
      <c r="Q36" s="484" t="n"/>
      <c r="R36" s="484" t="n"/>
      <c r="S36" s="484" t="n"/>
      <c r="T36" s="484" t="n"/>
      <c r="U36" s="484" t="n"/>
      <c r="V36" s="484" t="n"/>
      <c r="W36" s="484" t="n"/>
      <c r="Y36" s="484" t="n"/>
      <c r="Z36" s="484" t="n"/>
      <c r="AA36" s="484" t="n"/>
      <c r="AB36" s="484" t="n"/>
      <c r="AC36" s="484" t="n"/>
      <c r="AD36" s="484" t="n"/>
      <c r="AE36" s="484" t="n"/>
      <c r="AF36" s="484" t="n"/>
      <c r="AG36" s="484" t="n"/>
      <c r="AH36" s="484" t="n"/>
      <c r="AI36" s="484" t="n"/>
    </row>
    <row r="37">
      <c r="B37" s="484" t="inlineStr">
        <is>
          <t>Control  5</t>
        </is>
      </c>
      <c r="C37" s="482" t="inlineStr">
        <is>
          <t>Bias</t>
        </is>
      </c>
      <c r="D37" s="484" t="n"/>
      <c r="E37" s="484" t="n"/>
      <c r="F37" s="484" t="n"/>
      <c r="G37" s="484" t="n"/>
      <c r="H37" s="484" t="n"/>
      <c r="I37" s="484" t="n"/>
      <c r="J37" s="484" t="n"/>
      <c r="K37" s="484" t="n"/>
      <c r="L37" s="484" t="n"/>
      <c r="M37" s="484" t="n"/>
      <c r="N37" s="484" t="n"/>
      <c r="O37" s="484" t="n"/>
      <c r="P37" s="484" t="n"/>
      <c r="Q37" s="484" t="n"/>
      <c r="R37" s="484" t="n"/>
      <c r="S37" s="484" t="n"/>
      <c r="T37" s="484" t="n"/>
      <c r="U37" s="484" t="n"/>
      <c r="V37" s="484" t="n"/>
      <c r="W37" s="484" t="n"/>
      <c r="Y37" s="484" t="n"/>
      <c r="Z37" s="484" t="n"/>
      <c r="AA37" s="484" t="n"/>
      <c r="AB37" s="484" t="n"/>
      <c r="AC37" s="484" t="n"/>
      <c r="AD37" s="484" t="n"/>
      <c r="AE37" s="484" t="n"/>
      <c r="AF37" s="484" t="n"/>
      <c r="AG37" s="484" t="n"/>
      <c r="AH37" s="484" t="n"/>
      <c r="AI37" s="484" t="n"/>
    </row>
    <row r="38">
      <c r="B38" s="484" t="inlineStr">
        <is>
          <t>Control  5</t>
        </is>
      </c>
      <c r="C38" s="482" t="inlineStr">
        <is>
          <t>CV%</t>
        </is>
      </c>
      <c r="D38" s="484" t="n"/>
      <c r="E38" s="484" t="n"/>
      <c r="F38" s="484" t="n"/>
      <c r="G38" s="484" t="n"/>
      <c r="H38" s="484" t="n"/>
      <c r="I38" s="484" t="n"/>
      <c r="J38" s="484" t="n"/>
      <c r="K38" s="484" t="n"/>
      <c r="L38" s="484" t="n"/>
      <c r="M38" s="484" t="n"/>
      <c r="N38" s="484" t="n"/>
      <c r="O38" s="484" t="n"/>
      <c r="P38" s="484" t="n"/>
      <c r="Q38" s="484" t="n"/>
      <c r="R38" s="484" t="n"/>
      <c r="S38" s="484" t="n"/>
      <c r="T38" s="484" t="n"/>
      <c r="U38" s="484" t="n"/>
      <c r="V38" s="484" t="n"/>
      <c r="W38" s="484" t="n"/>
      <c r="Y38" s="484" t="n"/>
      <c r="Z38" s="484" t="n"/>
      <c r="AA38" s="484" t="n"/>
      <c r="AB38" s="484" t="n"/>
      <c r="AC38" s="484" t="n"/>
      <c r="AD38" s="484" t="n"/>
      <c r="AE38" s="484" t="n"/>
      <c r="AF38" s="484" t="n"/>
      <c r="AG38" s="484" t="n"/>
      <c r="AH38" s="484" t="n"/>
      <c r="AI38" s="484" t="n"/>
    </row>
    <row r="39" customFormat="1" s="28">
      <c r="B39" s="483" t="inlineStr">
        <is>
          <t>Control  6</t>
        </is>
      </c>
      <c r="C39" s="27" t="inlineStr">
        <is>
          <t>Mean</t>
        </is>
      </c>
      <c r="D39" s="483" t="n"/>
      <c r="E39" s="483" t="n"/>
      <c r="F39" s="483" t="n"/>
      <c r="G39" s="483" t="n"/>
      <c r="H39" s="483" t="n"/>
      <c r="I39" s="483" t="n"/>
      <c r="J39" s="483" t="n"/>
      <c r="K39" s="483" t="n"/>
      <c r="L39" s="483" t="n"/>
      <c r="M39" s="483" t="n"/>
      <c r="N39" s="483" t="n"/>
      <c r="O39" s="483" t="n"/>
      <c r="P39" s="483" t="n"/>
      <c r="Q39" s="483" t="n"/>
      <c r="R39" s="483" t="n"/>
      <c r="S39" s="483" t="n"/>
      <c r="T39" s="483" t="n"/>
      <c r="U39" s="483" t="n"/>
      <c r="V39" s="483" t="n"/>
      <c r="W39" s="483" t="n"/>
      <c r="Y39" s="483" t="n"/>
      <c r="Z39" s="483" t="n"/>
      <c r="AA39" s="483" t="n"/>
      <c r="AB39" s="483" t="n"/>
      <c r="AC39" s="483" t="n"/>
      <c r="AD39" s="483" t="n"/>
      <c r="AE39" s="483" t="n"/>
      <c r="AF39" s="483" t="n"/>
      <c r="AG39" s="483" t="n"/>
      <c r="AH39" s="483" t="n"/>
      <c r="AI39" s="483" t="n"/>
    </row>
    <row r="40" customFormat="1" s="28">
      <c r="B40" s="483" t="inlineStr">
        <is>
          <t>Control  6</t>
        </is>
      </c>
      <c r="C40" s="27" t="inlineStr">
        <is>
          <t>Bias</t>
        </is>
      </c>
      <c r="D40" s="483" t="n"/>
      <c r="E40" s="483" t="n"/>
      <c r="F40" s="483" t="n"/>
      <c r="G40" s="483" t="n"/>
      <c r="H40" s="483" t="n"/>
      <c r="I40" s="483" t="n"/>
      <c r="J40" s="483" t="n"/>
      <c r="K40" s="483" t="n"/>
      <c r="L40" s="483" t="n"/>
      <c r="M40" s="483" t="n"/>
      <c r="N40" s="483" t="n"/>
      <c r="O40" s="483" t="n"/>
      <c r="P40" s="483" t="n"/>
      <c r="Q40" s="483" t="n"/>
      <c r="R40" s="483" t="n"/>
      <c r="S40" s="483" t="n"/>
      <c r="T40" s="483" t="n"/>
      <c r="U40" s="483" t="n"/>
      <c r="V40" s="483" t="n"/>
      <c r="W40" s="483" t="n"/>
      <c r="Y40" s="483" t="n"/>
      <c r="Z40" s="483" t="n"/>
      <c r="AA40" s="483" t="n"/>
      <c r="AB40" s="483" t="n"/>
      <c r="AC40" s="483" t="n"/>
      <c r="AD40" s="483" t="n"/>
      <c r="AE40" s="483" t="n"/>
      <c r="AF40" s="483" t="n"/>
      <c r="AG40" s="483" t="n"/>
      <c r="AH40" s="483" t="n"/>
      <c r="AI40" s="483" t="n"/>
    </row>
    <row r="41" customFormat="1" s="28">
      <c r="B41" s="9" t="inlineStr">
        <is>
          <t>Control  6</t>
        </is>
      </c>
      <c r="C41" s="27" t="inlineStr">
        <is>
          <t>CV%</t>
        </is>
      </c>
      <c r="D41" s="483" t="n"/>
      <c r="E41" s="483" t="n"/>
      <c r="F41" s="483" t="n"/>
      <c r="G41" s="483" t="n"/>
      <c r="H41" s="483" t="n"/>
      <c r="I41" s="483" t="n"/>
      <c r="J41" s="483" t="n"/>
      <c r="K41" s="483" t="n"/>
      <c r="L41" s="483" t="n"/>
      <c r="M41" s="483" t="n"/>
      <c r="N41" s="483" t="n"/>
      <c r="O41" s="483" t="n"/>
      <c r="P41" s="483" t="n"/>
      <c r="Q41" s="483" t="n"/>
      <c r="R41" s="483" t="n"/>
      <c r="S41" s="483" t="n"/>
      <c r="T41" s="483" t="n"/>
      <c r="U41" s="483" t="n"/>
      <c r="V41" s="483" t="n"/>
      <c r="W41" s="483" t="n"/>
      <c r="Y41" s="483" t="n"/>
      <c r="Z41" s="483" t="n"/>
      <c r="AA41" s="483" t="n"/>
      <c r="AB41" s="483" t="n"/>
      <c r="AC41" s="483" t="n"/>
      <c r="AD41" s="483" t="n"/>
      <c r="AE41" s="483" t="n"/>
      <c r="AF41" s="483" t="n"/>
      <c r="AG41" s="483" t="n"/>
      <c r="AH41" s="483" t="n"/>
      <c r="AI41" s="483" t="n"/>
    </row>
    <row r="42">
      <c r="B42" s="484" t="inlineStr">
        <is>
          <t>Canine 1</t>
        </is>
      </c>
      <c r="C42" s="482" t="inlineStr">
        <is>
          <t>Mean</t>
        </is>
      </c>
      <c r="D42" s="484" t="n"/>
      <c r="E42" s="484" t="n"/>
      <c r="F42" s="484" t="n"/>
      <c r="G42" s="484" t="n"/>
      <c r="H42" s="484" t="n"/>
      <c r="I42" s="484" t="n"/>
      <c r="J42" s="484" t="n"/>
      <c r="K42" s="484" t="n"/>
      <c r="L42" s="484" t="n"/>
      <c r="M42" s="484" t="n"/>
      <c r="N42" s="484" t="n"/>
      <c r="O42" s="484" t="n"/>
      <c r="P42" s="484" t="n"/>
      <c r="Q42" s="484" t="n"/>
      <c r="R42" s="484" t="n"/>
      <c r="S42" s="484" t="n"/>
      <c r="T42" s="484" t="n"/>
      <c r="U42" s="484" t="n"/>
      <c r="V42" s="484" t="n"/>
      <c r="W42" s="484" t="n"/>
      <c r="Y42" s="484" t="n"/>
      <c r="Z42" s="484" t="n"/>
      <c r="AA42" s="484" t="n"/>
      <c r="AB42" s="484" t="n"/>
      <c r="AC42" s="484" t="n"/>
      <c r="AD42" s="484" t="n"/>
      <c r="AE42" s="484" t="n"/>
      <c r="AF42" s="484" t="n"/>
      <c r="AG42" s="484" t="n"/>
      <c r="AH42" s="484" t="n"/>
      <c r="AI42" s="484" t="n"/>
    </row>
    <row r="43">
      <c r="B43" s="484" t="inlineStr">
        <is>
          <t>Canine 1</t>
        </is>
      </c>
      <c r="C43" s="482" t="inlineStr">
        <is>
          <t>Bias</t>
        </is>
      </c>
      <c r="D43" s="484" t="n"/>
      <c r="E43" s="484" t="n"/>
      <c r="F43" s="484" t="n"/>
      <c r="G43" s="484" t="n"/>
      <c r="H43" s="484" t="n"/>
      <c r="I43" s="484" t="n"/>
      <c r="J43" s="484" t="n"/>
      <c r="K43" s="484" t="n"/>
      <c r="L43" s="484" t="n"/>
      <c r="M43" s="484" t="n"/>
      <c r="N43" s="484" t="n"/>
      <c r="O43" s="484" t="n"/>
      <c r="P43" s="484" t="n"/>
      <c r="Q43" s="484" t="n"/>
      <c r="R43" s="484" t="n"/>
      <c r="S43" s="484" t="n"/>
      <c r="T43" s="484" t="n"/>
      <c r="U43" s="484" t="n"/>
      <c r="V43" s="484" t="n"/>
      <c r="W43" s="484" t="n"/>
      <c r="Y43" s="484" t="n"/>
      <c r="Z43" s="484" t="n"/>
      <c r="AA43" s="484" t="n"/>
      <c r="AB43" s="484" t="n"/>
      <c r="AC43" s="484" t="n"/>
      <c r="AD43" s="484" t="n"/>
      <c r="AE43" s="484" t="n"/>
      <c r="AF43" s="484" t="n"/>
      <c r="AG43" s="484" t="n"/>
      <c r="AH43" s="484" t="n"/>
      <c r="AI43" s="484" t="n"/>
    </row>
    <row r="44">
      <c r="B44" s="484" t="inlineStr">
        <is>
          <t>Canine 1</t>
        </is>
      </c>
      <c r="C44" s="482" t="inlineStr">
        <is>
          <t>CV%</t>
        </is>
      </c>
      <c r="D44" s="484" t="n"/>
      <c r="E44" s="484" t="n"/>
      <c r="F44" s="484" t="n"/>
      <c r="G44" s="484" t="n"/>
      <c r="H44" s="484" t="n"/>
      <c r="I44" s="484" t="n"/>
      <c r="J44" s="484" t="n"/>
      <c r="K44" s="484" t="n"/>
      <c r="L44" s="484" t="n"/>
      <c r="M44" s="484" t="n"/>
      <c r="N44" s="484" t="n"/>
      <c r="O44" s="484" t="n"/>
      <c r="P44" s="484" t="n"/>
      <c r="Q44" s="484" t="n"/>
      <c r="R44" s="484" t="n"/>
      <c r="S44" s="484" t="n"/>
      <c r="T44" s="484" t="n"/>
      <c r="U44" s="484" t="n"/>
      <c r="V44" s="484" t="n"/>
      <c r="W44" s="484" t="n"/>
      <c r="Y44" s="484" t="n"/>
      <c r="Z44" s="484" t="n"/>
      <c r="AA44" s="484" t="n"/>
      <c r="AB44" s="484" t="n"/>
      <c r="AC44" s="484" t="n"/>
      <c r="AD44" s="484" t="n"/>
      <c r="AE44" s="484" t="n"/>
      <c r="AF44" s="484" t="n"/>
      <c r="AG44" s="484" t="n"/>
      <c r="AH44" s="484" t="n"/>
      <c r="AI44" s="484" t="n"/>
    </row>
    <row r="45" customFormat="1" s="28">
      <c r="B45" s="483" t="inlineStr">
        <is>
          <t>Canine 2</t>
        </is>
      </c>
      <c r="C45" s="27" t="inlineStr">
        <is>
          <t>Mean</t>
        </is>
      </c>
      <c r="D45" s="483" t="n"/>
      <c r="E45" s="483" t="n"/>
      <c r="F45" s="483" t="n"/>
      <c r="G45" s="483" t="n"/>
      <c r="H45" s="483" t="n"/>
      <c r="I45" s="483" t="n"/>
      <c r="J45" s="483" t="n"/>
      <c r="K45" s="483" t="n"/>
      <c r="L45" s="483" t="n"/>
      <c r="M45" s="483" t="n"/>
      <c r="N45" s="483" t="n"/>
      <c r="O45" s="483" t="n"/>
      <c r="P45" s="483" t="n"/>
      <c r="Q45" s="483" t="n"/>
      <c r="R45" s="483" t="n"/>
      <c r="S45" s="483" t="n"/>
      <c r="T45" s="483" t="n"/>
      <c r="U45" s="483" t="n"/>
      <c r="V45" s="483" t="n"/>
      <c r="W45" s="483" t="n"/>
      <c r="Y45" s="483" t="n"/>
      <c r="Z45" s="483" t="n"/>
      <c r="AA45" s="483" t="n"/>
      <c r="AB45" s="483" t="n"/>
      <c r="AC45" s="483" t="n"/>
      <c r="AD45" s="483" t="n"/>
      <c r="AE45" s="483" t="n"/>
      <c r="AF45" s="483" t="n"/>
      <c r="AG45" s="483" t="n"/>
      <c r="AH45" s="483" t="n"/>
      <c r="AI45" s="483" t="n"/>
    </row>
    <row r="46" customFormat="1" s="28">
      <c r="B46" s="483" t="inlineStr">
        <is>
          <t>Canine 2</t>
        </is>
      </c>
      <c r="C46" s="27" t="inlineStr">
        <is>
          <t>Bias</t>
        </is>
      </c>
      <c r="D46" s="483" t="n"/>
      <c r="E46" s="483" t="n"/>
      <c r="F46" s="483" t="n"/>
      <c r="G46" s="483" t="n"/>
      <c r="H46" s="483" t="n"/>
      <c r="I46" s="483" t="n"/>
      <c r="J46" s="483" t="n"/>
      <c r="K46" s="483" t="n"/>
      <c r="L46" s="483" t="n"/>
      <c r="M46" s="483" t="n"/>
      <c r="N46" s="483" t="n"/>
      <c r="O46" s="483" t="n"/>
      <c r="P46" s="483" t="n"/>
      <c r="Q46" s="483" t="n"/>
      <c r="R46" s="483" t="n"/>
      <c r="S46" s="483" t="n"/>
      <c r="T46" s="483" t="n"/>
      <c r="U46" s="483" t="n"/>
      <c r="V46" s="483" t="n"/>
      <c r="W46" s="483" t="n"/>
      <c r="Y46" s="483" t="n"/>
      <c r="Z46" s="483" t="n"/>
      <c r="AA46" s="483" t="n"/>
      <c r="AB46" s="483" t="n"/>
      <c r="AC46" s="483" t="n"/>
      <c r="AD46" s="483" t="n"/>
      <c r="AE46" s="483" t="n"/>
      <c r="AF46" s="483" t="n"/>
      <c r="AG46" s="483" t="n"/>
      <c r="AH46" s="483" t="n"/>
      <c r="AI46" s="483" t="n"/>
    </row>
    <row r="47" customFormat="1" s="28">
      <c r="B47" s="483" t="inlineStr">
        <is>
          <t>Canine 2</t>
        </is>
      </c>
      <c r="C47" s="27" t="inlineStr">
        <is>
          <t>CV%</t>
        </is>
      </c>
      <c r="D47" s="483" t="n"/>
      <c r="E47" s="483" t="n"/>
      <c r="F47" s="483" t="n"/>
      <c r="G47" s="483" t="n"/>
      <c r="H47" s="483" t="n"/>
      <c r="I47" s="483" t="n"/>
      <c r="J47" s="483" t="n"/>
      <c r="K47" s="483" t="n"/>
      <c r="L47" s="483" t="n"/>
      <c r="M47" s="483" t="n"/>
      <c r="N47" s="483" t="n"/>
      <c r="O47" s="483" t="n"/>
      <c r="P47" s="483" t="n"/>
      <c r="Q47" s="483" t="n"/>
      <c r="R47" s="483" t="n"/>
      <c r="S47" s="483" t="n"/>
      <c r="T47" s="483" t="n"/>
      <c r="U47" s="483" t="n"/>
      <c r="V47" s="483" t="n"/>
      <c r="W47" s="483" t="n"/>
      <c r="Y47" s="483" t="n"/>
      <c r="Z47" s="483" t="n"/>
      <c r="AA47" s="483" t="n"/>
      <c r="AB47" s="483" t="n"/>
      <c r="AC47" s="483" t="n"/>
      <c r="AD47" s="483" t="n"/>
      <c r="AE47" s="483" t="n"/>
      <c r="AF47" s="483" t="n"/>
      <c r="AG47" s="483" t="n"/>
      <c r="AH47" s="483" t="n"/>
      <c r="AI47" s="483" t="n"/>
    </row>
    <row r="48">
      <c r="B48" s="484" t="inlineStr">
        <is>
          <t>Canine 3</t>
        </is>
      </c>
      <c r="C48" s="482" t="inlineStr">
        <is>
          <t>Mean</t>
        </is>
      </c>
      <c r="D48" s="484" t="n"/>
      <c r="E48" s="484" t="n"/>
      <c r="F48" s="484" t="n"/>
      <c r="G48" s="484" t="n"/>
      <c r="H48" s="484" t="n"/>
      <c r="I48" s="484" t="n"/>
      <c r="J48" s="484" t="n"/>
      <c r="K48" s="484" t="n"/>
      <c r="L48" s="484" t="n"/>
      <c r="M48" s="484" t="n"/>
      <c r="N48" s="484" t="n"/>
      <c r="O48" s="484" t="n"/>
      <c r="P48" s="484" t="n"/>
      <c r="Q48" s="484" t="n"/>
      <c r="R48" s="484" t="n"/>
      <c r="S48" s="484" t="n"/>
      <c r="T48" s="484" t="n"/>
      <c r="U48" s="484" t="n"/>
      <c r="V48" s="484" t="n"/>
      <c r="W48" s="484" t="n"/>
      <c r="Y48" s="484" t="n"/>
      <c r="Z48" s="484" t="n"/>
      <c r="AA48" s="484" t="n"/>
      <c r="AB48" s="484" t="n"/>
      <c r="AC48" s="484" t="n"/>
      <c r="AD48" s="484" t="n"/>
      <c r="AE48" s="484" t="n"/>
      <c r="AF48" s="484" t="n"/>
      <c r="AG48" s="484" t="n"/>
      <c r="AH48" s="484" t="n"/>
      <c r="AI48" s="484" t="n"/>
    </row>
    <row r="49">
      <c r="B49" s="484" t="inlineStr">
        <is>
          <t>Canine 3</t>
        </is>
      </c>
      <c r="C49" s="482" t="inlineStr">
        <is>
          <t>Bias</t>
        </is>
      </c>
      <c r="D49" s="484" t="n"/>
      <c r="E49" s="484" t="n"/>
      <c r="F49" s="484" t="n"/>
      <c r="G49" s="484" t="n"/>
      <c r="H49" s="484" t="n"/>
      <c r="I49" s="484" t="n"/>
      <c r="J49" s="484" t="n"/>
      <c r="K49" s="484" t="n"/>
      <c r="L49" s="484" t="n"/>
      <c r="M49" s="484" t="n"/>
      <c r="N49" s="484" t="n"/>
      <c r="O49" s="484" t="n"/>
      <c r="P49" s="484" t="n"/>
      <c r="Q49" s="484" t="n"/>
      <c r="R49" s="484" t="n"/>
      <c r="S49" s="484" t="n"/>
      <c r="T49" s="484" t="n"/>
      <c r="U49" s="484" t="n"/>
      <c r="V49" s="484" t="n"/>
      <c r="W49" s="484" t="n"/>
      <c r="Y49" s="484" t="n"/>
      <c r="Z49" s="484" t="n"/>
      <c r="AA49" s="484" t="n"/>
      <c r="AB49" s="484" t="n"/>
      <c r="AC49" s="484" t="n"/>
      <c r="AD49" s="484" t="n"/>
      <c r="AE49" s="484" t="n"/>
      <c r="AF49" s="484" t="n"/>
      <c r="AG49" s="484" t="n"/>
      <c r="AH49" s="484" t="n"/>
      <c r="AI49" s="484" t="n"/>
    </row>
    <row r="50">
      <c r="B50" s="29" t="inlineStr">
        <is>
          <t>Canine 3</t>
        </is>
      </c>
      <c r="C50" s="482" t="inlineStr">
        <is>
          <t>CV%</t>
        </is>
      </c>
      <c r="D50" s="484" t="n"/>
      <c r="E50" s="484" t="n"/>
      <c r="F50" s="484" t="n"/>
      <c r="G50" s="484" t="n"/>
      <c r="H50" s="484" t="n"/>
      <c r="I50" s="484" t="n"/>
      <c r="J50" s="484" t="n"/>
      <c r="K50" s="484" t="n"/>
      <c r="L50" s="484" t="n"/>
      <c r="M50" s="484" t="n"/>
      <c r="N50" s="484" t="n"/>
      <c r="O50" s="484" t="n"/>
      <c r="P50" s="484" t="n"/>
      <c r="Q50" s="484" t="n"/>
      <c r="R50" s="484" t="n"/>
      <c r="S50" s="484" t="n"/>
      <c r="T50" s="484" t="n"/>
      <c r="U50" s="484" t="n"/>
      <c r="V50" s="484" t="n"/>
      <c r="W50" s="484" t="n"/>
      <c r="Y50" s="484" t="n"/>
      <c r="Z50" s="484" t="n"/>
      <c r="AA50" s="484" t="n"/>
      <c r="AB50" s="484" t="n"/>
      <c r="AC50" s="484" t="n"/>
      <c r="AD50" s="484" t="n"/>
      <c r="AE50" s="484" t="n"/>
      <c r="AF50" s="484" t="n"/>
      <c r="AG50" s="484" t="n"/>
      <c r="AH50" s="484" t="n"/>
      <c r="AI50" s="484" t="n"/>
    </row>
    <row r="51">
      <c r="B51" s="484" t="inlineStr">
        <is>
          <t>Feline 1</t>
        </is>
      </c>
      <c r="C51" s="482" t="inlineStr">
        <is>
          <t>Mean</t>
        </is>
      </c>
      <c r="D51" s="484" t="n"/>
      <c r="E51" s="484" t="n"/>
      <c r="F51" s="484" t="n"/>
      <c r="G51" s="484" t="n"/>
      <c r="H51" s="484" t="n"/>
      <c r="I51" s="484" t="n"/>
      <c r="J51" s="484" t="n"/>
      <c r="K51" s="484" t="n"/>
      <c r="L51" s="484" t="n"/>
      <c r="M51" s="484" t="n"/>
      <c r="N51" s="484" t="n"/>
      <c r="O51" s="484" t="n"/>
      <c r="P51" s="484" t="n"/>
      <c r="Q51" s="484" t="n"/>
      <c r="R51" s="484" t="n"/>
      <c r="S51" s="484" t="n"/>
      <c r="T51" s="484" t="n"/>
      <c r="U51" s="484" t="n"/>
      <c r="V51" s="484" t="n"/>
      <c r="W51" s="484" t="n"/>
      <c r="Y51" s="484" t="n"/>
      <c r="Z51" s="484" t="n"/>
      <c r="AA51" s="484" t="n"/>
      <c r="AB51" s="484" t="n"/>
      <c r="AC51" s="484" t="n"/>
      <c r="AD51" s="484" t="n"/>
      <c r="AE51" s="484" t="n"/>
      <c r="AF51" s="484" t="n"/>
      <c r="AG51" s="484" t="n"/>
      <c r="AH51" s="484" t="n"/>
      <c r="AI51" s="484" t="n"/>
    </row>
    <row r="52">
      <c r="B52" s="484" t="inlineStr">
        <is>
          <t>Feline 1</t>
        </is>
      </c>
      <c r="C52" s="482" t="inlineStr">
        <is>
          <t>Bias</t>
        </is>
      </c>
      <c r="D52" s="484" t="n"/>
      <c r="E52" s="484" t="n"/>
      <c r="F52" s="484" t="n"/>
      <c r="G52" s="484" t="n"/>
      <c r="H52" s="484" t="n"/>
      <c r="I52" s="484" t="n"/>
      <c r="J52" s="484" t="n"/>
      <c r="K52" s="484" t="n"/>
      <c r="L52" s="484" t="n"/>
      <c r="M52" s="484" t="n"/>
      <c r="N52" s="484" t="n"/>
      <c r="O52" s="484" t="n"/>
      <c r="P52" s="484" t="n"/>
      <c r="Q52" s="484" t="n"/>
      <c r="R52" s="484" t="n"/>
      <c r="S52" s="484" t="n"/>
      <c r="T52" s="484" t="n"/>
      <c r="U52" s="484" t="n"/>
      <c r="V52" s="484" t="n"/>
      <c r="W52" s="484" t="n"/>
      <c r="Y52" s="484" t="n"/>
      <c r="Z52" s="484" t="n"/>
      <c r="AA52" s="484" t="n"/>
      <c r="AB52" s="484" t="n"/>
      <c r="AC52" s="484" t="n"/>
      <c r="AD52" s="484" t="n"/>
      <c r="AE52" s="484" t="n"/>
      <c r="AF52" s="484" t="n"/>
      <c r="AG52" s="484" t="n"/>
      <c r="AH52" s="484" t="n"/>
      <c r="AI52" s="484" t="n"/>
    </row>
    <row r="53">
      <c r="B53" s="484" t="inlineStr">
        <is>
          <t>Feline 1</t>
        </is>
      </c>
      <c r="C53" s="482" t="inlineStr">
        <is>
          <t>CV%</t>
        </is>
      </c>
      <c r="D53" s="484" t="n"/>
      <c r="E53" s="484" t="n"/>
      <c r="F53" s="484" t="n"/>
      <c r="G53" s="484" t="n"/>
      <c r="H53" s="484" t="n"/>
      <c r="I53" s="484" t="n"/>
      <c r="J53" s="484" t="n"/>
      <c r="K53" s="484" t="n"/>
      <c r="L53" s="484" t="n"/>
      <c r="M53" s="484" t="n"/>
      <c r="N53" s="484" t="n"/>
      <c r="O53" s="484" t="n"/>
      <c r="P53" s="484" t="n"/>
      <c r="Q53" s="484" t="n"/>
      <c r="R53" s="484" t="n"/>
      <c r="S53" s="484" t="n"/>
      <c r="T53" s="484" t="n"/>
      <c r="U53" s="484" t="n"/>
      <c r="V53" s="484" t="n"/>
      <c r="W53" s="484" t="n"/>
      <c r="Y53" s="484" t="n"/>
      <c r="Z53" s="484" t="n"/>
      <c r="AA53" s="484" t="n"/>
      <c r="AB53" s="484" t="n"/>
      <c r="AC53" s="484" t="n"/>
      <c r="AD53" s="484" t="n"/>
      <c r="AE53" s="484" t="n"/>
      <c r="AF53" s="484" t="n"/>
      <c r="AG53" s="484" t="n"/>
      <c r="AH53" s="484" t="n"/>
      <c r="AI53" s="484" t="n"/>
    </row>
    <row r="54">
      <c r="A54" s="28" t="n"/>
      <c r="B54" s="483" t="inlineStr">
        <is>
          <t>Feline 2</t>
        </is>
      </c>
      <c r="C54" s="27" t="inlineStr">
        <is>
          <t>Mean</t>
        </is>
      </c>
      <c r="D54" s="483" t="n"/>
      <c r="E54" s="483" t="n"/>
      <c r="F54" s="483" t="n"/>
      <c r="G54" s="483" t="n"/>
      <c r="H54" s="483" t="n"/>
      <c r="I54" s="483" t="n"/>
      <c r="J54" s="483" t="n"/>
      <c r="K54" s="483" t="n"/>
      <c r="L54" s="483" t="n"/>
      <c r="M54" s="483" t="n"/>
      <c r="N54" s="483" t="n"/>
      <c r="O54" s="483" t="n"/>
      <c r="P54" s="483" t="n"/>
      <c r="Q54" s="483" t="n"/>
      <c r="R54" s="483" t="n"/>
      <c r="S54" s="483" t="n"/>
      <c r="T54" s="483" t="n"/>
      <c r="U54" s="483" t="n"/>
      <c r="V54" s="483" t="n"/>
      <c r="W54" s="483" t="n"/>
      <c r="X54" s="28" t="n"/>
      <c r="Y54" s="483" t="n"/>
      <c r="Z54" s="483" t="n"/>
      <c r="AA54" s="483" t="n"/>
      <c r="AB54" s="483" t="n"/>
      <c r="AC54" s="483" t="n"/>
      <c r="AD54" s="483" t="n"/>
      <c r="AE54" s="483" t="n"/>
      <c r="AF54" s="483" t="n"/>
      <c r="AG54" s="483" t="n"/>
      <c r="AH54" s="483" t="n"/>
      <c r="AI54" s="483" t="n"/>
    </row>
    <row r="55">
      <c r="A55" s="28" t="n"/>
      <c r="B55" s="483" t="inlineStr">
        <is>
          <t>Feline 2</t>
        </is>
      </c>
      <c r="C55" s="27" t="inlineStr">
        <is>
          <t>Bias</t>
        </is>
      </c>
      <c r="D55" s="483" t="n"/>
      <c r="E55" s="483" t="n"/>
      <c r="F55" s="483" t="n"/>
      <c r="G55" s="483" t="n"/>
      <c r="H55" s="483" t="n"/>
      <c r="I55" s="483" t="n"/>
      <c r="J55" s="483" t="n"/>
      <c r="K55" s="483" t="n"/>
      <c r="L55" s="483" t="n"/>
      <c r="M55" s="483" t="n"/>
      <c r="N55" s="483" t="n"/>
      <c r="O55" s="483" t="n"/>
      <c r="P55" s="483" t="n"/>
      <c r="Q55" s="483" t="n"/>
      <c r="R55" s="483" t="n"/>
      <c r="S55" s="483" t="n"/>
      <c r="T55" s="483" t="n"/>
      <c r="U55" s="483" t="n"/>
      <c r="V55" s="483" t="n"/>
      <c r="W55" s="483" t="n"/>
      <c r="X55" s="28" t="n"/>
      <c r="Y55" s="483" t="n"/>
      <c r="Z55" s="483" t="n"/>
      <c r="AA55" s="483" t="n"/>
      <c r="AB55" s="483" t="n"/>
      <c r="AC55" s="483" t="n"/>
      <c r="AD55" s="483" t="n"/>
      <c r="AE55" s="483" t="n"/>
      <c r="AF55" s="483" t="n"/>
      <c r="AG55" s="483" t="n"/>
      <c r="AH55" s="483" t="n"/>
      <c r="AI55" s="483" t="n"/>
    </row>
    <row r="56">
      <c r="A56" s="28" t="n"/>
      <c r="B56" s="483" t="inlineStr">
        <is>
          <t>Feline 2</t>
        </is>
      </c>
      <c r="C56" s="27" t="inlineStr">
        <is>
          <t>CV%</t>
        </is>
      </c>
      <c r="D56" s="483" t="n"/>
      <c r="E56" s="483" t="n"/>
      <c r="F56" s="483" t="n"/>
      <c r="G56" s="483" t="n"/>
      <c r="H56" s="483" t="n"/>
      <c r="I56" s="483" t="n"/>
      <c r="J56" s="483" t="n"/>
      <c r="K56" s="483" t="n"/>
      <c r="L56" s="483" t="n"/>
      <c r="M56" s="483" t="n"/>
      <c r="N56" s="483" t="n"/>
      <c r="O56" s="483" t="n"/>
      <c r="P56" s="483" t="n"/>
      <c r="Q56" s="483" t="n"/>
      <c r="R56" s="483" t="n"/>
      <c r="S56" s="483" t="n"/>
      <c r="T56" s="483" t="n"/>
      <c r="U56" s="483" t="n"/>
      <c r="V56" s="483" t="n"/>
      <c r="W56" s="483" t="n"/>
      <c r="X56" s="28" t="n"/>
      <c r="Y56" s="483" t="n"/>
      <c r="Z56" s="483" t="n"/>
      <c r="AA56" s="483" t="n"/>
      <c r="AB56" s="483" t="n"/>
      <c r="AC56" s="483" t="n"/>
      <c r="AD56" s="483" t="n"/>
      <c r="AE56" s="483" t="n"/>
      <c r="AF56" s="483" t="n"/>
      <c r="AG56" s="483" t="n"/>
      <c r="AH56" s="483" t="n"/>
      <c r="AI56" s="483" t="n"/>
    </row>
    <row r="57">
      <c r="B57" s="484" t="inlineStr">
        <is>
          <t>Feline 3</t>
        </is>
      </c>
      <c r="C57" s="482" t="inlineStr">
        <is>
          <t>Mean</t>
        </is>
      </c>
      <c r="D57" s="484" t="n"/>
      <c r="E57" s="484" t="n"/>
      <c r="F57" s="484" t="n"/>
      <c r="G57" s="484" t="n"/>
      <c r="H57" s="484" t="n"/>
      <c r="I57" s="484" t="n"/>
      <c r="J57" s="484" t="n"/>
      <c r="K57" s="484" t="n"/>
      <c r="L57" s="484" t="n"/>
      <c r="M57" s="484" t="n"/>
      <c r="N57" s="484" t="n"/>
      <c r="O57" s="484" t="n"/>
      <c r="P57" s="484" t="n"/>
      <c r="Q57" s="484" t="n"/>
      <c r="R57" s="484" t="n"/>
      <c r="S57" s="484" t="n"/>
      <c r="T57" s="484" t="n"/>
      <c r="U57" s="484" t="n"/>
      <c r="V57" s="484" t="n"/>
      <c r="W57" s="484" t="n"/>
      <c r="Y57" s="484" t="n"/>
      <c r="Z57" s="484" t="n"/>
      <c r="AA57" s="484" t="n"/>
      <c r="AB57" s="484" t="n"/>
      <c r="AC57" s="484" t="n"/>
      <c r="AD57" s="484" t="n"/>
      <c r="AE57" s="484" t="n"/>
      <c r="AF57" s="484" t="n"/>
      <c r="AG57" s="484" t="n"/>
      <c r="AH57" s="484" t="n"/>
      <c r="AI57" s="484" t="n"/>
    </row>
    <row r="58">
      <c r="B58" s="484" t="inlineStr">
        <is>
          <t>Feline 3</t>
        </is>
      </c>
      <c r="C58" s="482" t="inlineStr">
        <is>
          <t>Bias</t>
        </is>
      </c>
      <c r="D58" s="484" t="n"/>
      <c r="E58" s="484" t="n"/>
      <c r="F58" s="484" t="n"/>
      <c r="G58" s="484" t="n"/>
      <c r="H58" s="484" t="n"/>
      <c r="I58" s="484" t="n"/>
      <c r="J58" s="484" t="n"/>
      <c r="K58" s="484" t="n"/>
      <c r="L58" s="484" t="n"/>
      <c r="M58" s="484" t="n"/>
      <c r="N58" s="484" t="n"/>
      <c r="O58" s="484" t="n"/>
      <c r="P58" s="484" t="n"/>
      <c r="Q58" s="484" t="n"/>
      <c r="R58" s="484" t="n"/>
      <c r="S58" s="484" t="n"/>
      <c r="T58" s="484" t="n"/>
      <c r="U58" s="484" t="n"/>
      <c r="V58" s="484" t="n"/>
      <c r="W58" s="484" t="n"/>
      <c r="Y58" s="484" t="n"/>
      <c r="Z58" s="484" t="n"/>
      <c r="AA58" s="484" t="n"/>
      <c r="AB58" s="484" t="n"/>
      <c r="AC58" s="484" t="n"/>
      <c r="AD58" s="484" t="n"/>
      <c r="AE58" s="484" t="n"/>
      <c r="AF58" s="484" t="n"/>
      <c r="AG58" s="484" t="n"/>
      <c r="AH58" s="484" t="n"/>
      <c r="AI58" s="484" t="n"/>
    </row>
    <row r="59">
      <c r="B59" s="484" t="inlineStr">
        <is>
          <t>Feline 3</t>
        </is>
      </c>
      <c r="C59" s="482" t="inlineStr">
        <is>
          <t>CV%</t>
        </is>
      </c>
      <c r="D59" s="484" t="n"/>
      <c r="E59" s="484" t="n"/>
      <c r="F59" s="484" t="n"/>
      <c r="G59" s="484" t="n"/>
      <c r="H59" s="484" t="n"/>
      <c r="I59" s="484" t="n"/>
      <c r="J59" s="484" t="n"/>
      <c r="K59" s="484" t="n"/>
      <c r="L59" s="484" t="n"/>
      <c r="M59" s="484" t="n"/>
      <c r="N59" s="484" t="n"/>
      <c r="O59" s="484" t="n"/>
      <c r="P59" s="484" t="n"/>
      <c r="Q59" s="484" t="n"/>
      <c r="R59" s="484" t="n"/>
      <c r="S59" s="484" t="n"/>
      <c r="T59" s="484" t="n"/>
      <c r="U59" s="484" t="n"/>
      <c r="V59" s="484" t="n"/>
      <c r="W59" s="484" t="n"/>
      <c r="Y59" s="484" t="n"/>
      <c r="Z59" s="484" t="n"/>
      <c r="AA59" s="484" t="n"/>
      <c r="AB59" s="484" t="n"/>
      <c r="AC59" s="484" t="n"/>
      <c r="AD59" s="484" t="n"/>
      <c r="AE59" s="484" t="n"/>
      <c r="AF59" s="484" t="n"/>
      <c r="AG59" s="484" t="n"/>
      <c r="AH59" s="484" t="n"/>
      <c r="AI59" s="484" t="n"/>
    </row>
    <row r="60">
      <c r="B60" s="484" t="inlineStr">
        <is>
          <t>Equine 1</t>
        </is>
      </c>
      <c r="C60" s="482" t="inlineStr">
        <is>
          <t>Mean</t>
        </is>
      </c>
      <c r="D60" s="484" t="n"/>
      <c r="E60" s="484" t="n"/>
      <c r="F60" s="484" t="n"/>
      <c r="G60" s="484" t="n"/>
      <c r="H60" s="484" t="n"/>
      <c r="I60" s="484" t="n"/>
      <c r="J60" s="484" t="n"/>
      <c r="K60" s="484" t="n"/>
      <c r="L60" s="484" t="n"/>
      <c r="M60" s="484" t="n"/>
      <c r="N60" s="484" t="n"/>
      <c r="O60" s="484" t="n"/>
      <c r="P60" s="484" t="n"/>
      <c r="Q60" s="484" t="n"/>
      <c r="R60" s="484" t="n"/>
      <c r="S60" s="484" t="n"/>
      <c r="T60" s="484" t="n"/>
      <c r="U60" s="484" t="n"/>
      <c r="V60" s="484" t="n"/>
      <c r="W60" s="484" t="n"/>
      <c r="Y60" s="484" t="n"/>
      <c r="Z60" s="484" t="n"/>
      <c r="AA60" s="484" t="n"/>
      <c r="AB60" s="484" t="n"/>
      <c r="AC60" s="484" t="n"/>
      <c r="AD60" s="484" t="n"/>
      <c r="AE60" s="484" t="n"/>
      <c r="AF60" s="484" t="n"/>
      <c r="AG60" s="484" t="n"/>
      <c r="AH60" s="484" t="n"/>
      <c r="AI60" s="484" t="n"/>
    </row>
    <row r="61">
      <c r="B61" s="484" t="inlineStr">
        <is>
          <t>Equine 1</t>
        </is>
      </c>
      <c r="C61" s="482" t="inlineStr">
        <is>
          <t>Bias</t>
        </is>
      </c>
      <c r="D61" s="484" t="n"/>
      <c r="E61" s="484" t="n"/>
      <c r="F61" s="484" t="n"/>
      <c r="G61" s="484" t="n"/>
      <c r="H61" s="484" t="n"/>
      <c r="I61" s="484" t="n"/>
      <c r="J61" s="484" t="n"/>
      <c r="K61" s="484" t="n"/>
      <c r="L61" s="484" t="n"/>
      <c r="M61" s="484" t="n"/>
      <c r="N61" s="484" t="n"/>
      <c r="O61" s="484" t="n"/>
      <c r="P61" s="484" t="n"/>
      <c r="Q61" s="484" t="n"/>
      <c r="R61" s="484" t="n"/>
      <c r="S61" s="484" t="n"/>
      <c r="T61" s="484" t="n"/>
      <c r="U61" s="484" t="n"/>
      <c r="V61" s="484" t="n"/>
      <c r="W61" s="484" t="n"/>
      <c r="Y61" s="484" t="n"/>
      <c r="Z61" s="484" t="n"/>
      <c r="AA61" s="484" t="n"/>
      <c r="AB61" s="484" t="n"/>
      <c r="AC61" s="484" t="n"/>
      <c r="AD61" s="484" t="n"/>
      <c r="AE61" s="484" t="n"/>
      <c r="AF61" s="484" t="n"/>
      <c r="AG61" s="484" t="n"/>
      <c r="AH61" s="484" t="n"/>
      <c r="AI61" s="484" t="n"/>
    </row>
    <row r="62">
      <c r="B62" s="484" t="inlineStr">
        <is>
          <t>Equine 1</t>
        </is>
      </c>
      <c r="C62" s="482" t="inlineStr">
        <is>
          <t>CV%</t>
        </is>
      </c>
      <c r="D62" s="484" t="n"/>
      <c r="E62" s="484" t="n"/>
      <c r="F62" s="484" t="n"/>
      <c r="G62" s="484" t="n"/>
      <c r="H62" s="484" t="n"/>
      <c r="I62" s="484" t="n"/>
      <c r="J62" s="484" t="n"/>
      <c r="K62" s="484" t="n"/>
      <c r="L62" s="484" t="n"/>
      <c r="M62" s="484" t="n"/>
      <c r="N62" s="484" t="n"/>
      <c r="O62" s="484" t="n"/>
      <c r="P62" s="484" t="n"/>
      <c r="Q62" s="484" t="n"/>
      <c r="R62" s="484" t="n"/>
      <c r="S62" s="484" t="n"/>
      <c r="T62" s="484" t="n"/>
      <c r="U62" s="484" t="n"/>
      <c r="V62" s="484" t="n"/>
      <c r="W62" s="484" t="n"/>
      <c r="Y62" s="484" t="n"/>
      <c r="Z62" s="484" t="n"/>
      <c r="AA62" s="484" t="n"/>
      <c r="AB62" s="484" t="n"/>
      <c r="AC62" s="484" t="n"/>
      <c r="AD62" s="484" t="n"/>
      <c r="AE62" s="484" t="n"/>
      <c r="AF62" s="484" t="n"/>
      <c r="AG62" s="484" t="n"/>
      <c r="AH62" s="484" t="n"/>
      <c r="AI62" s="484" t="n"/>
    </row>
    <row r="63">
      <c r="A63" s="28" t="n"/>
      <c r="B63" s="483" t="inlineStr">
        <is>
          <t>Equine 2</t>
        </is>
      </c>
      <c r="C63" s="27" t="inlineStr">
        <is>
          <t>Mean</t>
        </is>
      </c>
      <c r="D63" s="483" t="n"/>
      <c r="E63" s="483" t="n"/>
      <c r="F63" s="483" t="n"/>
      <c r="G63" s="483" t="n"/>
      <c r="H63" s="483" t="n"/>
      <c r="I63" s="483" t="n"/>
      <c r="J63" s="483" t="n"/>
      <c r="K63" s="483" t="n"/>
      <c r="L63" s="483" t="n"/>
      <c r="M63" s="483" t="n"/>
      <c r="N63" s="483" t="n"/>
      <c r="O63" s="483" t="n"/>
      <c r="P63" s="483" t="n"/>
      <c r="Q63" s="483" t="n"/>
      <c r="R63" s="483" t="n"/>
      <c r="S63" s="483" t="n"/>
      <c r="T63" s="483" t="n"/>
      <c r="U63" s="483" t="n"/>
      <c r="V63" s="483" t="n"/>
      <c r="W63" s="483" t="n"/>
      <c r="X63" s="28" t="n"/>
      <c r="Y63" s="483" t="n"/>
      <c r="Z63" s="483" t="n"/>
      <c r="AA63" s="483" t="n"/>
      <c r="AB63" s="483" t="n"/>
      <c r="AC63" s="483" t="n"/>
      <c r="AD63" s="483" t="n"/>
      <c r="AE63" s="483" t="n"/>
      <c r="AF63" s="483" t="n"/>
      <c r="AG63" s="483" t="n"/>
      <c r="AH63" s="483" t="n"/>
      <c r="AI63" s="483" t="n"/>
    </row>
    <row r="64">
      <c r="A64" s="28" t="n"/>
      <c r="B64" s="483" t="inlineStr">
        <is>
          <t>Equine 2</t>
        </is>
      </c>
      <c r="C64" s="27" t="inlineStr">
        <is>
          <t>Bias</t>
        </is>
      </c>
      <c r="D64" s="483" t="n"/>
      <c r="E64" s="483" t="n"/>
      <c r="F64" s="483" t="n"/>
      <c r="G64" s="483" t="n"/>
      <c r="H64" s="483" t="n"/>
      <c r="I64" s="483" t="n"/>
      <c r="J64" s="483" t="n"/>
      <c r="K64" s="483" t="n"/>
      <c r="L64" s="483" t="n"/>
      <c r="M64" s="483" t="n"/>
      <c r="N64" s="483" t="n"/>
      <c r="O64" s="483" t="n"/>
      <c r="P64" s="483" t="n"/>
      <c r="Q64" s="483" t="n"/>
      <c r="R64" s="483" t="n"/>
      <c r="S64" s="483" t="n"/>
      <c r="T64" s="483" t="n"/>
      <c r="U64" s="483" t="n"/>
      <c r="V64" s="483" t="n"/>
      <c r="W64" s="483" t="n"/>
      <c r="X64" s="28" t="n"/>
      <c r="Y64" s="483" t="n"/>
      <c r="Z64" s="483" t="n"/>
      <c r="AA64" s="483" t="n"/>
      <c r="AB64" s="483" t="n"/>
      <c r="AC64" s="483" t="n"/>
      <c r="AD64" s="483" t="n"/>
      <c r="AE64" s="483" t="n"/>
      <c r="AF64" s="483" t="n"/>
      <c r="AG64" s="483" t="n"/>
      <c r="AH64" s="483" t="n"/>
      <c r="AI64" s="483" t="n"/>
    </row>
    <row r="65">
      <c r="A65" s="28" t="n"/>
      <c r="B65" s="483" t="inlineStr">
        <is>
          <t>Equine 2</t>
        </is>
      </c>
      <c r="C65" s="27" t="inlineStr">
        <is>
          <t>CV%</t>
        </is>
      </c>
      <c r="D65" s="483" t="n"/>
      <c r="E65" s="483" t="n"/>
      <c r="F65" s="483" t="n"/>
      <c r="G65" s="483" t="n"/>
      <c r="H65" s="483" t="n"/>
      <c r="I65" s="483" t="n"/>
      <c r="J65" s="483" t="n"/>
      <c r="K65" s="483" t="n"/>
      <c r="L65" s="483" t="n"/>
      <c r="M65" s="483" t="n"/>
      <c r="N65" s="483" t="n"/>
      <c r="O65" s="483" t="n"/>
      <c r="P65" s="483" t="n"/>
      <c r="Q65" s="483" t="n"/>
      <c r="R65" s="483" t="n"/>
      <c r="S65" s="483" t="n"/>
      <c r="T65" s="483" t="n"/>
      <c r="U65" s="483" t="n"/>
      <c r="V65" s="483" t="n"/>
      <c r="W65" s="483" t="n"/>
      <c r="X65" s="28" t="n"/>
      <c r="Y65" s="483" t="n"/>
      <c r="Z65" s="483" t="n"/>
      <c r="AA65" s="483" t="n"/>
      <c r="AB65" s="483" t="n"/>
      <c r="AC65" s="483" t="n"/>
      <c r="AD65" s="483" t="n"/>
      <c r="AE65" s="483" t="n"/>
      <c r="AF65" s="483" t="n"/>
      <c r="AG65" s="483" t="n"/>
      <c r="AH65" s="483" t="n"/>
      <c r="AI65" s="483" t="n"/>
    </row>
    <row r="66">
      <c r="B66" s="484" t="inlineStr">
        <is>
          <t>Equine 3</t>
        </is>
      </c>
      <c r="C66" s="482" t="inlineStr">
        <is>
          <t>Mean</t>
        </is>
      </c>
      <c r="D66" s="484" t="n"/>
      <c r="E66" s="484" t="n"/>
      <c r="F66" s="484" t="n"/>
      <c r="G66" s="484" t="n"/>
      <c r="H66" s="484" t="n"/>
      <c r="I66" s="484" t="n"/>
      <c r="J66" s="484" t="n"/>
      <c r="K66" s="484" t="n"/>
      <c r="L66" s="484" t="n"/>
      <c r="M66" s="484" t="n"/>
      <c r="N66" s="484" t="n"/>
      <c r="O66" s="484" t="n"/>
      <c r="P66" s="484" t="n"/>
      <c r="Q66" s="484" t="n"/>
      <c r="R66" s="484" t="n"/>
      <c r="S66" s="484" t="n"/>
      <c r="T66" s="484" t="n"/>
      <c r="U66" s="484" t="n"/>
      <c r="V66" s="484" t="n"/>
      <c r="W66" s="484" t="n"/>
      <c r="Y66" s="484" t="n"/>
      <c r="Z66" s="484" t="n"/>
      <c r="AA66" s="484" t="n"/>
      <c r="AB66" s="484" t="n"/>
      <c r="AC66" s="484" t="n"/>
      <c r="AD66" s="484" t="n"/>
      <c r="AE66" s="484" t="n"/>
      <c r="AF66" s="484" t="n"/>
      <c r="AG66" s="484" t="n"/>
      <c r="AH66" s="484" t="n"/>
      <c r="AI66" s="484" t="n"/>
    </row>
    <row r="67">
      <c r="B67" s="484" t="inlineStr">
        <is>
          <t>Equine 3</t>
        </is>
      </c>
      <c r="C67" s="482" t="inlineStr">
        <is>
          <t>Bias</t>
        </is>
      </c>
      <c r="D67" s="484" t="n"/>
      <c r="E67" s="484" t="n"/>
      <c r="F67" s="484" t="n"/>
      <c r="G67" s="484" t="n"/>
      <c r="H67" s="484" t="n"/>
      <c r="I67" s="484" t="n"/>
      <c r="J67" s="484" t="n"/>
      <c r="K67" s="484" t="n"/>
      <c r="L67" s="484" t="n"/>
      <c r="M67" s="484" t="n"/>
      <c r="N67" s="484" t="n"/>
      <c r="O67" s="484" t="n"/>
      <c r="P67" s="484" t="n"/>
      <c r="Q67" s="484" t="n"/>
      <c r="R67" s="484" t="n"/>
      <c r="S67" s="484" t="n"/>
      <c r="T67" s="484" t="n"/>
      <c r="U67" s="484" t="n"/>
      <c r="V67" s="484" t="n"/>
      <c r="W67" s="484" t="n"/>
      <c r="Y67" s="484" t="n"/>
      <c r="Z67" s="484" t="n"/>
      <c r="AA67" s="484" t="n"/>
      <c r="AB67" s="484" t="n"/>
      <c r="AC67" s="484" t="n"/>
      <c r="AD67" s="484" t="n"/>
      <c r="AE67" s="484" t="n"/>
      <c r="AF67" s="484" t="n"/>
      <c r="AG67" s="484" t="n"/>
      <c r="AH67" s="484" t="n"/>
      <c r="AI67" s="484" t="n"/>
    </row>
    <row r="68">
      <c r="B68" s="484" t="inlineStr">
        <is>
          <t>Equine 3</t>
        </is>
      </c>
      <c r="C68" s="482" t="inlineStr">
        <is>
          <t>CV%</t>
        </is>
      </c>
      <c r="D68" s="484" t="n"/>
      <c r="E68" s="484" t="n"/>
      <c r="F68" s="484" t="n"/>
      <c r="G68" s="484" t="n"/>
      <c r="H68" s="484" t="n"/>
      <c r="I68" s="484" t="n"/>
      <c r="J68" s="484" t="n"/>
      <c r="K68" s="484" t="n"/>
      <c r="L68" s="484" t="n"/>
      <c r="M68" s="484" t="n"/>
      <c r="N68" s="484" t="n"/>
      <c r="O68" s="484" t="n"/>
      <c r="P68" s="484" t="n"/>
      <c r="Q68" s="484" t="n"/>
      <c r="R68" s="484" t="n"/>
      <c r="S68" s="484" t="n"/>
      <c r="T68" s="484" t="n"/>
      <c r="U68" s="484" t="n"/>
      <c r="V68" s="484" t="n"/>
      <c r="W68" s="484" t="n"/>
      <c r="Y68" s="484" t="n"/>
      <c r="Z68" s="484" t="n"/>
      <c r="AA68" s="484" t="n"/>
      <c r="AB68" s="484" t="n"/>
      <c r="AC68" s="484" t="n"/>
      <c r="AD68" s="484" t="n"/>
      <c r="AE68" s="484" t="n"/>
      <c r="AF68" s="484" t="n"/>
      <c r="AG68" s="484" t="n"/>
      <c r="AH68" s="484" t="n"/>
      <c r="AI68" s="484" t="n"/>
    </row>
  </sheetData>
  <mergeCells count="1">
    <mergeCell ref="B20:B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K95"/>
  <sheetViews>
    <sheetView zoomScale="70" zoomScaleNormal="70" workbookViewId="0">
      <selection activeCell="E3" sqref="E3:F3"/>
    </sheetView>
  </sheetViews>
  <sheetFormatPr baseColWidth="8" defaultRowHeight="15" customHeight="1"/>
  <cols>
    <col width="11.25" customWidth="1" min="2" max="2"/>
    <col width="11.125" customWidth="1" min="3" max="4"/>
    <col width="11.125" customWidth="1" style="20" min="5" max="24"/>
    <col width="11.125" customWidth="1" min="25" max="36"/>
    <col width="16.875" customWidth="1" min="37" max="37"/>
  </cols>
  <sheetData>
    <row r="2" ht="16.5" customHeight="1">
      <c r="C2" t="inlineStr">
        <is>
          <t>Conc.</t>
        </is>
      </c>
      <c r="Z2" t="inlineStr">
        <is>
          <t>OD</t>
        </is>
      </c>
    </row>
    <row r="3" ht="16.5" customHeight="1">
      <c r="B3" s="17" t="inlineStr">
        <is>
          <t>Control Type</t>
        </is>
      </c>
      <c r="C3" s="18" t="n"/>
      <c r="D3" s="3" t="n"/>
      <c r="E3" s="484" t="inlineStr">
        <is>
          <t>ALB</t>
        </is>
      </c>
      <c r="F3" s="3" t="n"/>
      <c r="G3" s="484" t="inlineStr">
        <is>
          <t>BUN</t>
        </is>
      </c>
      <c r="H3" s="3" t="n"/>
      <c r="I3" s="484" t="inlineStr">
        <is>
          <t>CREA</t>
        </is>
      </c>
      <c r="J3" s="3" t="n"/>
      <c r="K3" s="484" t="inlineStr">
        <is>
          <t>GLU</t>
        </is>
      </c>
      <c r="L3" s="3" t="n"/>
      <c r="M3" s="484" t="inlineStr">
        <is>
          <t>TP</t>
        </is>
      </c>
      <c r="N3" s="3" t="n"/>
      <c r="O3" s="484" t="inlineStr">
        <is>
          <t>marker 6</t>
        </is>
      </c>
      <c r="P3" s="3" t="n"/>
      <c r="Q3" s="484" t="inlineStr">
        <is>
          <t>marker 7</t>
        </is>
      </c>
      <c r="R3" s="3" t="n"/>
      <c r="S3" s="484" t="inlineStr">
        <is>
          <t>marker 8</t>
        </is>
      </c>
      <c r="T3" s="3" t="n"/>
      <c r="U3" s="484" t="inlineStr">
        <is>
          <t>marker 9</t>
        </is>
      </c>
      <c r="V3" s="3" t="n"/>
      <c r="W3" s="484" t="inlineStr">
        <is>
          <t>marker 10</t>
        </is>
      </c>
      <c r="X3" s="3" t="n"/>
      <c r="Z3" s="1" t="n"/>
      <c r="AA3" s="1" t="inlineStr">
        <is>
          <t>ALB</t>
        </is>
      </c>
      <c r="AB3" s="1" t="inlineStr">
        <is>
          <t>BUN</t>
        </is>
      </c>
      <c r="AC3" s="1" t="inlineStr">
        <is>
          <t>CREA</t>
        </is>
      </c>
      <c r="AD3" s="1" t="inlineStr">
        <is>
          <t>GLU</t>
        </is>
      </c>
      <c r="AE3" s="1" t="inlineStr">
        <is>
          <t>TP</t>
        </is>
      </c>
      <c r="AF3" s="1" t="inlineStr">
        <is>
          <t>marker 6</t>
        </is>
      </c>
      <c r="AG3" s="1" t="inlineStr">
        <is>
          <t>marker 7</t>
        </is>
      </c>
      <c r="AH3" s="1" t="inlineStr">
        <is>
          <t>marker 8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7" t="n"/>
      <c r="C4" s="18" t="n"/>
      <c r="D4" s="30" t="n"/>
      <c r="E4" s="478" t="inlineStr">
        <is>
          <t>ALB(原線)</t>
        </is>
      </c>
      <c r="F4" s="31" t="inlineStr">
        <is>
          <t>ALB
換線後</t>
        </is>
      </c>
      <c r="G4" s="478" t="inlineStr">
        <is>
          <t>BUN(原線)</t>
        </is>
      </c>
      <c r="H4" s="31" t="inlineStr">
        <is>
          <t>BUN
換線後</t>
        </is>
      </c>
      <c r="I4" s="478" t="inlineStr">
        <is>
          <t>CREA(原線)</t>
        </is>
      </c>
      <c r="J4" s="31" t="inlineStr">
        <is>
          <t>CREA
換線後</t>
        </is>
      </c>
      <c r="K4" s="478" t="inlineStr">
        <is>
          <t>GLU(原線)</t>
        </is>
      </c>
      <c r="L4" s="31" t="inlineStr">
        <is>
          <t>GLU
換線後</t>
        </is>
      </c>
      <c r="M4" s="478" t="inlineStr">
        <is>
          <t>TP(原線)</t>
        </is>
      </c>
      <c r="N4" s="31" t="inlineStr">
        <is>
          <t>TP
換線後</t>
        </is>
      </c>
      <c r="O4" s="478" t="inlineStr">
        <is>
          <t>marker 6(原線)</t>
        </is>
      </c>
      <c r="P4" s="31" t="inlineStr">
        <is>
          <t>marker 6
換線後</t>
        </is>
      </c>
      <c r="Q4" s="478" t="inlineStr">
        <is>
          <t>marker 7(原線)</t>
        </is>
      </c>
      <c r="R4" s="31" t="inlineStr">
        <is>
          <t>marker 7
換線後</t>
        </is>
      </c>
      <c r="S4" s="478" t="inlineStr">
        <is>
          <t>marker 8(原線)</t>
        </is>
      </c>
      <c r="T4" s="31" t="inlineStr">
        <is>
          <t>marker 8
換線後</t>
        </is>
      </c>
      <c r="U4" s="478" t="inlineStr">
        <is>
          <t>marker 9(原線)</t>
        </is>
      </c>
      <c r="V4" s="31" t="inlineStr">
        <is>
          <t>marker 9
換線後</t>
        </is>
      </c>
      <c r="W4" s="478" t="inlineStr">
        <is>
          <t>marker 10(原線)</t>
        </is>
      </c>
      <c r="X4" s="31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 ht="16.5" customHeight="1">
      <c r="B5" s="2" t="n"/>
      <c r="C5" s="1" t="n"/>
      <c r="D5" s="15" t="n"/>
      <c r="E5" s="484" t="n">
        <v>8</v>
      </c>
      <c r="F5" s="33" t="n"/>
      <c r="G5" s="484" t="n">
        <v>9</v>
      </c>
      <c r="H5" s="33" t="n"/>
      <c r="I5" s="484" t="n">
        <v>10</v>
      </c>
      <c r="J5" s="33" t="n"/>
      <c r="K5" s="484" t="n">
        <v>8</v>
      </c>
      <c r="L5" s="33" t="n"/>
      <c r="M5" s="484" t="n">
        <v>8</v>
      </c>
      <c r="N5" s="33" t="n"/>
      <c r="O5" s="484" t="n"/>
      <c r="P5" s="33" t="n"/>
      <c r="Q5" s="484" t="n"/>
      <c r="R5" s="33" t="n"/>
      <c r="S5" s="484" t="n"/>
      <c r="T5" s="33" t="n"/>
      <c r="U5" s="484" t="n"/>
      <c r="V5" s="33" t="n"/>
      <c r="W5" s="484" t="n"/>
      <c r="X5" s="33" t="n"/>
      <c r="Z5" s="15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3" t="n"/>
    </row>
    <row r="6" ht="16.5" customHeight="1">
      <c r="B6" s="2" t="n"/>
      <c r="C6" s="1" t="n"/>
      <c r="D6" s="16" t="n"/>
      <c r="E6" s="32" t="n">
        <v>4.2</v>
      </c>
      <c r="F6" s="34" t="n"/>
      <c r="G6" s="32" t="n">
        <v>65.7</v>
      </c>
      <c r="H6" s="34" t="n"/>
      <c r="I6" s="32" t="n">
        <v>5.95</v>
      </c>
      <c r="J6" s="34" t="n"/>
      <c r="K6" s="32" t="n">
        <v>359.66</v>
      </c>
      <c r="L6" s="34" t="n"/>
      <c r="M6" s="32" t="n">
        <v>7.5</v>
      </c>
      <c r="N6" s="34" t="n"/>
      <c r="O6" s="32" t="n"/>
      <c r="P6" s="34" t="n"/>
      <c r="Q6" s="32" t="n"/>
      <c r="R6" s="34" t="n"/>
      <c r="S6" s="32" t="n"/>
      <c r="T6" s="34" t="n"/>
      <c r="U6" s="32" t="n"/>
      <c r="V6" s="34" t="n"/>
      <c r="W6" s="32" t="n"/>
      <c r="X6" s="34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3" t="n"/>
    </row>
    <row r="7" ht="16.5" customHeight="1">
      <c r="B7" s="2" t="n"/>
      <c r="C7" s="1" t="n"/>
      <c r="D7" s="16" t="n"/>
      <c r="E7" s="484" t="n">
        <v>-29.4</v>
      </c>
      <c r="F7" s="33" t="n"/>
      <c r="G7" s="484" t="n">
        <v>-525.6</v>
      </c>
      <c r="H7" s="33" t="n"/>
      <c r="I7" s="484" t="n">
        <v>-53.55</v>
      </c>
      <c r="J7" s="33" t="n"/>
      <c r="K7" s="484" t="n">
        <v>-2517.62</v>
      </c>
      <c r="L7" s="33" t="n"/>
      <c r="M7" s="484" t="n">
        <v>-52.5</v>
      </c>
      <c r="N7" s="33" t="n"/>
      <c r="O7" s="484" t="n"/>
      <c r="P7" s="33" t="n"/>
      <c r="Q7" s="484" t="n"/>
      <c r="R7" s="33" t="n"/>
      <c r="S7" s="484" t="n"/>
      <c r="T7" s="33" t="n"/>
      <c r="U7" s="484" t="n"/>
      <c r="V7" s="33" t="n"/>
      <c r="W7" s="484" t="n"/>
      <c r="X7" s="33" t="n"/>
      <c r="Z7" s="16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3" t="n"/>
    </row>
    <row r="8" ht="16.5" customHeight="1">
      <c r="B8" s="17" t="n"/>
      <c r="C8" s="1" t="n"/>
      <c r="D8" s="16" t="n"/>
      <c r="E8" s="484" t="n">
        <v>37.8</v>
      </c>
      <c r="F8" s="33" t="n"/>
      <c r="G8" s="484" t="n">
        <v>657</v>
      </c>
      <c r="H8" s="33" t="n"/>
      <c r="I8" s="484" t="n">
        <v>65.45</v>
      </c>
      <c r="J8" s="33" t="n"/>
      <c r="K8" s="484" t="n">
        <v>3236.94</v>
      </c>
      <c r="L8" s="33" t="n"/>
      <c r="M8" s="484" t="n">
        <v>67.5</v>
      </c>
      <c r="N8" s="33" t="n"/>
      <c r="O8" s="484" t="n"/>
      <c r="P8" s="33" t="n"/>
      <c r="Q8" s="484" t="n"/>
      <c r="R8" s="33" t="n"/>
      <c r="S8" s="484" t="n"/>
      <c r="T8" s="33" t="n"/>
      <c r="U8" s="484" t="n"/>
      <c r="V8" s="33" t="n"/>
      <c r="W8" s="484" t="n"/>
      <c r="X8" s="33" t="n"/>
      <c r="Z8" s="16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3" t="n"/>
    </row>
    <row r="9" ht="15.75" customHeight="1">
      <c r="B9" s="484" t="inlineStr">
        <is>
          <t>Control 1</t>
        </is>
      </c>
      <c r="C9" s="19" t="inlineStr">
        <is>
          <t>Mean</t>
        </is>
      </c>
      <c r="D9" s="3" t="n"/>
      <c r="E9" s="484" t="n">
        <v>4.063</v>
      </c>
      <c r="F9" s="35" t="n"/>
      <c r="G9" s="484" t="n">
        <v>14.676</v>
      </c>
      <c r="H9" s="35" t="n"/>
      <c r="I9" s="484" t="n">
        <v>1.239</v>
      </c>
      <c r="J9" s="35" t="n"/>
      <c r="K9" s="484" t="n">
        <v>91.857</v>
      </c>
      <c r="L9" s="35" t="n"/>
      <c r="M9" s="484" t="n">
        <v>6.551</v>
      </c>
      <c r="N9" s="35" t="n"/>
      <c r="O9" s="484" t="n"/>
      <c r="P9" s="35" t="n"/>
      <c r="Q9" s="484" t="n"/>
      <c r="R9" s="35" t="n"/>
      <c r="S9" s="484" t="n"/>
      <c r="T9" s="35" t="n"/>
      <c r="U9" s="484" t="n"/>
      <c r="V9" s="35" t="n"/>
      <c r="W9" s="484" t="n"/>
      <c r="X9" s="35" t="n"/>
      <c r="Z9" s="1" t="n"/>
      <c r="AA9" s="1" t="n">
        <v>2.6462</v>
      </c>
      <c r="AB9" s="1" t="n">
        <v>0.155</v>
      </c>
      <c r="AC9" s="1" t="n">
        <v>0.0555</v>
      </c>
      <c r="AD9" s="1" t="n">
        <v>0.6125</v>
      </c>
      <c r="AE9" s="1" t="n">
        <v>0.6977</v>
      </c>
      <c r="AF9" s="1" t="n"/>
      <c r="AG9" s="1" t="n"/>
      <c r="AH9" s="1" t="n"/>
      <c r="AI9" s="1" t="n"/>
      <c r="AJ9" s="13" t="n"/>
    </row>
    <row r="10" ht="15.75" customHeight="1">
      <c r="B10" s="567" t="n"/>
      <c r="C10" s="3" t="inlineStr">
        <is>
          <t>Bias</t>
        </is>
      </c>
      <c r="D10" s="3" t="n"/>
      <c r="E10" s="484" t="n">
        <v>-3.26</v>
      </c>
      <c r="F10" s="35" t="n"/>
      <c r="G10" s="484" t="n">
        <v>-0.84</v>
      </c>
      <c r="H10" s="35" t="n"/>
      <c r="I10" s="484" t="n">
        <v>-17.38</v>
      </c>
      <c r="J10" s="35" t="n"/>
      <c r="K10" s="484" t="n">
        <v>1.88</v>
      </c>
      <c r="L10" s="35" t="n"/>
      <c r="M10" s="484" t="n">
        <v>2.36</v>
      </c>
      <c r="N10" s="35" t="n"/>
      <c r="O10" s="484" t="n"/>
      <c r="P10" s="35" t="n"/>
      <c r="Q10" s="484" t="n"/>
      <c r="R10" s="35" t="n"/>
      <c r="S10" s="484" t="n"/>
      <c r="T10" s="35" t="n"/>
      <c r="U10" s="484" t="n"/>
      <c r="V10" s="35" t="n"/>
      <c r="W10" s="484" t="n"/>
      <c r="X10" s="35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3" t="n"/>
    </row>
    <row r="11" ht="15.75" customHeight="1">
      <c r="B11" s="568" t="n"/>
      <c r="C11" s="3" t="inlineStr">
        <is>
          <t>CV%</t>
        </is>
      </c>
      <c r="D11" s="3" t="n"/>
      <c r="E11" s="484" t="n">
        <v>0.48</v>
      </c>
      <c r="F11" s="35" t="n"/>
      <c r="G11" s="484" t="n">
        <v>0.59</v>
      </c>
      <c r="H11" s="35" t="n"/>
      <c r="I11" s="484" t="n">
        <v>1.4</v>
      </c>
      <c r="J11" s="35" t="n"/>
      <c r="K11" s="484" t="n">
        <v>0.86</v>
      </c>
      <c r="L11" s="35" t="n"/>
      <c r="M11" s="484" t="n">
        <v>0.38</v>
      </c>
      <c r="N11" s="35" t="n"/>
      <c r="O11" s="484" t="n"/>
      <c r="P11" s="35" t="n"/>
      <c r="Q11" s="484" t="n"/>
      <c r="R11" s="35" t="n"/>
      <c r="S11" s="484" t="n"/>
      <c r="T11" s="35" t="n"/>
      <c r="U11" s="484" t="n"/>
      <c r="V11" s="35" t="n"/>
      <c r="W11" s="484" t="n"/>
      <c r="X11" s="35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3" t="n"/>
    </row>
    <row r="12" ht="16.5" customHeight="1">
      <c r="B12" s="483" t="inlineStr">
        <is>
          <t>Control 2</t>
        </is>
      </c>
      <c r="C12" s="3" t="inlineStr">
        <is>
          <t>Mean</t>
        </is>
      </c>
      <c r="D12" s="3" t="n"/>
      <c r="E12" s="484" t="n">
        <v>2.685</v>
      </c>
      <c r="F12" s="35" t="n"/>
      <c r="G12" s="484" t="n">
        <v>44.885</v>
      </c>
      <c r="H12" s="35" t="n"/>
      <c r="I12" s="484" t="n">
        <v>4.65</v>
      </c>
      <c r="J12" s="35" t="n"/>
      <c r="K12" s="484" t="n">
        <v>305.305</v>
      </c>
      <c r="L12" s="35" t="n"/>
      <c r="M12" s="484" t="n">
        <v>4.316</v>
      </c>
      <c r="N12" s="35" t="n"/>
      <c r="O12" s="484" t="n"/>
      <c r="P12" s="35" t="n"/>
      <c r="Q12" s="484" t="n"/>
      <c r="R12" s="35" t="n"/>
      <c r="S12" s="484" t="n"/>
      <c r="T12" s="35" t="n"/>
      <c r="U12" s="484" t="n"/>
      <c r="V12" s="35" t="n"/>
      <c r="W12" s="484" t="n"/>
      <c r="X12" s="35" t="n"/>
      <c r="Z12" s="1" t="n"/>
      <c r="AA12" s="1" t="n">
        <v>2.0921</v>
      </c>
      <c r="AB12" s="1" t="n">
        <v>0.4565</v>
      </c>
      <c r="AC12" s="1" t="n">
        <v>0.2284</v>
      </c>
      <c r="AD12" s="1" t="n">
        <v>1.8649</v>
      </c>
      <c r="AE12" s="1" t="n">
        <v>0.5359</v>
      </c>
      <c r="AF12" s="1" t="n"/>
      <c r="AG12" s="1" t="n"/>
      <c r="AH12" s="1" t="n"/>
      <c r="AI12" s="1" t="n"/>
      <c r="AJ12" s="13" t="n"/>
    </row>
    <row r="13" ht="15" customHeight="1">
      <c r="B13" s="567" t="n"/>
      <c r="C13" s="3" t="inlineStr">
        <is>
          <t>Bias</t>
        </is>
      </c>
      <c r="D13" s="3" t="n"/>
      <c r="E13" s="484" t="n">
        <v>-0.5600000000000001</v>
      </c>
      <c r="F13" s="35" t="n"/>
      <c r="G13" s="484" t="n">
        <v>0.41</v>
      </c>
      <c r="H13" s="35" t="n"/>
      <c r="I13" s="484" t="n">
        <v>-16.22</v>
      </c>
      <c r="J13" s="35" t="n"/>
      <c r="K13" s="484" t="n">
        <v>4.19</v>
      </c>
      <c r="L13" s="35" t="n"/>
      <c r="M13" s="484" t="n">
        <v>5.27</v>
      </c>
      <c r="N13" s="35" t="n"/>
      <c r="O13" s="484" t="n"/>
      <c r="P13" s="35" t="n"/>
      <c r="Q13" s="484" t="n"/>
      <c r="R13" s="35" t="n"/>
      <c r="S13" s="484" t="n"/>
      <c r="T13" s="35" t="n"/>
      <c r="U13" s="484" t="n"/>
      <c r="V13" s="35" t="n"/>
      <c r="W13" s="484" t="n"/>
      <c r="X13" s="35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3" t="n"/>
    </row>
    <row r="14" ht="15" customHeight="1">
      <c r="B14" s="567" t="n"/>
      <c r="C14" s="3" t="inlineStr">
        <is>
          <t>CV%</t>
        </is>
      </c>
      <c r="D14" s="3" t="n"/>
      <c r="E14" s="484" t="n">
        <v>0.17</v>
      </c>
      <c r="F14" s="35" t="n"/>
      <c r="G14" s="484" t="n">
        <v>0.03</v>
      </c>
      <c r="H14" s="35" t="n"/>
      <c r="I14" s="484" t="n">
        <v>0.97</v>
      </c>
      <c r="J14" s="35" t="n"/>
      <c r="K14" s="484" t="n">
        <v>0.8100000000000001</v>
      </c>
      <c r="L14" s="35" t="n"/>
      <c r="M14" s="484" t="n">
        <v>0.85</v>
      </c>
      <c r="N14" s="35" t="n"/>
      <c r="O14" s="484" t="n"/>
      <c r="P14" s="35" t="n"/>
      <c r="Q14" s="484" t="n"/>
      <c r="R14" s="35" t="n"/>
      <c r="S14" s="484" t="n"/>
      <c r="T14" s="35" t="n"/>
      <c r="U14" s="484" t="n"/>
      <c r="V14" s="35" t="n"/>
      <c r="W14" s="484" t="n"/>
      <c r="X14" s="35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3" t="n"/>
    </row>
    <row r="15" ht="15" customHeight="1">
      <c r="B15" s="568" t="n"/>
      <c r="C15" s="3" t="inlineStr">
        <is>
          <t>Mean</t>
        </is>
      </c>
      <c r="D15" s="3" t="n"/>
      <c r="E15" s="484" t="n">
        <v>2.492</v>
      </c>
      <c r="F15" s="35" t="n"/>
      <c r="G15" s="484" t="n">
        <v>14.959</v>
      </c>
      <c r="H15" s="35" t="n"/>
      <c r="I15" s="484" t="n">
        <v>0.6929999999999999</v>
      </c>
      <c r="J15" s="35" t="n"/>
      <c r="K15" s="484" t="n">
        <v>67.845</v>
      </c>
      <c r="L15" s="35" t="n"/>
      <c r="M15" s="484" t="n">
        <v>4.122</v>
      </c>
      <c r="N15" s="35" t="n"/>
      <c r="O15" s="484" t="n"/>
      <c r="P15" s="35" t="n"/>
      <c r="Q15" s="484" t="n"/>
      <c r="R15" s="35" t="n"/>
      <c r="S15" s="484" t="n"/>
      <c r="T15" s="35" t="n"/>
      <c r="U15" s="484" t="n"/>
      <c r="V15" s="35" t="n"/>
      <c r="W15" s="484" t="n"/>
      <c r="X15" s="35" t="n"/>
      <c r="Z15" s="1" t="n"/>
      <c r="AA15" s="1" t="n">
        <v>2.0031</v>
      </c>
      <c r="AB15" s="1" t="n">
        <v>0.1575</v>
      </c>
      <c r="AC15" s="1" t="n">
        <v>0.0274</v>
      </c>
      <c r="AD15" s="1" t="n">
        <v>0.4734</v>
      </c>
      <c r="AE15" s="1" t="n">
        <v>0.5202</v>
      </c>
      <c r="AF15" s="1" t="n"/>
      <c r="AG15" s="1" t="n"/>
      <c r="AH15" s="1" t="n"/>
      <c r="AI15" s="1" t="n"/>
      <c r="AJ15" s="13" t="n"/>
    </row>
    <row r="16" ht="15" customHeight="1">
      <c r="B16" s="484" t="inlineStr">
        <is>
          <t>Control 3</t>
        </is>
      </c>
      <c r="C16" s="3" t="inlineStr">
        <is>
          <t>Bias</t>
        </is>
      </c>
      <c r="D16" s="3" t="n"/>
      <c r="E16" s="484" t="n">
        <v>-4.17</v>
      </c>
      <c r="F16" s="35" t="n"/>
      <c r="G16" s="484" t="n">
        <v>1.77</v>
      </c>
      <c r="H16" s="35" t="n"/>
      <c r="I16" s="484" t="n">
        <v>-28.51</v>
      </c>
      <c r="J16" s="35" t="n"/>
      <c r="K16" s="484" t="n">
        <v>3.33</v>
      </c>
      <c r="L16" s="35" t="n"/>
      <c r="M16" s="484" t="n">
        <v>-1.87</v>
      </c>
      <c r="N16" s="35" t="n"/>
      <c r="O16" s="484" t="n"/>
      <c r="P16" s="35" t="n"/>
      <c r="Q16" s="484" t="n"/>
      <c r="R16" s="35" t="n"/>
      <c r="S16" s="484" t="n"/>
      <c r="T16" s="35" t="n"/>
      <c r="U16" s="484" t="n"/>
      <c r="V16" s="35" t="n"/>
      <c r="W16" s="484" t="n"/>
      <c r="X16" s="35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3" t="n"/>
    </row>
    <row r="17" ht="15" customHeight="1">
      <c r="B17" s="567" t="n"/>
      <c r="C17" s="3" t="inlineStr">
        <is>
          <t>CV%</t>
        </is>
      </c>
      <c r="D17" s="3" t="n"/>
      <c r="E17" s="484" t="n">
        <v>1.39</v>
      </c>
      <c r="F17" s="35" t="n"/>
      <c r="G17" s="484" t="n">
        <v>0.07000000000000001</v>
      </c>
      <c r="H17" s="35" t="n"/>
      <c r="I17" s="484" t="n">
        <v>2.61</v>
      </c>
      <c r="J17" s="35" t="n"/>
      <c r="K17" s="484" t="n">
        <v>1.82</v>
      </c>
      <c r="L17" s="35" t="n"/>
      <c r="M17" s="484" t="n">
        <v>0.66</v>
      </c>
      <c r="N17" s="35" t="n"/>
      <c r="O17" s="484" t="n"/>
      <c r="P17" s="35" t="n"/>
      <c r="Q17" s="484" t="n"/>
      <c r="R17" s="35" t="n"/>
      <c r="S17" s="484" t="n"/>
      <c r="T17" s="35" t="n"/>
      <c r="U17" s="484" t="n"/>
      <c r="V17" s="35" t="n"/>
      <c r="W17" s="484" t="n"/>
      <c r="X17" s="35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3" t="n"/>
    </row>
    <row r="18" ht="15" customHeight="1">
      <c r="B18" s="568" t="n"/>
      <c r="C18" s="3" t="inlineStr">
        <is>
          <t>Mean</t>
        </is>
      </c>
      <c r="D18" s="3" t="n"/>
      <c r="E18" s="484" t="n">
        <v>4.076</v>
      </c>
      <c r="F18" s="35" t="n"/>
      <c r="G18" s="484" t="n">
        <v>66.07899999999999</v>
      </c>
      <c r="H18" s="35" t="n"/>
      <c r="I18" s="484" t="n">
        <v>5.537</v>
      </c>
      <c r="J18" s="35" t="n"/>
      <c r="K18" s="484" t="n">
        <v>382.969</v>
      </c>
      <c r="L18" s="35" t="n"/>
      <c r="M18" s="484" t="n">
        <v>7.648</v>
      </c>
      <c r="N18" s="35" t="n"/>
      <c r="O18" s="484" t="n"/>
      <c r="P18" s="35" t="n"/>
      <c r="Q18" s="484" t="n"/>
      <c r="R18" s="35" t="n"/>
      <c r="S18" s="484" t="n"/>
      <c r="T18" s="35" t="n"/>
      <c r="U18" s="484" t="n"/>
      <c r="V18" s="35" t="n"/>
      <c r="W18" s="484" t="n"/>
      <c r="X18" s="35" t="n"/>
      <c r="Z18" s="1" t="n"/>
      <c r="AA18" s="1" t="n">
        <v>2.6436</v>
      </c>
      <c r="AB18" s="1" t="n">
        <v>0.6671</v>
      </c>
      <c r="AC18" s="1" t="n">
        <v>0.2484</v>
      </c>
      <c r="AD18" s="1" t="n">
        <v>2.2992</v>
      </c>
      <c r="AE18" s="1" t="n">
        <v>0.7791</v>
      </c>
      <c r="AF18" s="1" t="n"/>
      <c r="AG18" s="1" t="n"/>
      <c r="AH18" s="1" t="n"/>
      <c r="AI18" s="1" t="n"/>
      <c r="AJ18" s="13" t="n"/>
    </row>
    <row r="19" ht="15" customHeight="1">
      <c r="B19" s="483" t="inlineStr">
        <is>
          <t>Control 4</t>
        </is>
      </c>
      <c r="C19" s="3" t="inlineStr">
        <is>
          <t>Bias</t>
        </is>
      </c>
      <c r="D19" s="3" t="n"/>
      <c r="E19" s="484" t="n">
        <v>-2.94</v>
      </c>
      <c r="F19" s="35" t="n"/>
      <c r="G19" s="484" t="n">
        <v>0.58</v>
      </c>
      <c r="H19" s="35" t="n"/>
      <c r="I19" s="484" t="n">
        <v>-6.95</v>
      </c>
      <c r="J19" s="35" t="n"/>
      <c r="K19" s="484" t="n">
        <v>6.48</v>
      </c>
      <c r="L19" s="35" t="n"/>
      <c r="M19" s="484" t="n">
        <v>1.97</v>
      </c>
      <c r="N19" s="35" t="n"/>
      <c r="O19" s="484" t="n"/>
      <c r="P19" s="35" t="n"/>
      <c r="Q19" s="484" t="n"/>
      <c r="R19" s="35" t="n"/>
      <c r="S19" s="484" t="n"/>
      <c r="T19" s="35" t="n"/>
      <c r="U19" s="484" t="n"/>
      <c r="V19" s="35" t="n"/>
      <c r="W19" s="484" t="n"/>
      <c r="X19" s="35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3" t="n"/>
    </row>
    <row r="20" ht="15" customHeight="1">
      <c r="B20" s="567" t="n"/>
      <c r="C20" s="3" t="inlineStr">
        <is>
          <t>CV%</t>
        </is>
      </c>
      <c r="D20" s="3" t="n"/>
      <c r="E20" s="484" t="n"/>
      <c r="F20" s="35" t="n"/>
      <c r="G20" s="484" t="n"/>
      <c r="H20" s="35" t="n"/>
      <c r="I20" s="484" t="n"/>
      <c r="J20" s="35" t="n"/>
      <c r="K20" s="484" t="n"/>
      <c r="L20" s="35" t="n"/>
      <c r="M20" s="484" t="n"/>
      <c r="N20" s="35" t="n"/>
      <c r="O20" s="484" t="n"/>
      <c r="P20" s="35" t="n"/>
      <c r="Q20" s="484" t="n"/>
      <c r="R20" s="35" t="n"/>
      <c r="S20" s="484" t="n"/>
      <c r="T20" s="35" t="n"/>
      <c r="U20" s="484" t="n"/>
      <c r="V20" s="35" t="n"/>
      <c r="W20" s="484" t="n"/>
      <c r="X20" s="35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3" t="n"/>
    </row>
    <row r="21" ht="15" customHeight="1">
      <c r="B21" s="567" t="n"/>
      <c r="C21" s="3" t="inlineStr">
        <is>
          <t>Mean</t>
        </is>
      </c>
      <c r="D21" s="3" t="n"/>
      <c r="E21" s="484" t="n"/>
      <c r="F21" s="35" t="n"/>
      <c r="G21" s="484" t="n"/>
      <c r="H21" s="35" t="n"/>
      <c r="I21" s="484" t="n"/>
      <c r="J21" s="35" t="n"/>
      <c r="K21" s="484" t="n"/>
      <c r="L21" s="35" t="n"/>
      <c r="M21" s="484" t="n"/>
      <c r="N21" s="35" t="n"/>
      <c r="O21" s="484" t="n"/>
      <c r="P21" s="35" t="n"/>
      <c r="Q21" s="484" t="n"/>
      <c r="R21" s="35" t="n"/>
      <c r="S21" s="484" t="n"/>
      <c r="T21" s="35" t="n"/>
      <c r="U21" s="484" t="n"/>
      <c r="V21" s="35" t="n"/>
      <c r="W21" s="484" t="n"/>
      <c r="X21" s="35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3" t="n"/>
    </row>
    <row r="22" ht="15" customHeight="1">
      <c r="B22" s="568" t="n"/>
      <c r="C22" s="3" t="inlineStr">
        <is>
          <t>Bias</t>
        </is>
      </c>
      <c r="D22" s="3" t="n"/>
      <c r="E22" s="484" t="n"/>
      <c r="F22" s="35" t="n"/>
      <c r="G22" s="484" t="n"/>
      <c r="H22" s="35" t="n"/>
      <c r="I22" s="484" t="n"/>
      <c r="J22" s="35" t="n"/>
      <c r="K22" s="484" t="n"/>
      <c r="L22" s="35" t="n"/>
      <c r="M22" s="484" t="n"/>
      <c r="N22" s="35" t="n"/>
      <c r="O22" s="484" t="n"/>
      <c r="P22" s="35" t="n"/>
      <c r="Q22" s="484" t="n"/>
      <c r="R22" s="35" t="n"/>
      <c r="S22" s="484" t="n"/>
      <c r="T22" s="35" t="n"/>
      <c r="U22" s="484" t="n"/>
      <c r="V22" s="35" t="n"/>
      <c r="W22" s="484" t="n"/>
      <c r="X22" s="35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3" t="n"/>
    </row>
    <row r="23" ht="15" customHeight="1">
      <c r="B23" s="484" t="inlineStr">
        <is>
          <t>Control 5</t>
        </is>
      </c>
      <c r="C23" s="3" t="inlineStr">
        <is>
          <t>CV%</t>
        </is>
      </c>
      <c r="D23" s="3" t="n"/>
      <c r="E23" s="484" t="n"/>
      <c r="F23" s="35" t="n"/>
      <c r="G23" s="484" t="n"/>
      <c r="H23" s="35" t="n"/>
      <c r="I23" s="484" t="n"/>
      <c r="J23" s="35" t="n"/>
      <c r="K23" s="484" t="n"/>
      <c r="L23" s="35" t="n"/>
      <c r="M23" s="484" t="n"/>
      <c r="N23" s="35" t="n"/>
      <c r="O23" s="484" t="n"/>
      <c r="P23" s="35" t="n"/>
      <c r="Q23" s="484" t="n"/>
      <c r="R23" s="35" t="n"/>
      <c r="S23" s="484" t="n"/>
      <c r="T23" s="35" t="n"/>
      <c r="U23" s="484" t="n"/>
      <c r="V23" s="35" t="n"/>
      <c r="W23" s="484" t="n"/>
      <c r="X23" s="35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3" t="n"/>
    </row>
    <row r="24" ht="15" customHeight="1">
      <c r="B24" s="567" t="n"/>
      <c r="C24" s="3" t="inlineStr">
        <is>
          <t>Mean</t>
        </is>
      </c>
      <c r="D24" s="3" t="n"/>
      <c r="E24" s="484" t="n"/>
      <c r="F24" s="35" t="n"/>
      <c r="G24" s="484" t="n"/>
      <c r="H24" s="35" t="n"/>
      <c r="I24" s="484" t="n"/>
      <c r="J24" s="35" t="n"/>
      <c r="K24" s="484" t="n"/>
      <c r="L24" s="35" t="n"/>
      <c r="M24" s="484" t="n"/>
      <c r="N24" s="35" t="n"/>
      <c r="O24" s="484" t="n"/>
      <c r="P24" s="35" t="n"/>
      <c r="Q24" s="484" t="n"/>
      <c r="R24" s="35" t="n"/>
      <c r="S24" s="484" t="n"/>
      <c r="T24" s="35" t="n"/>
      <c r="U24" s="484" t="n"/>
      <c r="V24" s="35" t="n"/>
      <c r="W24" s="484" t="n"/>
      <c r="X24" s="35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3" t="n"/>
    </row>
    <row r="25" ht="15" customHeight="1">
      <c r="B25" s="568" t="n"/>
      <c r="C25" s="3" t="inlineStr">
        <is>
          <t>Bias</t>
        </is>
      </c>
      <c r="D25" s="3" t="n"/>
      <c r="E25" s="484" t="n"/>
      <c r="F25" s="35" t="n"/>
      <c r="G25" s="484" t="n"/>
      <c r="H25" s="35" t="n"/>
      <c r="I25" s="484" t="n"/>
      <c r="J25" s="35" t="n"/>
      <c r="K25" s="484" t="n"/>
      <c r="L25" s="35" t="n"/>
      <c r="M25" s="484" t="n"/>
      <c r="N25" s="35" t="n"/>
      <c r="O25" s="484" t="n"/>
      <c r="P25" s="35" t="n"/>
      <c r="Q25" s="484" t="n"/>
      <c r="R25" s="35" t="n"/>
      <c r="S25" s="484" t="n"/>
      <c r="T25" s="35" t="n"/>
      <c r="U25" s="484" t="n"/>
      <c r="V25" s="35" t="n"/>
      <c r="W25" s="484" t="n"/>
      <c r="X25" s="35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3" t="n"/>
    </row>
    <row r="26" ht="15" customHeight="1">
      <c r="B26" s="483" t="inlineStr">
        <is>
          <t>Control 6</t>
        </is>
      </c>
      <c r="C26" s="3" t="inlineStr">
        <is>
          <t>CV%</t>
        </is>
      </c>
      <c r="D26" s="3" t="n"/>
      <c r="E26" s="484" t="n"/>
      <c r="F26" s="35" t="n"/>
      <c r="G26" s="484" t="n"/>
      <c r="H26" s="35" t="n"/>
      <c r="I26" s="484" t="n"/>
      <c r="J26" s="35" t="n"/>
      <c r="K26" s="484" t="n"/>
      <c r="L26" s="35" t="n"/>
      <c r="M26" s="484" t="n"/>
      <c r="N26" s="35" t="n"/>
      <c r="O26" s="484" t="n"/>
      <c r="P26" s="35" t="n"/>
      <c r="Q26" s="484" t="n"/>
      <c r="R26" s="35" t="n"/>
      <c r="S26" s="484" t="n"/>
      <c r="T26" s="35" t="n"/>
      <c r="U26" s="484" t="n"/>
      <c r="V26" s="35" t="n"/>
      <c r="W26" s="484" t="n"/>
      <c r="X26" s="35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3" t="n"/>
    </row>
    <row r="27" ht="15" customHeight="1">
      <c r="B27" s="567" t="n"/>
      <c r="C27" s="3" t="inlineStr">
        <is>
          <t>Mean</t>
        </is>
      </c>
      <c r="D27" s="3" t="n"/>
      <c r="E27" s="484" t="n"/>
      <c r="F27" s="35" t="n"/>
      <c r="G27" s="484" t="n"/>
      <c r="H27" s="35" t="n"/>
      <c r="I27" s="484" t="n"/>
      <c r="J27" s="35" t="n"/>
      <c r="K27" s="484" t="n"/>
      <c r="L27" s="35" t="n"/>
      <c r="M27" s="484" t="n"/>
      <c r="N27" s="35" t="n"/>
      <c r="O27" s="484" t="n"/>
      <c r="P27" s="35" t="n"/>
      <c r="Q27" s="484" t="n"/>
      <c r="R27" s="35" t="n"/>
      <c r="S27" s="484" t="n"/>
      <c r="T27" s="35" t="n"/>
      <c r="U27" s="484" t="n"/>
      <c r="V27" s="35" t="n"/>
      <c r="W27" s="484" t="n"/>
      <c r="X27" s="35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3" t="n"/>
    </row>
    <row r="28" ht="15" customHeight="1">
      <c r="B28" s="567" t="n"/>
      <c r="C28" s="3" t="inlineStr">
        <is>
          <t>Bias</t>
        </is>
      </c>
      <c r="D28" s="3" t="n"/>
      <c r="E28" s="484" t="n"/>
      <c r="F28" s="35" t="n"/>
      <c r="G28" s="484" t="n"/>
      <c r="H28" s="35" t="n"/>
      <c r="I28" s="484" t="n"/>
      <c r="J28" s="35" t="n"/>
      <c r="K28" s="484" t="n"/>
      <c r="L28" s="35" t="n"/>
      <c r="M28" s="484" t="n"/>
      <c r="N28" s="35" t="n"/>
      <c r="O28" s="484" t="n"/>
      <c r="P28" s="35" t="n"/>
      <c r="Q28" s="484" t="n"/>
      <c r="R28" s="35" t="n"/>
      <c r="S28" s="484" t="n"/>
      <c r="T28" s="35" t="n"/>
      <c r="U28" s="484" t="n"/>
      <c r="V28" s="35" t="n"/>
      <c r="W28" s="484" t="n"/>
      <c r="X28" s="35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3" t="n"/>
    </row>
    <row r="29" ht="15" customHeight="1">
      <c r="B29" s="568" t="n"/>
      <c r="C29" s="3" t="inlineStr">
        <is>
          <t>CV%</t>
        </is>
      </c>
      <c r="D29" s="3" t="n"/>
      <c r="E29" s="484" t="n"/>
      <c r="F29" s="35" t="n"/>
      <c r="G29" s="484" t="n"/>
      <c r="H29" s="35" t="n"/>
      <c r="I29" s="484" t="n"/>
      <c r="J29" s="35" t="n"/>
      <c r="K29" s="484" t="n"/>
      <c r="L29" s="35" t="n"/>
      <c r="M29" s="484" t="n"/>
      <c r="N29" s="35" t="n"/>
      <c r="O29" s="484" t="n"/>
      <c r="P29" s="35" t="n"/>
      <c r="Q29" s="484" t="n"/>
      <c r="R29" s="35" t="n"/>
      <c r="S29" s="484" t="n"/>
      <c r="T29" s="35" t="n"/>
      <c r="U29" s="484" t="n"/>
      <c r="V29" s="35" t="n"/>
      <c r="W29" s="484" t="n"/>
      <c r="X29" s="35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3" t="n"/>
    </row>
    <row r="30"/>
    <row r="31"/>
    <row r="32"/>
    <row r="33" ht="16.5" customHeight="1">
      <c r="C33" t="inlineStr">
        <is>
          <t>Conc.</t>
        </is>
      </c>
    </row>
    <row r="34" ht="33" customHeight="1">
      <c r="C34" s="12" t="inlineStr">
        <is>
          <t>Serial Number</t>
        </is>
      </c>
      <c r="D34" s="1" t="n"/>
      <c r="E34" s="484" t="inlineStr">
        <is>
          <t>ALB</t>
        </is>
      </c>
      <c r="F34" s="3" t="n"/>
      <c r="G34" s="484" t="inlineStr">
        <is>
          <t>BUN</t>
        </is>
      </c>
      <c r="H34" s="3" t="n"/>
      <c r="I34" s="484" t="inlineStr">
        <is>
          <t>CREA</t>
        </is>
      </c>
      <c r="J34" s="3" t="n"/>
      <c r="K34" s="484" t="inlineStr">
        <is>
          <t>GLU</t>
        </is>
      </c>
      <c r="L34" s="3" t="n"/>
      <c r="M34" s="484" t="inlineStr">
        <is>
          <t>TP</t>
        </is>
      </c>
      <c r="N34" s="3" t="n"/>
      <c r="O34" s="484" t="n"/>
      <c r="P34" s="3" t="n"/>
      <c r="Q34" s="484" t="n"/>
      <c r="R34" s="3" t="n"/>
      <c r="S34" s="484" t="n"/>
      <c r="T34" s="3" t="n"/>
      <c r="U34" s="484" t="n"/>
      <c r="V34" s="3" t="n"/>
      <c r="W34" s="484" t="n"/>
      <c r="X34" s="3" t="n"/>
      <c r="Z34" s="1" t="n"/>
      <c r="AA34" s="1" t="inlineStr">
        <is>
          <t>ALB</t>
        </is>
      </c>
      <c r="AB34" s="1" t="inlineStr">
        <is>
          <t>BUN</t>
        </is>
      </c>
      <c r="AC34" s="1" t="inlineStr">
        <is>
          <t>CREA</t>
        </is>
      </c>
      <c r="AD34" s="1" t="inlineStr">
        <is>
          <t>GLU</t>
        </is>
      </c>
      <c r="AE34" s="1" t="inlineStr">
        <is>
          <t>TP</t>
        </is>
      </c>
      <c r="AF34" s="1" t="n"/>
      <c r="AG34" s="1" t="n"/>
      <c r="AH34" s="1" t="n"/>
      <c r="AI34" s="1" t="n"/>
      <c r="AJ34" s="1" t="n"/>
      <c r="AK34" s="14" t="inlineStr">
        <is>
          <t>Serial Number</t>
        </is>
      </c>
    </row>
    <row r="35" ht="33" customHeight="1">
      <c r="C35" s="12" t="n"/>
      <c r="D35" s="1" t="n"/>
      <c r="E35" s="478" t="inlineStr">
        <is>
          <t>ALB(原線)</t>
        </is>
      </c>
      <c r="F35" s="31" t="inlineStr">
        <is>
          <t>ALB
換線後</t>
        </is>
      </c>
      <c r="G35" s="478" t="inlineStr">
        <is>
          <t>BUN(原線)</t>
        </is>
      </c>
      <c r="H35" s="31" t="inlineStr">
        <is>
          <t>BUN
換線後</t>
        </is>
      </c>
      <c r="I35" s="478" t="inlineStr">
        <is>
          <t>CREA(原線)</t>
        </is>
      </c>
      <c r="J35" s="31" t="inlineStr">
        <is>
          <t>CREA
換線後</t>
        </is>
      </c>
      <c r="K35" s="478" t="inlineStr">
        <is>
          <t>GLU(原線)</t>
        </is>
      </c>
      <c r="L35" s="31" t="inlineStr">
        <is>
          <t>GLU
換線後</t>
        </is>
      </c>
      <c r="M35" s="478" t="inlineStr">
        <is>
          <t>TP(原線)</t>
        </is>
      </c>
      <c r="N35" s="31" t="inlineStr">
        <is>
          <t>TP
換線後</t>
        </is>
      </c>
      <c r="O35" s="478" t="n"/>
      <c r="P35" s="31" t="n"/>
      <c r="Q35" s="478" t="n"/>
      <c r="R35" s="31" t="n"/>
      <c r="S35" s="478" t="n"/>
      <c r="T35" s="31" t="n"/>
      <c r="U35" s="478" t="n"/>
      <c r="V35" s="31" t="n"/>
      <c r="W35" s="478" t="n"/>
      <c r="X35" s="3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4" t="n"/>
    </row>
    <row r="36" ht="16.5" customHeight="1">
      <c r="B36" t="inlineStr">
        <is>
          <t>Control-3</t>
        </is>
      </c>
      <c r="C36" s="1" t="inlineStr">
        <is>
          <t>Q1H260316001</t>
        </is>
      </c>
      <c r="D36" s="1" t="inlineStr">
        <is>
          <t>Zone-1</t>
        </is>
      </c>
      <c r="E36" s="484" t="n">
        <v>2.5262902</v>
      </c>
      <c r="F36" s="35" t="n"/>
      <c r="G36" s="484" t="n"/>
      <c r="H36" s="35" t="n"/>
      <c r="I36" s="484" t="n"/>
      <c r="J36" s="35" t="n"/>
      <c r="K36" s="484" t="n"/>
      <c r="L36" s="35" t="n"/>
      <c r="M36" s="484" t="n"/>
      <c r="N36" s="35" t="n"/>
      <c r="O36" s="484" t="n"/>
      <c r="P36" s="35" t="n"/>
      <c r="Q36" s="484" t="n"/>
      <c r="R36" s="35" t="n"/>
      <c r="S36" s="484" t="n"/>
      <c r="T36" s="35" t="n"/>
      <c r="U36" s="484" t="n"/>
      <c r="V36" s="35" t="n"/>
      <c r="W36" s="484" t="n"/>
      <c r="X36" s="35" t="n"/>
      <c r="Z36" s="1" t="n"/>
      <c r="AA36" s="1" t="n">
        <v>2.017094</v>
      </c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inlineStr">
        <is>
          <t>Q1H260316001</t>
        </is>
      </c>
    </row>
    <row r="37" ht="16.5" customHeight="1">
      <c r="B37" t="inlineStr">
        <is>
          <t>Control-3</t>
        </is>
      </c>
      <c r="C37" s="1" t="inlineStr">
        <is>
          <t>Q1H260316001</t>
        </is>
      </c>
      <c r="D37" s="1" t="inlineStr">
        <is>
          <t>Zone-1</t>
        </is>
      </c>
      <c r="E37" s="484" t="n"/>
      <c r="F37" s="35" t="n"/>
      <c r="G37" s="484" t="n">
        <v>14.970511</v>
      </c>
      <c r="H37" s="35" t="n"/>
      <c r="I37" s="484" t="n"/>
      <c r="J37" s="35" t="n"/>
      <c r="K37" s="484" t="n"/>
      <c r="L37" s="35" t="n"/>
      <c r="M37" s="484" t="n"/>
      <c r="N37" s="35" t="n"/>
      <c r="O37" s="484" t="n"/>
      <c r="P37" s="35" t="n"/>
      <c r="Q37" s="484" t="n"/>
      <c r="R37" s="35" t="n"/>
      <c r="S37" s="484" t="n"/>
      <c r="T37" s="35" t="n"/>
      <c r="U37" s="484" t="n"/>
      <c r="V37" s="35" t="n"/>
      <c r="W37" s="484" t="n"/>
      <c r="X37" s="35" t="n"/>
      <c r="Z37" s="1" t="n"/>
      <c r="AA37" s="1" t="n"/>
      <c r="AB37" s="1" t="n">
        <v>0.15756243</v>
      </c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inlineStr">
        <is>
          <t>Q1H260316001</t>
        </is>
      </c>
    </row>
    <row r="38" ht="16.5" customHeight="1">
      <c r="B38" t="inlineStr">
        <is>
          <t>Control-3</t>
        </is>
      </c>
      <c r="C38" s="1" t="inlineStr">
        <is>
          <t>Q1H260316001</t>
        </is>
      </c>
      <c r="D38" s="1" t="inlineStr">
        <is>
          <t>Zone-1</t>
        </is>
      </c>
      <c r="E38" s="484" t="n"/>
      <c r="F38" s="35" t="n"/>
      <c r="G38" s="484" t="n"/>
      <c r="H38" s="35" t="n"/>
      <c r="I38" s="484" t="n">
        <v>0.71149325</v>
      </c>
      <c r="J38" s="35" t="n"/>
      <c r="K38" s="484" t="n"/>
      <c r="L38" s="35" t="n"/>
      <c r="M38" s="484" t="n"/>
      <c r="N38" s="35" t="n"/>
      <c r="O38" s="484" t="n"/>
      <c r="P38" s="35" t="n"/>
      <c r="Q38" s="484" t="n"/>
      <c r="R38" s="35" t="n"/>
      <c r="S38" s="484" t="n"/>
      <c r="T38" s="35" t="n"/>
      <c r="U38" s="484" t="n"/>
      <c r="V38" s="35" t="n"/>
      <c r="W38" s="484" t="n"/>
      <c r="X38" s="35" t="n"/>
      <c r="Z38" s="1" t="n"/>
      <c r="AA38" s="1" t="n"/>
      <c r="AB38" s="1" t="n"/>
      <c r="AC38" s="1" t="n">
        <v>0.028301073</v>
      </c>
      <c r="AD38" s="1" t="n"/>
      <c r="AE38" s="1" t="n"/>
      <c r="AF38" s="1" t="n"/>
      <c r="AG38" s="1" t="n"/>
      <c r="AH38" s="1" t="n"/>
      <c r="AI38" s="1" t="n"/>
      <c r="AJ38" s="1" t="n"/>
      <c r="AK38" s="1" t="inlineStr">
        <is>
          <t>Q1H260316001</t>
        </is>
      </c>
    </row>
    <row r="39" ht="16.5" customHeight="1">
      <c r="B39" t="inlineStr">
        <is>
          <t>Control-3</t>
        </is>
      </c>
      <c r="C39" s="1" t="inlineStr">
        <is>
          <t>Q1H260316001</t>
        </is>
      </c>
      <c r="D39" s="1" t="inlineStr">
        <is>
          <t>Zone-1</t>
        </is>
      </c>
      <c r="E39" s="484" t="n"/>
      <c r="F39" s="35" t="n"/>
      <c r="G39" s="484" t="n"/>
      <c r="H39" s="35" t="n"/>
      <c r="I39" s="484" t="n"/>
      <c r="J39" s="35" t="n"/>
      <c r="K39" s="484" t="n">
        <v>69.07862</v>
      </c>
      <c r="L39" s="35" t="n"/>
      <c r="M39" s="484" t="n"/>
      <c r="N39" s="35" t="n"/>
      <c r="O39" s="484" t="n"/>
      <c r="P39" s="35" t="n"/>
      <c r="Q39" s="484" t="n"/>
      <c r="R39" s="35" t="n"/>
      <c r="S39" s="484" t="n"/>
      <c r="T39" s="35" t="n"/>
      <c r="U39" s="484" t="n"/>
      <c r="V39" s="35" t="n"/>
      <c r="W39" s="484" t="n"/>
      <c r="X39" s="35" t="n"/>
      <c r="Z39" s="1" t="n"/>
      <c r="AA39" s="1" t="n"/>
      <c r="AB39" s="1" t="n"/>
      <c r="AC39" s="1" t="n"/>
      <c r="AD39" s="1" t="n">
        <v>0.48058298</v>
      </c>
      <c r="AE39" s="1" t="n"/>
      <c r="AF39" s="1" t="n"/>
      <c r="AG39" s="1" t="n"/>
      <c r="AH39" s="1" t="n"/>
      <c r="AI39" s="1" t="n"/>
      <c r="AJ39" s="1" t="n"/>
      <c r="AK39" s="1" t="inlineStr">
        <is>
          <t>Q1H260316001</t>
        </is>
      </c>
    </row>
    <row r="40" ht="16.5" customHeight="1">
      <c r="B40" t="inlineStr">
        <is>
          <t>Control-3</t>
        </is>
      </c>
      <c r="C40" s="1" t="inlineStr">
        <is>
          <t>Q1H260316001</t>
        </is>
      </c>
      <c r="D40" s="1" t="inlineStr">
        <is>
          <t>Zone-1</t>
        </is>
      </c>
      <c r="E40" s="484" t="n"/>
      <c r="F40" s="35" t="n"/>
      <c r="G40" s="484" t="n"/>
      <c r="H40" s="35" t="n"/>
      <c r="I40" s="484" t="n"/>
      <c r="J40" s="35" t="n"/>
      <c r="K40" s="484" t="n"/>
      <c r="L40" s="35" t="n"/>
      <c r="M40" s="484" t="n">
        <v>4.148798</v>
      </c>
      <c r="N40" s="35" t="n"/>
      <c r="O40" s="484" t="n"/>
      <c r="P40" s="35" t="n"/>
      <c r="Q40" s="484" t="n"/>
      <c r="R40" s="35" t="n"/>
      <c r="S40" s="484" t="n"/>
      <c r="T40" s="35" t="n"/>
      <c r="U40" s="484" t="n"/>
      <c r="V40" s="35" t="n"/>
      <c r="W40" s="484" t="n"/>
      <c r="X40" s="35" t="n"/>
      <c r="Z40" s="1" t="n"/>
      <c r="AA40" s="1" t="n"/>
      <c r="AB40" s="1" t="n"/>
      <c r="AC40" s="1" t="n"/>
      <c r="AD40" s="1" t="n"/>
      <c r="AE40" s="1" t="n">
        <v>0.52215844</v>
      </c>
      <c r="AF40" s="1" t="n"/>
      <c r="AG40" s="1" t="n"/>
      <c r="AH40" s="1" t="n"/>
      <c r="AI40" s="1" t="n"/>
      <c r="AJ40" s="1" t="n"/>
      <c r="AK40" s="1" t="inlineStr">
        <is>
          <t>Q1H260316001</t>
        </is>
      </c>
    </row>
    <row r="41" ht="16.5" customHeight="1">
      <c r="B41" t="inlineStr">
        <is>
          <t>Control-2</t>
        </is>
      </c>
      <c r="C41" s="1" t="inlineStr">
        <is>
          <t>Q1H260316001</t>
        </is>
      </c>
      <c r="D41" s="1" t="inlineStr">
        <is>
          <t>Zone-1</t>
        </is>
      </c>
      <c r="E41" s="484" t="n">
        <v>2.6894112</v>
      </c>
      <c r="F41" s="35" t="n"/>
      <c r="G41" s="484" t="n"/>
      <c r="H41" s="35" t="n"/>
      <c r="I41" s="484" t="n"/>
      <c r="J41" s="35" t="n"/>
      <c r="K41" s="484" t="n"/>
      <c r="L41" s="35" t="n"/>
      <c r="M41" s="484" t="n"/>
      <c r="N41" s="35" t="n"/>
      <c r="O41" s="484" t="n"/>
      <c r="P41" s="35" t="n"/>
      <c r="Q41" s="484" t="n"/>
      <c r="R41" s="35" t="n"/>
      <c r="S41" s="484" t="n"/>
      <c r="T41" s="35" t="n"/>
      <c r="U41" s="484" t="n"/>
      <c r="V41" s="35" t="n"/>
      <c r="W41" s="484" t="n"/>
      <c r="X41" s="35" t="n"/>
      <c r="Z41" s="1" t="n"/>
      <c r="AA41" s="1" t="n">
        <v>2.0830278</v>
      </c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inlineStr">
        <is>
          <t>Q1H260316001</t>
        </is>
      </c>
    </row>
    <row r="42" ht="16.5" customHeight="1">
      <c r="B42" t="inlineStr">
        <is>
          <t>Control-2</t>
        </is>
      </c>
      <c r="C42" s="1" t="inlineStr">
        <is>
          <t>Q1H260316001</t>
        </is>
      </c>
      <c r="D42" s="1" t="inlineStr">
        <is>
          <t>Zone-1</t>
        </is>
      </c>
      <c r="E42" s="484" t="n"/>
      <c r="F42" s="35" t="n"/>
      <c r="G42" s="484" t="n">
        <v>44.89747</v>
      </c>
      <c r="H42" s="35" t="n"/>
      <c r="I42" s="484" t="n"/>
      <c r="J42" s="35" t="n"/>
      <c r="K42" s="484" t="n"/>
      <c r="L42" s="35" t="n"/>
      <c r="M42" s="484" t="n"/>
      <c r="N42" s="35" t="n"/>
      <c r="O42" s="484" t="n"/>
      <c r="P42" s="35" t="n"/>
      <c r="Q42" s="484" t="n"/>
      <c r="R42" s="35" t="n"/>
      <c r="S42" s="484" t="n"/>
      <c r="T42" s="35" t="n"/>
      <c r="U42" s="484" t="n"/>
      <c r="V42" s="35" t="n"/>
      <c r="W42" s="484" t="n"/>
      <c r="X42" s="35" t="n"/>
      <c r="Z42" s="1" t="n"/>
      <c r="AA42" s="1" t="n"/>
      <c r="AB42" s="1" t="n">
        <v>0.45593685</v>
      </c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inlineStr">
        <is>
          <t>Q1H260316001</t>
        </is>
      </c>
    </row>
    <row r="43" ht="16.5" customHeight="1">
      <c r="B43" t="inlineStr">
        <is>
          <t>Control-2</t>
        </is>
      </c>
      <c r="C43" s="1" t="inlineStr">
        <is>
          <t>Q1H260316001</t>
        </is>
      </c>
      <c r="D43" s="1" t="inlineStr">
        <is>
          <t>Zone-1</t>
        </is>
      </c>
      <c r="E43" s="484" t="n"/>
      <c r="F43" s="35" t="n"/>
      <c r="G43" s="484" t="n"/>
      <c r="H43" s="35" t="n"/>
      <c r="I43" s="484" t="n">
        <v>4.6947317</v>
      </c>
      <c r="J43" s="35" t="n"/>
      <c r="K43" s="484" t="n"/>
      <c r="L43" s="35" t="n"/>
      <c r="M43" s="484" t="n"/>
      <c r="N43" s="35" t="n"/>
      <c r="O43" s="484" t="n"/>
      <c r="P43" s="35" t="n"/>
      <c r="Q43" s="484" t="n"/>
      <c r="R43" s="35" t="n"/>
      <c r="S43" s="484" t="n"/>
      <c r="T43" s="35" t="n"/>
      <c r="U43" s="484" t="n"/>
      <c r="V43" s="35" t="n"/>
      <c r="W43" s="484" t="n"/>
      <c r="X43" s="35" t="n"/>
      <c r="Z43" s="1" t="n"/>
      <c r="AA43" s="1" t="n"/>
      <c r="AB43" s="1" t="n"/>
      <c r="AC43" s="1" t="n">
        <v>0.22906914</v>
      </c>
      <c r="AD43" s="1" t="n"/>
      <c r="AE43" s="1" t="n"/>
      <c r="AF43" s="1" t="n"/>
      <c r="AG43" s="1" t="n"/>
      <c r="AH43" s="1" t="n"/>
      <c r="AI43" s="1" t="n"/>
      <c r="AJ43" s="1" t="n"/>
      <c r="AK43" s="1" t="inlineStr">
        <is>
          <t>Q1H260316001</t>
        </is>
      </c>
    </row>
    <row r="44" ht="16.5" customHeight="1">
      <c r="B44" t="inlineStr">
        <is>
          <t>Control-2</t>
        </is>
      </c>
      <c r="C44" s="1" t="inlineStr">
        <is>
          <t>Q1H260316001</t>
        </is>
      </c>
      <c r="D44" s="1" t="inlineStr">
        <is>
          <t>Zone-1</t>
        </is>
      </c>
      <c r="E44" s="484" t="n"/>
      <c r="F44" s="35" t="n"/>
      <c r="G44" s="484" t="n"/>
      <c r="H44" s="35" t="n"/>
      <c r="I44" s="484" t="n"/>
      <c r="J44" s="35" t="n"/>
      <c r="K44" s="484" t="n">
        <v>307.7654</v>
      </c>
      <c r="L44" s="35" t="n"/>
      <c r="M44" s="484" t="n"/>
      <c r="N44" s="35" t="n"/>
      <c r="O44" s="484" t="n"/>
      <c r="P44" s="35" t="n"/>
      <c r="Q44" s="484" t="n"/>
      <c r="R44" s="35" t="n"/>
      <c r="S44" s="484" t="n"/>
      <c r="T44" s="35" t="n"/>
      <c r="U44" s="484" t="n"/>
      <c r="V44" s="35" t="n"/>
      <c r="W44" s="484" t="n"/>
      <c r="X44" s="35" t="n"/>
      <c r="Z44" s="1" t="n"/>
      <c r="AA44" s="1" t="n"/>
      <c r="AB44" s="1" t="n"/>
      <c r="AC44" s="1" t="n"/>
      <c r="AD44" s="1" t="n">
        <v>1.8634729</v>
      </c>
      <c r="AE44" s="1" t="n"/>
      <c r="AF44" s="1" t="n"/>
      <c r="AG44" s="1" t="n"/>
      <c r="AH44" s="1" t="n"/>
      <c r="AI44" s="1" t="n"/>
      <c r="AJ44" s="1" t="n"/>
      <c r="AK44" s="1" t="inlineStr">
        <is>
          <t>Q1H260316001</t>
        </is>
      </c>
    </row>
    <row r="45" ht="16.5" customHeight="1">
      <c r="B45" t="inlineStr">
        <is>
          <t>Control-2</t>
        </is>
      </c>
      <c r="C45" s="1" t="inlineStr">
        <is>
          <t>Q1H260316001</t>
        </is>
      </c>
      <c r="D45" s="1" t="inlineStr">
        <is>
          <t>Zone-1</t>
        </is>
      </c>
      <c r="E45" s="484" t="n"/>
      <c r="F45" s="35" t="n"/>
      <c r="G45" s="484" t="n"/>
      <c r="H45" s="35" t="n"/>
      <c r="I45" s="484" t="n"/>
      <c r="J45" s="35" t="n"/>
      <c r="K45" s="484" t="n"/>
      <c r="L45" s="35" t="n"/>
      <c r="M45" s="484" t="n">
        <v>4.3530173</v>
      </c>
      <c r="N45" s="35" t="n"/>
      <c r="O45" s="484" t="n"/>
      <c r="P45" s="35" t="n"/>
      <c r="Q45" s="484" t="n"/>
      <c r="R45" s="35" t="n"/>
      <c r="S45" s="484" t="n"/>
      <c r="T45" s="35" t="n"/>
      <c r="U45" s="484" t="n"/>
      <c r="V45" s="35" t="n"/>
      <c r="W45" s="484" t="n"/>
      <c r="X45" s="35" t="n"/>
      <c r="Z45" s="1" t="n"/>
      <c r="AA45" s="1" t="n"/>
      <c r="AB45" s="1" t="n"/>
      <c r="AC45" s="1" t="n"/>
      <c r="AD45" s="1" t="n"/>
      <c r="AE45" s="1" t="n">
        <v>0.5371525</v>
      </c>
      <c r="AF45" s="1" t="n"/>
      <c r="AG45" s="1" t="n"/>
      <c r="AH45" s="1" t="n"/>
      <c r="AI45" s="1" t="n"/>
      <c r="AJ45" s="1" t="n"/>
      <c r="AK45" s="1" t="inlineStr">
        <is>
          <t>Q1H260316001</t>
        </is>
      </c>
    </row>
    <row r="46" ht="16.5" customHeight="1">
      <c r="B46" s="6" t="inlineStr">
        <is>
          <t>Control-1</t>
        </is>
      </c>
      <c r="C46" s="8" t="inlineStr">
        <is>
          <t>Q1H260316001</t>
        </is>
      </c>
      <c r="D46" s="1" t="inlineStr">
        <is>
          <t>Zone-1</t>
        </is>
      </c>
      <c r="E46" s="484" t="n">
        <v>4.082717</v>
      </c>
      <c r="F46" s="35" t="n"/>
      <c r="G46" s="484" t="n"/>
      <c r="H46" s="35" t="n"/>
      <c r="I46" s="484" t="n"/>
      <c r="J46" s="35" t="n"/>
      <c r="K46" s="484" t="n"/>
      <c r="L46" s="35" t="n"/>
      <c r="M46" s="484" t="n"/>
      <c r="N46" s="35" t="n"/>
      <c r="O46" s="484" t="n"/>
      <c r="P46" s="35" t="n"/>
      <c r="Q46" s="484" t="n"/>
      <c r="R46" s="35" t="n"/>
      <c r="S46" s="484" t="n"/>
      <c r="T46" s="35" t="n"/>
      <c r="U46" s="484" t="n"/>
      <c r="V46" s="35" t="n"/>
      <c r="W46" s="484" t="n"/>
      <c r="X46" s="35" t="n"/>
      <c r="Z46" s="1" t="n"/>
      <c r="AA46" s="1" t="n">
        <v>2.6462073</v>
      </c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inlineStr">
        <is>
          <t>Q1H260316001</t>
        </is>
      </c>
    </row>
    <row r="47" ht="16.5" customHeight="1">
      <c r="B47" s="6" t="inlineStr">
        <is>
          <t>Control-1</t>
        </is>
      </c>
      <c r="C47" s="8" t="inlineStr">
        <is>
          <t>Q1H260316001</t>
        </is>
      </c>
      <c r="D47" s="1" t="inlineStr">
        <is>
          <t>Zone-1</t>
        </is>
      </c>
      <c r="E47" s="484" t="n"/>
      <c r="F47" s="35" t="n"/>
      <c r="G47" s="484" t="n">
        <v>14.762083</v>
      </c>
      <c r="H47" s="35" t="n"/>
      <c r="I47" s="484" t="n"/>
      <c r="J47" s="35" t="n"/>
      <c r="K47" s="484" t="n"/>
      <c r="L47" s="35" t="n"/>
      <c r="M47" s="484" t="n"/>
      <c r="N47" s="35" t="n"/>
      <c r="O47" s="484" t="n"/>
      <c r="P47" s="35" t="n"/>
      <c r="Q47" s="484" t="n"/>
      <c r="R47" s="35" t="n"/>
      <c r="S47" s="484" t="n"/>
      <c r="T47" s="35" t="n"/>
      <c r="U47" s="484" t="n"/>
      <c r="V47" s="35" t="n"/>
      <c r="W47" s="484" t="n"/>
      <c r="X47" s="35" t="n"/>
      <c r="Z47" s="1" t="n"/>
      <c r="AA47" s="1" t="n"/>
      <c r="AB47" s="1" t="n">
        <v>0.15548438</v>
      </c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inlineStr">
        <is>
          <t>Q1H260316001</t>
        </is>
      </c>
    </row>
    <row r="48" ht="16.5" customHeight="1">
      <c r="B48" s="6" t="inlineStr">
        <is>
          <t>Control-1</t>
        </is>
      </c>
      <c r="C48" s="8" t="inlineStr">
        <is>
          <t>Q1H260316001</t>
        </is>
      </c>
      <c r="D48" s="1" t="inlineStr">
        <is>
          <t>Zone-1</t>
        </is>
      </c>
      <c r="E48" s="484" t="n"/>
      <c r="F48" s="35" t="n"/>
      <c r="G48" s="484" t="n"/>
      <c r="H48" s="35" t="n"/>
      <c r="I48" s="484" t="n">
        <v>1.2565933</v>
      </c>
      <c r="J48" s="35" t="n"/>
      <c r="K48" s="484" t="n"/>
      <c r="L48" s="35" t="n"/>
      <c r="M48" s="484" t="n"/>
      <c r="N48" s="35" t="n"/>
      <c r="O48" s="484" t="n"/>
      <c r="P48" s="35" t="n"/>
      <c r="Q48" s="484" t="n"/>
      <c r="R48" s="35" t="n"/>
      <c r="S48" s="484" t="n"/>
      <c r="T48" s="35" t="n"/>
      <c r="U48" s="484" t="n"/>
      <c r="V48" s="35" t="n"/>
      <c r="W48" s="484" t="n"/>
      <c r="X48" s="35" t="n"/>
      <c r="Z48" s="1" t="n"/>
      <c r="AA48" s="1" t="n"/>
      <c r="AB48" s="1" t="n"/>
      <c r="AC48" s="1" t="n">
        <v>0.055775877</v>
      </c>
      <c r="AD48" s="1" t="n"/>
      <c r="AE48" s="1" t="n"/>
      <c r="AF48" s="1" t="n"/>
      <c r="AG48" s="1" t="n"/>
      <c r="AH48" s="1" t="n"/>
      <c r="AI48" s="1" t="n"/>
      <c r="AJ48" s="1" t="n"/>
      <c r="AK48" s="1" t="inlineStr">
        <is>
          <t>Q1H260316001</t>
        </is>
      </c>
    </row>
    <row r="49" ht="16.5" customHeight="1">
      <c r="B49" s="6" t="inlineStr">
        <is>
          <t>Control-1</t>
        </is>
      </c>
      <c r="C49" s="8" t="inlineStr">
        <is>
          <t>Q1H260316001</t>
        </is>
      </c>
      <c r="D49" s="1" t="inlineStr">
        <is>
          <t>Zone-1</t>
        </is>
      </c>
      <c r="E49" s="484" t="n"/>
      <c r="F49" s="35" t="n"/>
      <c r="G49" s="484" t="n"/>
      <c r="H49" s="35" t="n"/>
      <c r="I49" s="484" t="n"/>
      <c r="J49" s="35" t="n"/>
      <c r="K49" s="484" t="n">
        <v>91.06752</v>
      </c>
      <c r="L49" s="35" t="n"/>
      <c r="M49" s="484" t="n"/>
      <c r="N49" s="35" t="n"/>
      <c r="O49" s="484" t="n"/>
      <c r="P49" s="35" t="n"/>
      <c r="Q49" s="484" t="n"/>
      <c r="R49" s="35" t="n"/>
      <c r="S49" s="484" t="n"/>
      <c r="T49" s="35" t="n"/>
      <c r="U49" s="484" t="n"/>
      <c r="V49" s="35" t="n"/>
      <c r="W49" s="484" t="n"/>
      <c r="X49" s="35" t="n"/>
      <c r="Z49" s="1" t="n"/>
      <c r="AA49" s="1" t="n"/>
      <c r="AB49" s="1" t="n"/>
      <c r="AC49" s="1" t="n"/>
      <c r="AD49" s="1" t="n">
        <v>0.607981</v>
      </c>
      <c r="AE49" s="1" t="n"/>
      <c r="AF49" s="1" t="n"/>
      <c r="AG49" s="1" t="n"/>
      <c r="AH49" s="1" t="n"/>
      <c r="AI49" s="1" t="n"/>
      <c r="AJ49" s="1" t="n"/>
      <c r="AK49" s="1" t="inlineStr">
        <is>
          <t>Q1H260316001</t>
        </is>
      </c>
    </row>
    <row r="50" ht="16.5" customHeight="1">
      <c r="B50" s="6" t="inlineStr">
        <is>
          <t>Control-1</t>
        </is>
      </c>
      <c r="C50" s="8" t="inlineStr">
        <is>
          <t>Q1H260316001</t>
        </is>
      </c>
      <c r="D50" s="1" t="inlineStr">
        <is>
          <t>Zone-1</t>
        </is>
      </c>
      <c r="E50" s="484" t="n"/>
      <c r="F50" s="35" t="n"/>
      <c r="G50" s="484" t="n"/>
      <c r="H50" s="35" t="n"/>
      <c r="I50" s="484" t="n"/>
      <c r="J50" s="35" t="n"/>
      <c r="K50" s="484" t="n"/>
      <c r="L50" s="35" t="n"/>
      <c r="M50" s="484" t="n">
        <v>6.575695</v>
      </c>
      <c r="N50" s="35" t="n"/>
      <c r="O50" s="484" t="n"/>
      <c r="P50" s="35" t="n"/>
      <c r="Q50" s="484" t="n"/>
      <c r="R50" s="35" t="n"/>
      <c r="S50" s="484" t="n"/>
      <c r="T50" s="35" t="n"/>
      <c r="U50" s="484" t="n"/>
      <c r="V50" s="35" t="n"/>
      <c r="W50" s="484" t="n"/>
      <c r="X50" s="35" t="n"/>
      <c r="Z50" s="1" t="n"/>
      <c r="AA50" s="1" t="n"/>
      <c r="AB50" s="1" t="n"/>
      <c r="AC50" s="1" t="n"/>
      <c r="AD50" s="1" t="n"/>
      <c r="AE50" s="1" t="n">
        <v>0.7003447</v>
      </c>
      <c r="AF50" s="1" t="n"/>
      <c r="AG50" s="1" t="n"/>
      <c r="AH50" s="1" t="n"/>
      <c r="AI50" s="1" t="n"/>
      <c r="AJ50" s="1" t="n"/>
      <c r="AK50" s="1" t="inlineStr">
        <is>
          <t>Q1H260316001</t>
        </is>
      </c>
    </row>
    <row r="51" ht="16.5" customHeight="1">
      <c r="B51" s="6" t="inlineStr">
        <is>
          <t>Control-4</t>
        </is>
      </c>
      <c r="C51" s="8" t="inlineStr">
        <is>
          <t>Q1H260316001</t>
        </is>
      </c>
      <c r="D51" s="1" t="inlineStr">
        <is>
          <t>Zone-1</t>
        </is>
      </c>
      <c r="E51" s="484" t="n">
        <v>4.0763283</v>
      </c>
      <c r="F51" s="35" t="n"/>
      <c r="G51" s="484" t="n"/>
      <c r="H51" s="35" t="n"/>
      <c r="I51" s="484" t="n"/>
      <c r="J51" s="35" t="n"/>
      <c r="K51" s="484" t="n"/>
      <c r="L51" s="35" t="n"/>
      <c r="M51" s="484" t="n"/>
      <c r="N51" s="35" t="n"/>
      <c r="O51" s="484" t="n"/>
      <c r="P51" s="35" t="n"/>
      <c r="Q51" s="484" t="n"/>
      <c r="R51" s="35" t="n"/>
      <c r="S51" s="484" t="n"/>
      <c r="T51" s="35" t="n"/>
      <c r="U51" s="484" t="n"/>
      <c r="V51" s="35" t="n"/>
      <c r="W51" s="484" t="n"/>
      <c r="X51" s="35" t="n"/>
      <c r="Z51" s="1" t="n"/>
      <c r="AA51" s="1" t="n">
        <v>2.643625</v>
      </c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inlineStr">
        <is>
          <t>Q1H260316001</t>
        </is>
      </c>
    </row>
    <row r="52" ht="16.5" customHeight="1">
      <c r="B52" s="6" t="inlineStr">
        <is>
          <t>Control-4</t>
        </is>
      </c>
      <c r="C52" s="8" t="inlineStr">
        <is>
          <t>Q1H260316001</t>
        </is>
      </c>
      <c r="D52" s="1" t="inlineStr">
        <is>
          <t>Zone-1</t>
        </is>
      </c>
      <c r="E52" s="484" t="n"/>
      <c r="F52" s="35" t="n"/>
      <c r="G52" s="484" t="n">
        <v>66.07911</v>
      </c>
      <c r="H52" s="35" t="n"/>
      <c r="I52" s="484" t="n"/>
      <c r="J52" s="35" t="n"/>
      <c r="K52" s="484" t="n"/>
      <c r="L52" s="35" t="n"/>
      <c r="M52" s="484" t="n"/>
      <c r="N52" s="35" t="n"/>
      <c r="O52" s="484" t="n"/>
      <c r="P52" s="35" t="n"/>
      <c r="Q52" s="484" t="n"/>
      <c r="R52" s="35" t="n"/>
      <c r="S52" s="484" t="n"/>
      <c r="T52" s="35" t="n"/>
      <c r="U52" s="484" t="n"/>
      <c r="V52" s="35" t="n"/>
      <c r="W52" s="484" t="n"/>
      <c r="X52" s="35" t="n"/>
      <c r="Z52" s="1" t="n"/>
      <c r="AA52" s="1" t="n"/>
      <c r="AB52" s="1" t="n">
        <v>0.66711974</v>
      </c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inlineStr">
        <is>
          <t>Q1H260316001</t>
        </is>
      </c>
    </row>
    <row r="53" ht="16.5" customHeight="1">
      <c r="B53" s="6" t="inlineStr">
        <is>
          <t>Control-4</t>
        </is>
      </c>
      <c r="C53" s="8" t="inlineStr">
        <is>
          <t>Q1H260316001</t>
        </is>
      </c>
      <c r="D53" s="1" t="inlineStr">
        <is>
          <t>Zone-1</t>
        </is>
      </c>
      <c r="E53" s="484" t="n"/>
      <c r="F53" s="35" t="n"/>
      <c r="G53" s="484" t="n"/>
      <c r="H53" s="35" t="n"/>
      <c r="I53" s="484" t="n">
        <v>5.536681</v>
      </c>
      <c r="J53" s="35" t="n"/>
      <c r="K53" s="484" t="n"/>
      <c r="L53" s="35" t="n"/>
      <c r="M53" s="484" t="n"/>
      <c r="N53" s="35" t="n"/>
      <c r="O53" s="484" t="n"/>
      <c r="P53" s="35" t="n"/>
      <c r="Q53" s="484" t="n"/>
      <c r="R53" s="35" t="n"/>
      <c r="S53" s="484" t="n"/>
      <c r="T53" s="35" t="n"/>
      <c r="U53" s="484" t="n"/>
      <c r="V53" s="35" t="n"/>
      <c r="W53" s="484" t="n"/>
      <c r="X53" s="35" t="n"/>
      <c r="Z53" s="1" t="n"/>
      <c r="AA53" s="1" t="n"/>
      <c r="AB53" s="1" t="n"/>
      <c r="AC53" s="1" t="n">
        <v>0.24835473</v>
      </c>
      <c r="AD53" s="1" t="n"/>
      <c r="AE53" s="1" t="n"/>
      <c r="AF53" s="1" t="n"/>
      <c r="AG53" s="1" t="n"/>
      <c r="AH53" s="1" t="n"/>
      <c r="AI53" s="1" t="n"/>
      <c r="AJ53" s="1" t="n"/>
      <c r="AK53" s="1" t="inlineStr">
        <is>
          <t>Q1H260316001</t>
        </is>
      </c>
    </row>
    <row r="54" ht="16.5" customHeight="1">
      <c r="B54" s="6" t="inlineStr">
        <is>
          <t>Control-4</t>
        </is>
      </c>
      <c r="C54" s="8" t="inlineStr">
        <is>
          <t>Q1H260316001</t>
        </is>
      </c>
      <c r="D54" s="1" t="inlineStr">
        <is>
          <t>Zone-1</t>
        </is>
      </c>
      <c r="E54" s="484" t="n"/>
      <c r="F54" s="35" t="n"/>
      <c r="G54" s="484" t="n"/>
      <c r="H54" s="35" t="n"/>
      <c r="I54" s="484" t="n"/>
      <c r="J54" s="35" t="n"/>
      <c r="K54" s="484" t="n">
        <v>382.96942</v>
      </c>
      <c r="L54" s="35" t="n"/>
      <c r="M54" s="484" t="n"/>
      <c r="N54" s="35" t="n"/>
      <c r="O54" s="484" t="n"/>
      <c r="P54" s="35" t="n"/>
      <c r="Q54" s="484" t="n"/>
      <c r="R54" s="35" t="n"/>
      <c r="S54" s="484" t="n"/>
      <c r="T54" s="35" t="n"/>
      <c r="U54" s="484" t="n"/>
      <c r="V54" s="35" t="n"/>
      <c r="W54" s="484" t="n"/>
      <c r="X54" s="35" t="n"/>
      <c r="Z54" s="1" t="n"/>
      <c r="AA54" s="1" t="n"/>
      <c r="AB54" s="1" t="n"/>
      <c r="AC54" s="1" t="n"/>
      <c r="AD54" s="1" t="n">
        <v>2.2991855</v>
      </c>
      <c r="AE54" s="1" t="n"/>
      <c r="AF54" s="1" t="n"/>
      <c r="AG54" s="1" t="n"/>
      <c r="AH54" s="1" t="n"/>
      <c r="AI54" s="1" t="n"/>
      <c r="AJ54" s="1" t="n"/>
      <c r="AK54" s="1" t="inlineStr">
        <is>
          <t>Q1H260316001</t>
        </is>
      </c>
    </row>
    <row r="55" ht="16.5" customHeight="1">
      <c r="B55" s="6" t="inlineStr">
        <is>
          <t>Control-4</t>
        </is>
      </c>
      <c r="C55" s="8" t="inlineStr">
        <is>
          <t>Q1H260316001</t>
        </is>
      </c>
      <c r="D55" s="1" t="inlineStr">
        <is>
          <t>Zone-1</t>
        </is>
      </c>
      <c r="E55" s="484" t="n"/>
      <c r="F55" s="35" t="n"/>
      <c r="G55" s="484" t="n"/>
      <c r="H55" s="35" t="n"/>
      <c r="I55" s="484" t="n"/>
      <c r="J55" s="35" t="n"/>
      <c r="K55" s="484" t="n"/>
      <c r="L55" s="35" t="n"/>
      <c r="M55" s="484" t="n">
        <v>7.6477346</v>
      </c>
      <c r="N55" s="35" t="n"/>
      <c r="O55" s="484" t="n"/>
      <c r="P55" s="35" t="n"/>
      <c r="Q55" s="484" t="n"/>
      <c r="R55" s="35" t="n"/>
      <c r="S55" s="484" t="n"/>
      <c r="T55" s="35" t="n"/>
      <c r="U55" s="484" t="n"/>
      <c r="V55" s="35" t="n"/>
      <c r="W55" s="484" t="n"/>
      <c r="X55" s="35" t="n"/>
      <c r="Z55" s="1" t="n"/>
      <c r="AA55" s="1" t="n"/>
      <c r="AB55" s="1" t="n"/>
      <c r="AC55" s="1" t="n"/>
      <c r="AD55" s="1" t="n"/>
      <c r="AE55" s="1" t="n">
        <v>0.7790554</v>
      </c>
      <c r="AF55" s="1" t="n"/>
      <c r="AG55" s="1" t="n"/>
      <c r="AH55" s="1" t="n"/>
      <c r="AI55" s="1" t="n"/>
      <c r="AJ55" s="1" t="n"/>
      <c r="AK55" s="1" t="inlineStr">
        <is>
          <t>Q1H260316001</t>
        </is>
      </c>
    </row>
    <row r="56" ht="16.5" customHeight="1">
      <c r="B56" t="inlineStr">
        <is>
          <t>Control-3</t>
        </is>
      </c>
      <c r="C56" s="1" t="inlineStr">
        <is>
          <t>Q1H260316001</t>
        </is>
      </c>
      <c r="D56" s="1" t="inlineStr">
        <is>
          <t>Zone-1</t>
        </is>
      </c>
      <c r="E56" s="484" t="n">
        <v>2.457061</v>
      </c>
      <c r="F56" s="35" t="n"/>
      <c r="G56" s="484" t="n"/>
      <c r="H56" s="35" t="n"/>
      <c r="I56" s="484" t="n"/>
      <c r="J56" s="35" t="n"/>
      <c r="K56" s="484" t="n"/>
      <c r="L56" s="35" t="n"/>
      <c r="M56" s="484" t="n"/>
      <c r="N56" s="35" t="n"/>
      <c r="O56" s="484" t="n"/>
      <c r="P56" s="35" t="n"/>
      <c r="Q56" s="484" t="n"/>
      <c r="R56" s="35" t="n"/>
      <c r="S56" s="484" t="n"/>
      <c r="T56" s="35" t="n"/>
      <c r="U56" s="484" t="n"/>
      <c r="V56" s="35" t="n"/>
      <c r="W56" s="484" t="n"/>
      <c r="X56" s="35" t="n"/>
      <c r="Z56" s="1" t="n"/>
      <c r="AA56" s="1" t="n">
        <v>1.9891112</v>
      </c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inlineStr">
        <is>
          <t>Q1H260316001</t>
        </is>
      </c>
    </row>
    <row r="57" ht="16.5" customHeight="1">
      <c r="B57" t="inlineStr">
        <is>
          <t>Control-3</t>
        </is>
      </c>
      <c r="C57" s="1" t="inlineStr">
        <is>
          <t>Q1H260316001</t>
        </is>
      </c>
      <c r="D57" s="1" t="inlineStr">
        <is>
          <t>Zone-1</t>
        </is>
      </c>
      <c r="E57" s="484" t="n"/>
      <c r="F57" s="35" t="n"/>
      <c r="G57" s="484" t="n">
        <v>14.948421</v>
      </c>
      <c r="H57" s="35" t="n"/>
      <c r="I57" s="484" t="n"/>
      <c r="J57" s="35" t="n"/>
      <c r="K57" s="484" t="n"/>
      <c r="L57" s="35" t="n"/>
      <c r="M57" s="484" t="n"/>
      <c r="N57" s="35" t="n"/>
      <c r="O57" s="484" t="n"/>
      <c r="P57" s="35" t="n"/>
      <c r="Q57" s="484" t="n"/>
      <c r="R57" s="35" t="n"/>
      <c r="S57" s="484" t="n"/>
      <c r="T57" s="35" t="n"/>
      <c r="U57" s="484" t="n"/>
      <c r="V57" s="35" t="n"/>
      <c r="W57" s="484" t="n"/>
      <c r="X57" s="35" t="n"/>
      <c r="Z57" s="1" t="n"/>
      <c r="AA57" s="1" t="n"/>
      <c r="AB57" s="1" t="n">
        <v>0.15734218</v>
      </c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inlineStr">
        <is>
          <t>Q1H260316001</t>
        </is>
      </c>
    </row>
    <row r="58" ht="16.5" customHeight="1">
      <c r="B58" t="inlineStr">
        <is>
          <t>Control-3</t>
        </is>
      </c>
      <c r="C58" s="1" t="inlineStr">
        <is>
          <t>Q1H260316001</t>
        </is>
      </c>
      <c r="D58" s="1" t="inlineStr">
        <is>
          <t>Zone-1</t>
        </is>
      </c>
      <c r="E58" s="484" t="n"/>
      <c r="F58" s="35" t="n"/>
      <c r="G58" s="484" t="n"/>
      <c r="H58" s="35" t="n"/>
      <c r="I58" s="484" t="n">
        <v>0.6753486</v>
      </c>
      <c r="J58" s="35" t="n"/>
      <c r="K58" s="484" t="n"/>
      <c r="L58" s="35" t="n"/>
      <c r="M58" s="484" t="n"/>
      <c r="N58" s="35" t="n"/>
      <c r="O58" s="484" t="n"/>
      <c r="P58" s="35" t="n"/>
      <c r="Q58" s="484" t="n"/>
      <c r="R58" s="35" t="n"/>
      <c r="S58" s="484" t="n"/>
      <c r="T58" s="35" t="n"/>
      <c r="U58" s="484" t="n"/>
      <c r="V58" s="35" t="n"/>
      <c r="W58" s="484" t="n"/>
      <c r="X58" s="35" t="n"/>
      <c r="Z58" s="1" t="n"/>
      <c r="AA58" s="1" t="n"/>
      <c r="AB58" s="1" t="n"/>
      <c r="AC58" s="1" t="n">
        <v>0.026479261</v>
      </c>
      <c r="AD58" s="1" t="n"/>
      <c r="AE58" s="1" t="n"/>
      <c r="AF58" s="1" t="n"/>
      <c r="AG58" s="1" t="n"/>
      <c r="AH58" s="1" t="n"/>
      <c r="AI58" s="1" t="n"/>
      <c r="AJ58" s="1" t="n"/>
      <c r="AK58" s="1" t="inlineStr">
        <is>
          <t>Q1H260316001</t>
        </is>
      </c>
    </row>
    <row r="59" ht="16.5" customHeight="1">
      <c r="B59" t="inlineStr">
        <is>
          <t>Control-3</t>
        </is>
      </c>
      <c r="C59" s="1" t="inlineStr">
        <is>
          <t>Q1H260316001</t>
        </is>
      </c>
      <c r="D59" s="1" t="inlineStr">
        <is>
          <t>Zone-1</t>
        </is>
      </c>
      <c r="E59" s="484" t="n"/>
      <c r="F59" s="35" t="n"/>
      <c r="G59" s="484" t="n"/>
      <c r="H59" s="35" t="n"/>
      <c r="I59" s="484" t="n"/>
      <c r="J59" s="35" t="n"/>
      <c r="K59" s="484" t="n">
        <v>66.61163999999999</v>
      </c>
      <c r="L59" s="35" t="n"/>
      <c r="M59" s="484" t="n"/>
      <c r="N59" s="35" t="n"/>
      <c r="O59" s="484" t="n"/>
      <c r="P59" s="35" t="n"/>
      <c r="Q59" s="484" t="n"/>
      <c r="R59" s="35" t="n"/>
      <c r="S59" s="484" t="n"/>
      <c r="T59" s="35" t="n"/>
      <c r="U59" s="484" t="n"/>
      <c r="V59" s="35" t="n"/>
      <c r="W59" s="484" t="n"/>
      <c r="X59" s="35" t="n"/>
      <c r="Z59" s="1" t="n"/>
      <c r="AA59" s="1" t="n"/>
      <c r="AB59" s="1" t="n"/>
      <c r="AC59" s="1" t="n"/>
      <c r="AD59" s="1" t="n">
        <v>0.4662899</v>
      </c>
      <c r="AE59" s="1" t="n"/>
      <c r="AF59" s="1" t="n"/>
      <c r="AG59" s="1" t="n"/>
      <c r="AH59" s="1" t="n"/>
      <c r="AI59" s="1" t="n"/>
      <c r="AJ59" s="1" t="n"/>
      <c r="AK59" s="1" t="inlineStr">
        <is>
          <t>Q1H260316001</t>
        </is>
      </c>
    </row>
    <row r="60" ht="16.5" customHeight="1">
      <c r="B60" t="inlineStr">
        <is>
          <t>Control-3</t>
        </is>
      </c>
      <c r="C60" s="1" t="inlineStr">
        <is>
          <t>Q1H260316001</t>
        </is>
      </c>
      <c r="D60" s="1" t="inlineStr">
        <is>
          <t>Zone-1</t>
        </is>
      </c>
      <c r="E60" s="484" t="n"/>
      <c r="F60" s="35" t="n"/>
      <c r="G60" s="484" t="n"/>
      <c r="H60" s="35" t="n"/>
      <c r="I60" s="484" t="n"/>
      <c r="J60" s="35" t="n"/>
      <c r="K60" s="484" t="n"/>
      <c r="L60" s="35" t="n"/>
      <c r="M60" s="484" t="n">
        <v>4.0943565</v>
      </c>
      <c r="N60" s="35" t="n"/>
      <c r="O60" s="484" t="n"/>
      <c r="P60" s="35" t="n"/>
      <c r="Q60" s="484" t="n"/>
      <c r="R60" s="35" t="n"/>
      <c r="S60" s="484" t="n"/>
      <c r="T60" s="35" t="n"/>
      <c r="U60" s="484" t="n"/>
      <c r="V60" s="35" t="n"/>
      <c r="W60" s="484" t="n"/>
      <c r="X60" s="35" t="n"/>
      <c r="Z60" s="1" t="n"/>
      <c r="AA60" s="1" t="n"/>
      <c r="AB60" s="1" t="n"/>
      <c r="AC60" s="1" t="n"/>
      <c r="AD60" s="1" t="n"/>
      <c r="AE60" s="1" t="n">
        <v>0.5181613</v>
      </c>
      <c r="AF60" s="1" t="n"/>
      <c r="AG60" s="1" t="n"/>
      <c r="AH60" s="1" t="n"/>
      <c r="AI60" s="1" t="n"/>
      <c r="AJ60" s="1" t="n"/>
      <c r="AK60" s="1" t="inlineStr">
        <is>
          <t>Q1H260316001</t>
        </is>
      </c>
    </row>
    <row r="61" ht="16.5" customHeight="1">
      <c r="B61" t="inlineStr">
        <is>
          <t>Control-2</t>
        </is>
      </c>
      <c r="C61" s="1" t="inlineStr">
        <is>
          <t>Q1H260316001</t>
        </is>
      </c>
      <c r="D61" s="1" t="inlineStr">
        <is>
          <t>Zone-1</t>
        </is>
      </c>
      <c r="E61" s="484" t="n">
        <v>2.6804802</v>
      </c>
      <c r="F61" s="35" t="n"/>
      <c r="G61" s="484" t="n"/>
      <c r="H61" s="35" t="n"/>
      <c r="I61" s="484" t="n"/>
      <c r="J61" s="35" t="n"/>
      <c r="K61" s="484" t="n"/>
      <c r="L61" s="35" t="n"/>
      <c r="M61" s="484" t="n"/>
      <c r="N61" s="35" t="n"/>
      <c r="O61" s="484" t="n"/>
      <c r="P61" s="35" t="n"/>
      <c r="Q61" s="484" t="n"/>
      <c r="R61" s="35" t="n"/>
      <c r="S61" s="484" t="n"/>
      <c r="T61" s="35" t="n"/>
      <c r="U61" s="484" t="n"/>
      <c r="V61" s="35" t="n"/>
      <c r="W61" s="484" t="n"/>
      <c r="X61" s="35" t="n"/>
      <c r="Z61" s="1" t="n"/>
      <c r="AA61" s="1" t="n">
        <v>2.1012015</v>
      </c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inlineStr">
        <is>
          <t>Q1H260316001</t>
        </is>
      </c>
    </row>
    <row r="62" ht="16.5" customHeight="1">
      <c r="B62" t="inlineStr">
        <is>
          <t>Control-2</t>
        </is>
      </c>
      <c r="C62" s="1" t="inlineStr">
        <is>
          <t>Q1H260316001</t>
        </is>
      </c>
      <c r="D62" s="1" t="inlineStr">
        <is>
          <t>Zone-1</t>
        </is>
      </c>
      <c r="E62" s="484" t="n"/>
      <c r="F62" s="35" t="n"/>
      <c r="G62" s="484" t="n">
        <v>44.872215</v>
      </c>
      <c r="H62" s="35" t="n"/>
      <c r="I62" s="484" t="n"/>
      <c r="J62" s="35" t="n"/>
      <c r="K62" s="484" t="n"/>
      <c r="L62" s="35" t="n"/>
      <c r="M62" s="484" t="n"/>
      <c r="N62" s="35" t="n"/>
      <c r="O62" s="484" t="n"/>
      <c r="P62" s="35" t="n"/>
      <c r="Q62" s="484" t="n"/>
      <c r="R62" s="35" t="n"/>
      <c r="S62" s="484" t="n"/>
      <c r="T62" s="35" t="n"/>
      <c r="U62" s="484" t="n"/>
      <c r="V62" s="35" t="n"/>
      <c r="W62" s="484" t="n"/>
      <c r="X62" s="35" t="n"/>
      <c r="Z62" s="1" t="n"/>
      <c r="AA62" s="1" t="n"/>
      <c r="AB62" s="1" t="n">
        <v>0.45697403</v>
      </c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inlineStr">
        <is>
          <t>Q1H260316001</t>
        </is>
      </c>
    </row>
    <row r="63" ht="16.5" customHeight="1">
      <c r="B63" t="inlineStr">
        <is>
          <t>Control-2</t>
        </is>
      </c>
      <c r="C63" s="1" t="inlineStr">
        <is>
          <t>Q1H260316001</t>
        </is>
      </c>
      <c r="D63" s="1" t="inlineStr">
        <is>
          <t>Zone-1</t>
        </is>
      </c>
      <c r="E63" s="484" t="n"/>
      <c r="F63" s="35" t="n"/>
      <c r="G63" s="484" t="n"/>
      <c r="H63" s="35" t="n"/>
      <c r="I63" s="484" t="n">
        <v>4.604651</v>
      </c>
      <c r="J63" s="35" t="n"/>
      <c r="K63" s="484" t="n"/>
      <c r="L63" s="35" t="n"/>
      <c r="M63" s="484" t="n"/>
      <c r="N63" s="35" t="n"/>
      <c r="O63" s="484" t="n"/>
      <c r="P63" s="35" t="n"/>
      <c r="Q63" s="484" t="n"/>
      <c r="R63" s="35" t="n"/>
      <c r="S63" s="484" t="n"/>
      <c r="T63" s="35" t="n"/>
      <c r="U63" s="484" t="n"/>
      <c r="V63" s="35" t="n"/>
      <c r="W63" s="484" t="n"/>
      <c r="X63" s="35" t="n"/>
      <c r="Z63" s="1" t="n"/>
      <c r="AA63" s="1" t="n"/>
      <c r="AB63" s="1" t="n"/>
      <c r="AC63" s="1" t="n">
        <v>0.2276748</v>
      </c>
      <c r="AD63" s="1" t="n"/>
      <c r="AE63" s="1" t="n"/>
      <c r="AF63" s="1" t="n"/>
      <c r="AG63" s="1" t="n"/>
      <c r="AH63" s="1" t="n"/>
      <c r="AI63" s="1" t="n"/>
      <c r="AJ63" s="1" t="n"/>
      <c r="AK63" s="1" t="inlineStr">
        <is>
          <t>Q1H260316001</t>
        </is>
      </c>
    </row>
    <row r="64" ht="16.5" customHeight="1">
      <c r="B64" t="inlineStr">
        <is>
          <t>Control-2</t>
        </is>
      </c>
      <c r="C64" s="1" t="inlineStr">
        <is>
          <t>Q1H260316001</t>
        </is>
      </c>
      <c r="D64" s="1" t="inlineStr">
        <is>
          <t>Zone-1</t>
        </is>
      </c>
      <c r="E64" s="484" t="n"/>
      <c r="F64" s="35" t="n"/>
      <c r="G64" s="484" t="n"/>
      <c r="H64" s="35" t="n"/>
      <c r="I64" s="484" t="n"/>
      <c r="J64" s="35" t="n"/>
      <c r="K64" s="484" t="n">
        <v>302.8442</v>
      </c>
      <c r="L64" s="35" t="n"/>
      <c r="M64" s="484" t="n"/>
      <c r="N64" s="35" t="n"/>
      <c r="O64" s="484" t="n"/>
      <c r="P64" s="35" t="n"/>
      <c r="Q64" s="484" t="n"/>
      <c r="R64" s="35" t="n"/>
      <c r="S64" s="484" t="n"/>
      <c r="T64" s="35" t="n"/>
      <c r="U64" s="484" t="n"/>
      <c r="V64" s="35" t="n"/>
      <c r="W64" s="484" t="n"/>
      <c r="X64" s="35" t="n"/>
      <c r="Z64" s="1" t="n"/>
      <c r="AA64" s="1" t="n"/>
      <c r="AB64" s="1" t="n"/>
      <c r="AC64" s="1" t="n"/>
      <c r="AD64" s="1" t="n">
        <v>1.8662858</v>
      </c>
      <c r="AE64" s="1" t="n"/>
      <c r="AF64" s="1" t="n"/>
      <c r="AG64" s="1" t="n"/>
      <c r="AH64" s="1" t="n"/>
      <c r="AI64" s="1" t="n"/>
      <c r="AJ64" s="1" t="n"/>
      <c r="AK64" s="1" t="inlineStr">
        <is>
          <t>Q1H260316001</t>
        </is>
      </c>
    </row>
    <row r="65" ht="16.5" customHeight="1">
      <c r="B65" t="inlineStr">
        <is>
          <t>Control-2</t>
        </is>
      </c>
      <c r="C65" s="1" t="inlineStr">
        <is>
          <t>Q1H260316001</t>
        </is>
      </c>
      <c r="D65" s="1" t="inlineStr">
        <is>
          <t>Zone-1</t>
        </is>
      </c>
      <c r="E65" s="484" t="n"/>
      <c r="F65" s="35" t="n"/>
      <c r="G65" s="484" t="n"/>
      <c r="H65" s="35" t="n"/>
      <c r="I65" s="484" t="n"/>
      <c r="J65" s="35" t="n"/>
      <c r="K65" s="484" t="n"/>
      <c r="L65" s="35" t="n"/>
      <c r="M65" s="484" t="n">
        <v>4.2794023</v>
      </c>
      <c r="N65" s="35" t="n"/>
      <c r="O65" s="484" t="n"/>
      <c r="P65" s="35" t="n"/>
      <c r="Q65" s="484" t="n"/>
      <c r="R65" s="35" t="n"/>
      <c r="S65" s="484" t="n"/>
      <c r="T65" s="35" t="n"/>
      <c r="U65" s="484" t="n"/>
      <c r="V65" s="35" t="n"/>
      <c r="W65" s="484" t="n"/>
      <c r="X65" s="35" t="n"/>
      <c r="Z65" s="1" t="n"/>
      <c r="AA65" s="1" t="n"/>
      <c r="AB65" s="1" t="n"/>
      <c r="AC65" s="1" t="n"/>
      <c r="AD65" s="1" t="n"/>
      <c r="AE65" s="1" t="n">
        <v>0.53472334</v>
      </c>
      <c r="AF65" s="1" t="n"/>
      <c r="AG65" s="1" t="n"/>
      <c r="AH65" s="1" t="n"/>
      <c r="AI65" s="1" t="n"/>
      <c r="AJ65" s="1" t="n"/>
      <c r="AK65" s="1" t="inlineStr">
        <is>
          <t>Q1H260316001</t>
        </is>
      </c>
    </row>
    <row r="66" ht="16.5" customHeight="1">
      <c r="B66" s="6" t="inlineStr">
        <is>
          <t>Control-1</t>
        </is>
      </c>
      <c r="C66" s="8" t="inlineStr">
        <is>
          <t>Q1H260316001</t>
        </is>
      </c>
      <c r="D66" s="1" t="inlineStr">
        <is>
          <t>Zone-3</t>
        </is>
      </c>
      <c r="E66" s="484" t="n">
        <v>4.043517</v>
      </c>
      <c r="F66" s="35" t="n"/>
      <c r="G66" s="484" t="n"/>
      <c r="H66" s="35" t="n"/>
      <c r="I66" s="484" t="n"/>
      <c r="J66" s="35" t="n"/>
      <c r="K66" s="484" t="n"/>
      <c r="L66" s="35" t="n"/>
      <c r="M66" s="484" t="n"/>
      <c r="N66" s="35" t="n"/>
      <c r="O66" s="484" t="n"/>
      <c r="P66" s="35" t="n"/>
      <c r="Q66" s="484" t="n"/>
      <c r="R66" s="35" t="n"/>
      <c r="S66" s="484" t="n"/>
      <c r="T66" s="35" t="n"/>
      <c r="U66" s="484" t="n"/>
      <c r="V66" s="35" t="n"/>
      <c r="W66" s="484" t="n"/>
      <c r="X66" s="35" t="n"/>
      <c r="Z66" s="1" t="n"/>
      <c r="AA66" s="1" t="n">
        <v>2.6461024</v>
      </c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inlineStr">
        <is>
          <t>Q1H260316001</t>
        </is>
      </c>
    </row>
    <row r="67" ht="16.5" customHeight="1">
      <c r="B67" s="6" t="inlineStr">
        <is>
          <t>Control-1</t>
        </is>
      </c>
      <c r="C67" s="8" t="inlineStr">
        <is>
          <t>Q1H260316001</t>
        </is>
      </c>
      <c r="D67" s="1" t="inlineStr">
        <is>
          <t>Zone-3</t>
        </is>
      </c>
      <c r="E67" s="484" t="n"/>
      <c r="F67" s="35" t="n"/>
      <c r="G67" s="484" t="n">
        <v>14.589251</v>
      </c>
      <c r="H67" s="35" t="n"/>
      <c r="I67" s="484" t="n"/>
      <c r="J67" s="35" t="n"/>
      <c r="K67" s="484" t="n"/>
      <c r="L67" s="35" t="n"/>
      <c r="M67" s="484" t="n"/>
      <c r="N67" s="35" t="n"/>
      <c r="O67" s="484" t="n"/>
      <c r="P67" s="35" t="n"/>
      <c r="Q67" s="484" t="n"/>
      <c r="R67" s="35" t="n"/>
      <c r="S67" s="484" t="n"/>
      <c r="T67" s="35" t="n"/>
      <c r="U67" s="484" t="n"/>
      <c r="V67" s="35" t="n"/>
      <c r="W67" s="484" t="n"/>
      <c r="X67" s="35" t="n"/>
      <c r="Z67" s="1" t="n"/>
      <c r="AA67" s="1" t="n"/>
      <c r="AB67" s="1" t="n">
        <v>0.15452772</v>
      </c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inlineStr">
        <is>
          <t>Q1H260316001</t>
        </is>
      </c>
    </row>
    <row r="68" ht="16.5" customHeight="1">
      <c r="B68" s="6" t="inlineStr">
        <is>
          <t>Control-1</t>
        </is>
      </c>
      <c r="C68" s="8" t="inlineStr">
        <is>
          <t>Q1H260316001</t>
        </is>
      </c>
      <c r="D68" s="1" t="inlineStr">
        <is>
          <t>Zone-3</t>
        </is>
      </c>
      <c r="E68" s="484" t="n"/>
      <c r="F68" s="35" t="n"/>
      <c r="G68" s="484" t="n"/>
      <c r="H68" s="35" t="n"/>
      <c r="I68" s="484" t="n">
        <v>1.222006</v>
      </c>
      <c r="J68" s="35" t="n"/>
      <c r="K68" s="484" t="n"/>
      <c r="L68" s="35" t="n"/>
      <c r="M68" s="484" t="n"/>
      <c r="N68" s="35" t="n"/>
      <c r="O68" s="484" t="n"/>
      <c r="P68" s="35" t="n"/>
      <c r="Q68" s="484" t="n"/>
      <c r="R68" s="35" t="n"/>
      <c r="S68" s="484" t="n"/>
      <c r="T68" s="35" t="n"/>
      <c r="U68" s="484" t="n"/>
      <c r="V68" s="35" t="n"/>
      <c r="W68" s="484" t="n"/>
      <c r="X68" s="35" t="n"/>
      <c r="Z68" s="1" t="n"/>
      <c r="AA68" s="1" t="n"/>
      <c r="AB68" s="1" t="n"/>
      <c r="AC68" s="1" t="n">
        <v>0.055168316</v>
      </c>
      <c r="AD68" s="1" t="n"/>
      <c r="AE68" s="1" t="n"/>
      <c r="AF68" s="1" t="n"/>
      <c r="AG68" s="1" t="n"/>
      <c r="AH68" s="1" t="n"/>
      <c r="AI68" s="1" t="n"/>
      <c r="AJ68" s="1" t="n"/>
      <c r="AK68" s="1" t="inlineStr">
        <is>
          <t>Q1H260316001</t>
        </is>
      </c>
    </row>
    <row r="69" ht="16.5" customHeight="1">
      <c r="B69" s="6" t="inlineStr">
        <is>
          <t>Control-1</t>
        </is>
      </c>
      <c r="C69" s="8" t="inlineStr">
        <is>
          <t>Q1H260316001</t>
        </is>
      </c>
      <c r="D69" s="1" t="inlineStr">
        <is>
          <t>Zone-3</t>
        </is>
      </c>
      <c r="E69" s="484" t="n"/>
      <c r="F69" s="35" t="n"/>
      <c r="G69" s="484" t="n"/>
      <c r="H69" s="35" t="n"/>
      <c r="I69" s="484" t="n"/>
      <c r="J69" s="35" t="n"/>
      <c r="K69" s="484" t="n">
        <v>92.64716</v>
      </c>
      <c r="L69" s="35" t="n"/>
      <c r="M69" s="484" t="n"/>
      <c r="N69" s="35" t="n"/>
      <c r="O69" s="484" t="n"/>
      <c r="P69" s="35" t="n"/>
      <c r="Q69" s="484" t="n"/>
      <c r="R69" s="35" t="n"/>
      <c r="S69" s="484" t="n"/>
      <c r="T69" s="35" t="n"/>
      <c r="U69" s="484" t="n"/>
      <c r="V69" s="35" t="n"/>
      <c r="W69" s="484" t="n"/>
      <c r="X69" s="35" t="n"/>
      <c r="Z69" s="1" t="n"/>
      <c r="AA69" s="1" t="n"/>
      <c r="AB69" s="1" t="n"/>
      <c r="AC69" s="1" t="n"/>
      <c r="AD69" s="1" t="n">
        <v>0.61699694</v>
      </c>
      <c r="AE69" s="1" t="n"/>
      <c r="AF69" s="1" t="n"/>
      <c r="AG69" s="1" t="n"/>
      <c r="AH69" s="1" t="n"/>
      <c r="AI69" s="1" t="n"/>
      <c r="AJ69" s="1" t="n"/>
      <c r="AK69" s="1" t="inlineStr">
        <is>
          <t>Q1H260316001</t>
        </is>
      </c>
    </row>
    <row r="70" ht="16.5" customHeight="1">
      <c r="B70" s="6" t="inlineStr">
        <is>
          <t>Control-1</t>
        </is>
      </c>
      <c r="C70" s="8" t="inlineStr">
        <is>
          <t>Q1H260316001</t>
        </is>
      </c>
      <c r="D70" s="1" t="inlineStr">
        <is>
          <t>Zone-3</t>
        </is>
      </c>
      <c r="E70" s="484" t="n"/>
      <c r="F70" s="35" t="n"/>
      <c r="G70" s="484" t="n"/>
      <c r="H70" s="35" t="n"/>
      <c r="I70" s="484" t="n"/>
      <c r="J70" s="35" t="n"/>
      <c r="K70" s="484" t="n"/>
      <c r="L70" s="35" t="n"/>
      <c r="M70" s="484" t="n">
        <v>6.52608</v>
      </c>
      <c r="N70" s="35" t="n"/>
      <c r="O70" s="484" t="n"/>
      <c r="P70" s="35" t="n"/>
      <c r="Q70" s="484" t="n"/>
      <c r="R70" s="35" t="n"/>
      <c r="S70" s="484" t="n"/>
      <c r="T70" s="35" t="n"/>
      <c r="U70" s="484" t="n"/>
      <c r="V70" s="35" t="n"/>
      <c r="W70" s="484" t="n"/>
      <c r="X70" s="35" t="n"/>
      <c r="Z70" s="1" t="n"/>
      <c r="AA70" s="1" t="n"/>
      <c r="AB70" s="1" t="n"/>
      <c r="AC70" s="1" t="n"/>
      <c r="AD70" s="1" t="n"/>
      <c r="AE70" s="1" t="n">
        <v>0.6949856</v>
      </c>
      <c r="AF70" s="1" t="n"/>
      <c r="AG70" s="1" t="n"/>
      <c r="AH70" s="1" t="n"/>
      <c r="AI70" s="1" t="n"/>
      <c r="AJ70" s="1" t="n"/>
      <c r="AK70" s="1" t="inlineStr">
        <is>
          <t>Q1H260316001</t>
        </is>
      </c>
    </row>
    <row r="71" ht="16.5" customHeight="1">
      <c r="B71" s="6" t="inlineStr">
        <is>
          <t>Control 4</t>
        </is>
      </c>
      <c r="C71" s="8" t="inlineStr">
        <is>
          <t>機台序號3</t>
        </is>
      </c>
      <c r="D71" s="1" t="n"/>
      <c r="E71" s="484" t="n"/>
      <c r="F71" s="35" t="n"/>
      <c r="G71" s="484" t="n"/>
      <c r="H71" s="35" t="n"/>
      <c r="I71" s="484" t="n"/>
      <c r="J71" s="35" t="n"/>
      <c r="K71" s="484" t="n"/>
      <c r="L71" s="35" t="n"/>
      <c r="M71" s="484" t="n"/>
      <c r="N71" s="35" t="n"/>
      <c r="O71" s="484" t="n"/>
      <c r="P71" s="35" t="n"/>
      <c r="Q71" s="484" t="n"/>
      <c r="R71" s="35" t="n"/>
      <c r="S71" s="484" t="n"/>
      <c r="T71" s="35" t="n"/>
      <c r="U71" s="484" t="n"/>
      <c r="V71" s="35" t="n"/>
      <c r="W71" s="484" t="n"/>
      <c r="X71" s="35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 ht="16.5" customHeight="1">
      <c r="B72" s="6" t="inlineStr">
        <is>
          <t>Control 4</t>
        </is>
      </c>
      <c r="C72" s="8" t="inlineStr">
        <is>
          <t>機台序號3</t>
        </is>
      </c>
      <c r="D72" s="1" t="n"/>
      <c r="E72" s="484" t="n"/>
      <c r="F72" s="35" t="n"/>
      <c r="G72" s="484" t="n"/>
      <c r="H72" s="35" t="n"/>
      <c r="I72" s="484" t="n"/>
      <c r="J72" s="35" t="n"/>
      <c r="K72" s="484" t="n"/>
      <c r="L72" s="35" t="n"/>
      <c r="M72" s="484" t="n"/>
      <c r="N72" s="35" t="n"/>
      <c r="O72" s="484" t="n"/>
      <c r="P72" s="35" t="n"/>
      <c r="Q72" s="484" t="n"/>
      <c r="R72" s="35" t="n"/>
      <c r="S72" s="484" t="n"/>
      <c r="T72" s="35" t="n"/>
      <c r="U72" s="484" t="n"/>
      <c r="V72" s="35" t="n"/>
      <c r="W72" s="484" t="n"/>
      <c r="X72" s="35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 ht="16.5" customHeight="1">
      <c r="B73" s="6" t="inlineStr">
        <is>
          <t>Control 4</t>
        </is>
      </c>
      <c r="C73" s="8" t="inlineStr">
        <is>
          <t>機台序號3</t>
        </is>
      </c>
      <c r="D73" s="1" t="n"/>
      <c r="E73" s="484" t="n"/>
      <c r="F73" s="35" t="n"/>
      <c r="G73" s="484" t="n"/>
      <c r="H73" s="35" t="n"/>
      <c r="I73" s="484" t="n"/>
      <c r="J73" s="35" t="n"/>
      <c r="K73" s="484" t="n"/>
      <c r="L73" s="35" t="n"/>
      <c r="M73" s="484" t="n"/>
      <c r="N73" s="35" t="n"/>
      <c r="O73" s="484" t="n"/>
      <c r="P73" s="35" t="n"/>
      <c r="Q73" s="484" t="n"/>
      <c r="R73" s="35" t="n"/>
      <c r="S73" s="484" t="n"/>
      <c r="T73" s="35" t="n"/>
      <c r="U73" s="484" t="n"/>
      <c r="V73" s="35" t="n"/>
      <c r="W73" s="484" t="n"/>
      <c r="X73" s="35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 ht="16.5" customHeight="1">
      <c r="B74" s="6" t="inlineStr">
        <is>
          <t>Control 4</t>
        </is>
      </c>
      <c r="C74" s="8" t="inlineStr">
        <is>
          <t>機台序號3</t>
        </is>
      </c>
      <c r="D74" s="1" t="n"/>
      <c r="E74" s="484" t="n"/>
      <c r="F74" s="35" t="n"/>
      <c r="G74" s="484" t="n"/>
      <c r="H74" s="35" t="n"/>
      <c r="I74" s="484" t="n"/>
      <c r="J74" s="35" t="n"/>
      <c r="K74" s="484" t="n"/>
      <c r="L74" s="35" t="n"/>
      <c r="M74" s="484" t="n"/>
      <c r="N74" s="35" t="n"/>
      <c r="O74" s="484" t="n"/>
      <c r="P74" s="35" t="n"/>
      <c r="Q74" s="484" t="n"/>
      <c r="R74" s="35" t="n"/>
      <c r="S74" s="484" t="n"/>
      <c r="T74" s="35" t="n"/>
      <c r="U74" s="484" t="n"/>
      <c r="V74" s="35" t="n"/>
      <c r="W74" s="484" t="n"/>
      <c r="X74" s="35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 ht="16.5" customHeight="1">
      <c r="B75" s="6" t="inlineStr">
        <is>
          <t>Control 4</t>
        </is>
      </c>
      <c r="C75" s="8" t="inlineStr">
        <is>
          <t>機台序號3</t>
        </is>
      </c>
      <c r="D75" s="1" t="n"/>
      <c r="E75" s="484" t="n"/>
      <c r="F75" s="35" t="n"/>
      <c r="G75" s="484" t="n"/>
      <c r="H75" s="35" t="n"/>
      <c r="I75" s="484" t="n"/>
      <c r="J75" s="35" t="n"/>
      <c r="K75" s="484" t="n"/>
      <c r="L75" s="35" t="n"/>
      <c r="M75" s="484" t="n"/>
      <c r="N75" s="35" t="n"/>
      <c r="O75" s="484" t="n"/>
      <c r="P75" s="35" t="n"/>
      <c r="Q75" s="484" t="n"/>
      <c r="R75" s="35" t="n"/>
      <c r="S75" s="484" t="n"/>
      <c r="T75" s="35" t="n"/>
      <c r="U75" s="484" t="n"/>
      <c r="V75" s="35" t="n"/>
      <c r="W75" s="484" t="n"/>
      <c r="X75" s="35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 ht="16.5" customHeight="1">
      <c r="B76" t="inlineStr">
        <is>
          <t>Control 5</t>
        </is>
      </c>
      <c r="C76" s="1" t="inlineStr">
        <is>
          <t>機台序號3</t>
        </is>
      </c>
      <c r="D76" s="1" t="n"/>
      <c r="E76" s="484" t="n"/>
      <c r="F76" s="35" t="n"/>
      <c r="G76" s="484" t="n"/>
      <c r="H76" s="35" t="n"/>
      <c r="I76" s="484" t="n"/>
      <c r="J76" s="35" t="n"/>
      <c r="K76" s="484" t="n"/>
      <c r="L76" s="35" t="n"/>
      <c r="M76" s="484" t="n"/>
      <c r="N76" s="35" t="n"/>
      <c r="O76" s="484" t="n"/>
      <c r="P76" s="35" t="n"/>
      <c r="Q76" s="484" t="n"/>
      <c r="R76" s="35" t="n"/>
      <c r="S76" s="484" t="n"/>
      <c r="T76" s="35" t="n"/>
      <c r="U76" s="484" t="n"/>
      <c r="V76" s="35" t="n"/>
      <c r="W76" s="484" t="n"/>
      <c r="X76" s="35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 ht="16.5" customHeight="1">
      <c r="B77" t="inlineStr">
        <is>
          <t>Control 5</t>
        </is>
      </c>
      <c r="C77" s="1" t="inlineStr">
        <is>
          <t>機台序號3</t>
        </is>
      </c>
      <c r="D77" s="1" t="n"/>
      <c r="E77" s="484" t="n"/>
      <c r="F77" s="35" t="n"/>
      <c r="G77" s="484" t="n"/>
      <c r="H77" s="35" t="n"/>
      <c r="I77" s="484" t="n"/>
      <c r="J77" s="35" t="n"/>
      <c r="K77" s="484" t="n"/>
      <c r="L77" s="35" t="n"/>
      <c r="M77" s="484" t="n"/>
      <c r="N77" s="35" t="n"/>
      <c r="O77" s="484" t="n"/>
      <c r="P77" s="35" t="n"/>
      <c r="Q77" s="484" t="n"/>
      <c r="R77" s="35" t="n"/>
      <c r="S77" s="484" t="n"/>
      <c r="T77" s="35" t="n"/>
      <c r="U77" s="484" t="n"/>
      <c r="V77" s="35" t="n"/>
      <c r="W77" s="484" t="n"/>
      <c r="X77" s="35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 ht="16.5" customHeight="1">
      <c r="B78" t="inlineStr">
        <is>
          <t>Control 5</t>
        </is>
      </c>
      <c r="C78" s="1" t="inlineStr">
        <is>
          <t>機台序號3</t>
        </is>
      </c>
      <c r="D78" s="1" t="n"/>
      <c r="E78" s="484" t="n"/>
      <c r="F78" s="35" t="n"/>
      <c r="G78" s="484" t="n"/>
      <c r="H78" s="35" t="n"/>
      <c r="I78" s="484" t="n"/>
      <c r="J78" s="35" t="n"/>
      <c r="K78" s="484" t="n"/>
      <c r="L78" s="35" t="n"/>
      <c r="M78" s="484" t="n"/>
      <c r="N78" s="35" t="n"/>
      <c r="O78" s="484" t="n"/>
      <c r="P78" s="35" t="n"/>
      <c r="Q78" s="484" t="n"/>
      <c r="R78" s="35" t="n"/>
      <c r="S78" s="484" t="n"/>
      <c r="T78" s="35" t="n"/>
      <c r="U78" s="484" t="n"/>
      <c r="V78" s="35" t="n"/>
      <c r="W78" s="484" t="n"/>
      <c r="X78" s="35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 ht="16.5" customHeight="1">
      <c r="B79" t="inlineStr">
        <is>
          <t>Control 5</t>
        </is>
      </c>
      <c r="C79" s="1" t="inlineStr">
        <is>
          <t>機台序號3</t>
        </is>
      </c>
      <c r="D79" s="1" t="n"/>
      <c r="E79" s="484" t="n"/>
      <c r="F79" s="35" t="n"/>
      <c r="G79" s="484" t="n"/>
      <c r="H79" s="35" t="n"/>
      <c r="I79" s="484" t="n"/>
      <c r="J79" s="35" t="n"/>
      <c r="K79" s="484" t="n"/>
      <c r="L79" s="35" t="n"/>
      <c r="M79" s="484" t="n"/>
      <c r="N79" s="35" t="n"/>
      <c r="O79" s="484" t="n"/>
      <c r="P79" s="35" t="n"/>
      <c r="Q79" s="484" t="n"/>
      <c r="R79" s="35" t="n"/>
      <c r="S79" s="484" t="n"/>
      <c r="T79" s="35" t="n"/>
      <c r="U79" s="484" t="n"/>
      <c r="V79" s="35" t="n"/>
      <c r="W79" s="484" t="n"/>
      <c r="X79" s="3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 ht="16.5" customHeight="1">
      <c r="B80" t="inlineStr">
        <is>
          <t>Control 5</t>
        </is>
      </c>
      <c r="C80" s="1" t="inlineStr">
        <is>
          <t>機台序號3</t>
        </is>
      </c>
      <c r="D80" s="1" t="n"/>
      <c r="E80" s="484" t="n"/>
      <c r="F80" s="35" t="n"/>
      <c r="G80" s="484" t="n"/>
      <c r="H80" s="35" t="n"/>
      <c r="I80" s="484" t="n"/>
      <c r="J80" s="35" t="n"/>
      <c r="K80" s="484" t="n"/>
      <c r="L80" s="35" t="n"/>
      <c r="M80" s="484" t="n"/>
      <c r="N80" s="35" t="n"/>
      <c r="O80" s="484" t="n"/>
      <c r="P80" s="35" t="n"/>
      <c r="Q80" s="484" t="n"/>
      <c r="R80" s="35" t="n"/>
      <c r="S80" s="484" t="n"/>
      <c r="T80" s="35" t="n"/>
      <c r="U80" s="484" t="n"/>
      <c r="V80" s="35" t="n"/>
      <c r="W80" s="484" t="n"/>
      <c r="X80" s="35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 ht="16.5" customHeight="1">
      <c r="B81" t="inlineStr">
        <is>
          <t>Control 5</t>
        </is>
      </c>
      <c r="C81" s="1" t="inlineStr">
        <is>
          <t>機台序號3</t>
        </is>
      </c>
      <c r="D81" s="1" t="n"/>
      <c r="E81" s="484" t="n"/>
      <c r="F81" s="35" t="n"/>
      <c r="G81" s="484" t="n"/>
      <c r="H81" s="35" t="n"/>
      <c r="I81" s="484" t="n"/>
      <c r="J81" s="35" t="n"/>
      <c r="K81" s="484" t="n"/>
      <c r="L81" s="35" t="n"/>
      <c r="M81" s="484" t="n"/>
      <c r="N81" s="35" t="n"/>
      <c r="O81" s="484" t="n"/>
      <c r="P81" s="35" t="n"/>
      <c r="Q81" s="484" t="n"/>
      <c r="R81" s="35" t="n"/>
      <c r="S81" s="484" t="n"/>
      <c r="T81" s="35" t="n"/>
      <c r="U81" s="484" t="n"/>
      <c r="V81" s="35" t="n"/>
      <c r="W81" s="484" t="n"/>
      <c r="X81" s="35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 ht="16.5" customHeight="1">
      <c r="B82" t="inlineStr">
        <is>
          <t>Control 5</t>
        </is>
      </c>
      <c r="C82" s="1" t="inlineStr">
        <is>
          <t>機台序號3</t>
        </is>
      </c>
      <c r="D82" s="1" t="n"/>
      <c r="E82" s="484" t="n"/>
      <c r="F82" s="35" t="n"/>
      <c r="G82" s="484" t="n"/>
      <c r="H82" s="35" t="n"/>
      <c r="I82" s="484" t="n"/>
      <c r="J82" s="35" t="n"/>
      <c r="K82" s="484" t="n"/>
      <c r="L82" s="35" t="n"/>
      <c r="M82" s="484" t="n"/>
      <c r="N82" s="35" t="n"/>
      <c r="O82" s="484" t="n"/>
      <c r="P82" s="35" t="n"/>
      <c r="Q82" s="484" t="n"/>
      <c r="R82" s="35" t="n"/>
      <c r="S82" s="484" t="n"/>
      <c r="T82" s="35" t="n"/>
      <c r="U82" s="484" t="n"/>
      <c r="V82" s="35" t="n"/>
      <c r="W82" s="484" t="n"/>
      <c r="X82" s="35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 ht="16.5" customHeight="1">
      <c r="B83" t="inlineStr">
        <is>
          <t>Control 5</t>
        </is>
      </c>
      <c r="C83" s="1" t="inlineStr">
        <is>
          <t>機台序號3</t>
        </is>
      </c>
      <c r="D83" s="1" t="n"/>
      <c r="E83" s="484" t="n"/>
      <c r="F83" s="35" t="n"/>
      <c r="G83" s="484" t="n"/>
      <c r="H83" s="35" t="n"/>
      <c r="I83" s="484" t="n"/>
      <c r="J83" s="35" t="n"/>
      <c r="K83" s="484" t="n"/>
      <c r="L83" s="35" t="n"/>
      <c r="M83" s="484" t="n"/>
      <c r="N83" s="35" t="n"/>
      <c r="O83" s="484" t="n"/>
      <c r="P83" s="35" t="n"/>
      <c r="Q83" s="484" t="n"/>
      <c r="R83" s="35" t="n"/>
      <c r="S83" s="484" t="n"/>
      <c r="T83" s="35" t="n"/>
      <c r="U83" s="484" t="n"/>
      <c r="V83" s="35" t="n"/>
      <c r="W83" s="484" t="n"/>
      <c r="X83" s="35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 ht="16.5" customHeight="1">
      <c r="B84" t="inlineStr">
        <is>
          <t>Control 5</t>
        </is>
      </c>
      <c r="C84" s="1" t="inlineStr">
        <is>
          <t>機台序號3</t>
        </is>
      </c>
      <c r="D84" s="1" t="n"/>
      <c r="E84" s="484" t="n"/>
      <c r="F84" s="35" t="n"/>
      <c r="G84" s="484" t="n"/>
      <c r="H84" s="35" t="n"/>
      <c r="I84" s="484" t="n"/>
      <c r="J84" s="35" t="n"/>
      <c r="K84" s="484" t="n"/>
      <c r="L84" s="35" t="n"/>
      <c r="M84" s="484" t="n"/>
      <c r="N84" s="35" t="n"/>
      <c r="O84" s="484" t="n"/>
      <c r="P84" s="35" t="n"/>
      <c r="Q84" s="484" t="n"/>
      <c r="R84" s="35" t="n"/>
      <c r="S84" s="484" t="n"/>
      <c r="T84" s="35" t="n"/>
      <c r="U84" s="484" t="n"/>
      <c r="V84" s="35" t="n"/>
      <c r="W84" s="484" t="n"/>
      <c r="X84" s="35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 ht="16.5" customHeight="1">
      <c r="B85" t="inlineStr">
        <is>
          <t>Control 5</t>
        </is>
      </c>
      <c r="C85" s="1" t="inlineStr">
        <is>
          <t>機台序號3</t>
        </is>
      </c>
      <c r="D85" s="1" t="n"/>
      <c r="E85" s="484" t="n"/>
      <c r="F85" s="35" t="n"/>
      <c r="G85" s="484" t="n"/>
      <c r="H85" s="35" t="n"/>
      <c r="I85" s="484" t="n"/>
      <c r="J85" s="35" t="n"/>
      <c r="K85" s="484" t="n"/>
      <c r="L85" s="35" t="n"/>
      <c r="M85" s="484" t="n"/>
      <c r="N85" s="35" t="n"/>
      <c r="O85" s="484" t="n"/>
      <c r="P85" s="35" t="n"/>
      <c r="Q85" s="484" t="n"/>
      <c r="R85" s="35" t="n"/>
      <c r="S85" s="484" t="n"/>
      <c r="T85" s="35" t="n"/>
      <c r="U85" s="484" t="n"/>
      <c r="V85" s="35" t="n"/>
      <c r="W85" s="484" t="n"/>
      <c r="X85" s="35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 ht="16.5" customHeight="1">
      <c r="B86" s="6" t="inlineStr">
        <is>
          <t>Control 6</t>
        </is>
      </c>
      <c r="C86" s="8" t="inlineStr">
        <is>
          <t>機台序號3</t>
        </is>
      </c>
      <c r="D86" s="1" t="n"/>
      <c r="E86" s="484" t="n"/>
      <c r="F86" s="35" t="n"/>
      <c r="G86" s="484" t="n"/>
      <c r="H86" s="35" t="n"/>
      <c r="I86" s="484" t="n"/>
      <c r="J86" s="35" t="n"/>
      <c r="K86" s="484" t="n"/>
      <c r="L86" s="35" t="n"/>
      <c r="M86" s="484" t="n"/>
      <c r="N86" s="35" t="n"/>
      <c r="O86" s="484" t="n"/>
      <c r="P86" s="35" t="n"/>
      <c r="Q86" s="484" t="n"/>
      <c r="R86" s="35" t="n"/>
      <c r="S86" s="484" t="n"/>
      <c r="T86" s="35" t="n"/>
      <c r="U86" s="484" t="n"/>
      <c r="V86" s="35" t="n"/>
      <c r="W86" s="484" t="n"/>
      <c r="X86" s="35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 ht="16.5" customHeight="1">
      <c r="B87" s="6" t="inlineStr">
        <is>
          <t>Control 6</t>
        </is>
      </c>
      <c r="C87" s="8" t="inlineStr">
        <is>
          <t>機台序號3</t>
        </is>
      </c>
      <c r="D87" s="1" t="n"/>
      <c r="E87" s="484" t="n"/>
      <c r="F87" s="35" t="n"/>
      <c r="G87" s="484" t="n"/>
      <c r="H87" s="35" t="n"/>
      <c r="I87" s="484" t="n"/>
      <c r="J87" s="35" t="n"/>
      <c r="K87" s="484" t="n"/>
      <c r="L87" s="35" t="n"/>
      <c r="M87" s="484" t="n"/>
      <c r="N87" s="35" t="n"/>
      <c r="O87" s="484" t="n"/>
      <c r="P87" s="35" t="n"/>
      <c r="Q87" s="484" t="n"/>
      <c r="R87" s="35" t="n"/>
      <c r="S87" s="484" t="n"/>
      <c r="T87" s="35" t="n"/>
      <c r="U87" s="484" t="n"/>
      <c r="V87" s="35" t="n"/>
      <c r="W87" s="484" t="n"/>
      <c r="X87" s="35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 ht="16.5" customHeight="1">
      <c r="B88" s="6" t="inlineStr">
        <is>
          <t>Control 6</t>
        </is>
      </c>
      <c r="C88" s="8" t="inlineStr">
        <is>
          <t>機台序號3</t>
        </is>
      </c>
      <c r="D88" s="1" t="n"/>
      <c r="E88" s="484" t="n"/>
      <c r="F88" s="35" t="n"/>
      <c r="G88" s="484" t="n"/>
      <c r="H88" s="35" t="n"/>
      <c r="I88" s="484" t="n"/>
      <c r="J88" s="35" t="n"/>
      <c r="K88" s="484" t="n"/>
      <c r="L88" s="35" t="n"/>
      <c r="M88" s="484" t="n"/>
      <c r="N88" s="35" t="n"/>
      <c r="O88" s="484" t="n"/>
      <c r="P88" s="35" t="n"/>
      <c r="Q88" s="484" t="n"/>
      <c r="R88" s="35" t="n"/>
      <c r="S88" s="484" t="n"/>
      <c r="T88" s="35" t="n"/>
      <c r="U88" s="484" t="n"/>
      <c r="V88" s="35" t="n"/>
      <c r="W88" s="484" t="n"/>
      <c r="X88" s="35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 ht="16.5" customHeight="1">
      <c r="B89" s="6" t="inlineStr">
        <is>
          <t>Control 6</t>
        </is>
      </c>
      <c r="C89" s="8" t="inlineStr">
        <is>
          <t>機台序號3</t>
        </is>
      </c>
      <c r="D89" s="1" t="n"/>
      <c r="E89" s="484" t="n"/>
      <c r="F89" s="35" t="n"/>
      <c r="G89" s="484" t="n"/>
      <c r="H89" s="35" t="n"/>
      <c r="I89" s="484" t="n"/>
      <c r="J89" s="35" t="n"/>
      <c r="K89" s="484" t="n"/>
      <c r="L89" s="35" t="n"/>
      <c r="M89" s="484" t="n"/>
      <c r="N89" s="35" t="n"/>
      <c r="O89" s="484" t="n"/>
      <c r="P89" s="35" t="n"/>
      <c r="Q89" s="484" t="n"/>
      <c r="R89" s="35" t="n"/>
      <c r="S89" s="484" t="n"/>
      <c r="T89" s="35" t="n"/>
      <c r="U89" s="484" t="n"/>
      <c r="V89" s="35" t="n"/>
      <c r="W89" s="484" t="n"/>
      <c r="X89" s="35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 ht="16.5" customHeight="1">
      <c r="B90" s="6" t="inlineStr">
        <is>
          <t>Control 6</t>
        </is>
      </c>
      <c r="C90" s="8" t="inlineStr">
        <is>
          <t>機台序號3</t>
        </is>
      </c>
      <c r="D90" s="1" t="n"/>
      <c r="E90" s="484" t="n"/>
      <c r="F90" s="35" t="n"/>
      <c r="G90" s="484" t="n"/>
      <c r="H90" s="35" t="n"/>
      <c r="I90" s="484" t="n"/>
      <c r="J90" s="35" t="n"/>
      <c r="K90" s="484" t="n"/>
      <c r="L90" s="35" t="n"/>
      <c r="M90" s="484" t="n"/>
      <c r="N90" s="35" t="n"/>
      <c r="O90" s="484" t="n"/>
      <c r="P90" s="35" t="n"/>
      <c r="Q90" s="484" t="n"/>
      <c r="R90" s="35" t="n"/>
      <c r="S90" s="484" t="n"/>
      <c r="T90" s="35" t="n"/>
      <c r="U90" s="484" t="n"/>
      <c r="V90" s="35" t="n"/>
      <c r="W90" s="484" t="n"/>
      <c r="X90" s="35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 ht="16.5" customHeight="1">
      <c r="B91" s="6" t="inlineStr">
        <is>
          <t>Control 6</t>
        </is>
      </c>
      <c r="C91" s="8" t="inlineStr">
        <is>
          <t>機台序號3</t>
        </is>
      </c>
      <c r="D91" s="1" t="n"/>
      <c r="E91" s="484" t="n"/>
      <c r="F91" s="35" t="n"/>
      <c r="G91" s="484" t="n"/>
      <c r="H91" s="35" t="n"/>
      <c r="I91" s="484" t="n"/>
      <c r="J91" s="35" t="n"/>
      <c r="K91" s="484" t="n"/>
      <c r="L91" s="35" t="n"/>
      <c r="M91" s="484" t="n"/>
      <c r="N91" s="35" t="n"/>
      <c r="O91" s="484" t="n"/>
      <c r="P91" s="35" t="n"/>
      <c r="Q91" s="484" t="n"/>
      <c r="R91" s="35" t="n"/>
      <c r="S91" s="484" t="n"/>
      <c r="T91" s="35" t="n"/>
      <c r="U91" s="484" t="n"/>
      <c r="V91" s="35" t="n"/>
      <c r="W91" s="484" t="n"/>
      <c r="X91" s="35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 ht="16.5" customHeight="1">
      <c r="B92" s="6" t="inlineStr">
        <is>
          <t>Control 6</t>
        </is>
      </c>
      <c r="C92" s="8" t="inlineStr">
        <is>
          <t>機台序號3</t>
        </is>
      </c>
      <c r="D92" s="1" t="n"/>
      <c r="E92" s="484" t="n"/>
      <c r="F92" s="35" t="n"/>
      <c r="G92" s="484" t="n"/>
      <c r="H92" s="35" t="n"/>
      <c r="I92" s="484" t="n"/>
      <c r="J92" s="35" t="n"/>
      <c r="K92" s="484" t="n"/>
      <c r="L92" s="35" t="n"/>
      <c r="M92" s="484" t="n"/>
      <c r="N92" s="35" t="n"/>
      <c r="O92" s="484" t="n"/>
      <c r="P92" s="35" t="n"/>
      <c r="Q92" s="484" t="n"/>
      <c r="R92" s="35" t="n"/>
      <c r="S92" s="484" t="n"/>
      <c r="T92" s="35" t="n"/>
      <c r="U92" s="484" t="n"/>
      <c r="V92" s="35" t="n"/>
      <c r="W92" s="484" t="n"/>
      <c r="X92" s="35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 ht="16.5" customHeight="1">
      <c r="B93" s="6" t="inlineStr">
        <is>
          <t>Control 6</t>
        </is>
      </c>
      <c r="C93" s="8" t="inlineStr">
        <is>
          <t>機台序號3</t>
        </is>
      </c>
      <c r="D93" s="1" t="n"/>
      <c r="E93" s="484" t="n"/>
      <c r="F93" s="35" t="n"/>
      <c r="G93" s="484" t="n"/>
      <c r="H93" s="35" t="n"/>
      <c r="I93" s="484" t="n"/>
      <c r="J93" s="35" t="n"/>
      <c r="K93" s="484" t="n"/>
      <c r="L93" s="35" t="n"/>
      <c r="M93" s="484" t="n"/>
      <c r="N93" s="35" t="n"/>
      <c r="O93" s="484" t="n"/>
      <c r="P93" s="35" t="n"/>
      <c r="Q93" s="484" t="n"/>
      <c r="R93" s="35" t="n"/>
      <c r="S93" s="484" t="n"/>
      <c r="T93" s="35" t="n"/>
      <c r="U93" s="484" t="n"/>
      <c r="V93" s="35" t="n"/>
      <c r="W93" s="484" t="n"/>
      <c r="X93" s="35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 ht="16.5" customHeight="1">
      <c r="B94" s="6" t="inlineStr">
        <is>
          <t>Control 6</t>
        </is>
      </c>
      <c r="C94" s="8" t="inlineStr">
        <is>
          <t>機台序號3</t>
        </is>
      </c>
      <c r="D94" s="1" t="n"/>
      <c r="E94" s="484" t="n"/>
      <c r="F94" s="35" t="n"/>
      <c r="G94" s="484" t="n"/>
      <c r="H94" s="35" t="n"/>
      <c r="I94" s="484" t="n"/>
      <c r="J94" s="35" t="n"/>
      <c r="K94" s="484" t="n"/>
      <c r="L94" s="35" t="n"/>
      <c r="M94" s="484" t="n"/>
      <c r="N94" s="35" t="n"/>
      <c r="O94" s="484" t="n"/>
      <c r="P94" s="35" t="n"/>
      <c r="Q94" s="484" t="n"/>
      <c r="R94" s="35" t="n"/>
      <c r="S94" s="484" t="n"/>
      <c r="T94" s="35" t="n"/>
      <c r="U94" s="484" t="n"/>
      <c r="V94" s="35" t="n"/>
      <c r="W94" s="484" t="n"/>
      <c r="X94" s="35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 ht="16.5" customHeight="1">
      <c r="B95" s="6" t="inlineStr">
        <is>
          <t>Control 6</t>
        </is>
      </c>
      <c r="C95" s="8" t="inlineStr">
        <is>
          <t>機台序號3</t>
        </is>
      </c>
      <c r="D95" s="1" t="n"/>
      <c r="E95" s="484" t="n"/>
      <c r="F95" s="35" t="n"/>
      <c r="G95" s="484" t="n"/>
      <c r="H95" s="35" t="n"/>
      <c r="I95" s="484" t="n"/>
      <c r="J95" s="35" t="n"/>
      <c r="K95" s="484" t="n"/>
      <c r="L95" s="35" t="n"/>
      <c r="M95" s="484" t="n"/>
      <c r="N95" s="35" t="n"/>
      <c r="O95" s="484" t="n"/>
      <c r="P95" s="35" t="n"/>
      <c r="Q95" s="484" t="n"/>
      <c r="R95" s="35" t="n"/>
      <c r="S95" s="484" t="n"/>
      <c r="T95" s="35" t="n"/>
      <c r="U95" s="484" t="n"/>
      <c r="V95" s="35" t="n"/>
      <c r="W95" s="484" t="n"/>
      <c r="X95" s="35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</sheetData>
  <mergeCells count="26">
    <mergeCell ref="I34:J34"/>
    <mergeCell ref="O3:P3"/>
    <mergeCell ref="U34:V34"/>
    <mergeCell ref="K34:L34"/>
    <mergeCell ref="Q3:R3"/>
    <mergeCell ref="M34:N34"/>
    <mergeCell ref="W34:X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47"/>
  <sheetViews>
    <sheetView workbookViewId="0">
      <selection activeCell="D6" sqref="D6"/>
    </sheetView>
  </sheetViews>
  <sheetFormatPr baseColWidth="8" defaultRowHeight="16.5"/>
  <sheetData>
    <row r="1">
      <c r="A1" t="inlineStr">
        <is>
          <t>f</t>
        </is>
      </c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</row>
    <row r="2">
      <c r="C2" t="inlineStr">
        <is>
          <t>Conc.</t>
        </is>
      </c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Z2" t="inlineStr">
        <is>
          <t>OD</t>
        </is>
      </c>
    </row>
    <row r="3">
      <c r="B3" s="17" t="inlineStr">
        <is>
          <t>Canine Type</t>
        </is>
      </c>
      <c r="C3" s="18" t="n"/>
      <c r="D3" s="3" t="n"/>
      <c r="E3" s="484" t="inlineStr">
        <is>
          <t>marker 1</t>
        </is>
      </c>
      <c r="F3" s="3" t="n"/>
      <c r="G3" s="484" t="inlineStr">
        <is>
          <t>marker 2</t>
        </is>
      </c>
      <c r="H3" s="3" t="n"/>
      <c r="I3" s="484" t="inlineStr">
        <is>
          <t>marker 3</t>
        </is>
      </c>
      <c r="J3" s="3" t="n"/>
      <c r="K3" s="484" t="inlineStr">
        <is>
          <t>marker 4</t>
        </is>
      </c>
      <c r="L3" s="3" t="n"/>
      <c r="M3" s="484" t="inlineStr">
        <is>
          <t>marker 5</t>
        </is>
      </c>
      <c r="N3" s="3" t="n"/>
      <c r="O3" s="484" t="inlineStr">
        <is>
          <t>marker 6</t>
        </is>
      </c>
      <c r="P3" s="3" t="n"/>
      <c r="Q3" s="484" t="inlineStr">
        <is>
          <t>marker 7</t>
        </is>
      </c>
      <c r="R3" s="3" t="n"/>
      <c r="S3" s="484" t="inlineStr">
        <is>
          <t>marker 8</t>
        </is>
      </c>
      <c r="T3" s="3" t="n"/>
      <c r="U3" s="484" t="inlineStr">
        <is>
          <t>marker 9</t>
        </is>
      </c>
      <c r="V3" s="3" t="n"/>
      <c r="W3" s="484" t="inlineStr">
        <is>
          <t>marker 10</t>
        </is>
      </c>
      <c r="X3" s="3" t="n"/>
      <c r="Z3" s="1" t="n"/>
      <c r="AA3" s="1" t="inlineStr">
        <is>
          <t>marker 1</t>
        </is>
      </c>
      <c r="AB3" s="1" t="inlineStr">
        <is>
          <t>marker 2</t>
        </is>
      </c>
      <c r="AC3" s="1" t="inlineStr">
        <is>
          <t>marker 3</t>
        </is>
      </c>
      <c r="AD3" s="1" t="inlineStr">
        <is>
          <t>marker 4</t>
        </is>
      </c>
      <c r="AE3" s="1" t="inlineStr">
        <is>
          <t>marker 5</t>
        </is>
      </c>
      <c r="AF3" s="1" t="inlineStr">
        <is>
          <t>marker 6</t>
        </is>
      </c>
      <c r="AG3" s="1" t="inlineStr">
        <is>
          <t>marker 7</t>
        </is>
      </c>
      <c r="AH3" s="1" t="inlineStr">
        <is>
          <t>marker 8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7" t="n"/>
      <c r="C4" s="18" t="n"/>
      <c r="D4" s="30" t="n"/>
      <c r="E4" s="478" t="inlineStr">
        <is>
          <t>marker 1(原線)</t>
        </is>
      </c>
      <c r="F4" s="31" t="inlineStr">
        <is>
          <t>marker 1
換線後</t>
        </is>
      </c>
      <c r="G4" s="478" t="inlineStr">
        <is>
          <t>marker 2(原線)</t>
        </is>
      </c>
      <c r="H4" s="31" t="inlineStr">
        <is>
          <t>marker 2
換線後</t>
        </is>
      </c>
      <c r="I4" s="478" t="inlineStr">
        <is>
          <t>marker 3(原線)</t>
        </is>
      </c>
      <c r="J4" s="31" t="inlineStr">
        <is>
          <t>marker 3
換線後</t>
        </is>
      </c>
      <c r="K4" s="478" t="inlineStr">
        <is>
          <t>marker 4(原線)</t>
        </is>
      </c>
      <c r="L4" s="31" t="inlineStr">
        <is>
          <t>marker 4
換線後</t>
        </is>
      </c>
      <c r="M4" s="478" t="inlineStr">
        <is>
          <t>marker 5(原線)</t>
        </is>
      </c>
      <c r="N4" s="31" t="inlineStr">
        <is>
          <t>marker 5
換線後</t>
        </is>
      </c>
      <c r="O4" s="478" t="inlineStr">
        <is>
          <t>marker 6(原線)</t>
        </is>
      </c>
      <c r="P4" s="31" t="inlineStr">
        <is>
          <t>marker 6
換線後</t>
        </is>
      </c>
      <c r="Q4" s="478" t="inlineStr">
        <is>
          <t>marker 7(原線)</t>
        </is>
      </c>
      <c r="R4" s="31" t="inlineStr">
        <is>
          <t>marker 7
換線後</t>
        </is>
      </c>
      <c r="S4" s="478" t="inlineStr">
        <is>
          <t>marker 8(原線)</t>
        </is>
      </c>
      <c r="T4" s="31" t="inlineStr">
        <is>
          <t>marker 8
換線後</t>
        </is>
      </c>
      <c r="U4" s="478" t="inlineStr">
        <is>
          <t>marker 9(原線)</t>
        </is>
      </c>
      <c r="V4" s="31" t="inlineStr">
        <is>
          <t>marker 9
換線後</t>
        </is>
      </c>
      <c r="W4" s="478" t="inlineStr">
        <is>
          <t>marker 10(原線)</t>
        </is>
      </c>
      <c r="X4" s="31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B5" s="2" t="n"/>
      <c r="C5" s="1" t="n"/>
      <c r="D5" s="15" t="n"/>
      <c r="E5" s="484" t="n"/>
      <c r="F5" s="33" t="n"/>
      <c r="G5" s="484" t="n"/>
      <c r="H5" s="33" t="n"/>
      <c r="I5" s="484" t="n"/>
      <c r="J5" s="33" t="n"/>
      <c r="K5" s="484" t="n"/>
      <c r="L5" s="33" t="n"/>
      <c r="M5" s="484" t="n"/>
      <c r="N5" s="33" t="n"/>
      <c r="O5" s="484" t="n"/>
      <c r="P5" s="33" t="n"/>
      <c r="Q5" s="484" t="n"/>
      <c r="R5" s="33" t="n"/>
      <c r="S5" s="484" t="n"/>
      <c r="T5" s="33" t="n"/>
      <c r="U5" s="484" t="n"/>
      <c r="V5" s="33" t="n"/>
      <c r="W5" s="484" t="n"/>
      <c r="X5" s="33" t="n"/>
      <c r="Z5" s="15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3" t="n"/>
    </row>
    <row r="6">
      <c r="B6" s="2" t="n"/>
      <c r="C6" s="1" t="n"/>
      <c r="D6" s="16" t="n"/>
      <c r="E6" s="32" t="n"/>
      <c r="F6" s="34" t="n"/>
      <c r="G6" s="32" t="n"/>
      <c r="H6" s="34" t="n"/>
      <c r="I6" s="32" t="n"/>
      <c r="J6" s="34" t="n"/>
      <c r="K6" s="32" t="n"/>
      <c r="L6" s="34" t="n"/>
      <c r="M6" s="32" t="n"/>
      <c r="N6" s="34" t="n"/>
      <c r="O6" s="32" t="n"/>
      <c r="P6" s="34" t="n"/>
      <c r="Q6" s="32" t="n"/>
      <c r="R6" s="34" t="n"/>
      <c r="S6" s="32" t="n"/>
      <c r="T6" s="34" t="n"/>
      <c r="U6" s="32" t="n"/>
      <c r="V6" s="34" t="n"/>
      <c r="W6" s="32" t="n"/>
      <c r="X6" s="34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3" t="n"/>
    </row>
    <row r="7">
      <c r="B7" s="2" t="n"/>
      <c r="C7" s="1" t="n"/>
      <c r="D7" s="16" t="n"/>
      <c r="E7" s="484" t="n"/>
      <c r="F7" s="33" t="n"/>
      <c r="G7" s="484" t="n"/>
      <c r="H7" s="33" t="n"/>
      <c r="I7" s="484" t="n"/>
      <c r="J7" s="33" t="n"/>
      <c r="K7" s="484" t="n"/>
      <c r="L7" s="33" t="n"/>
      <c r="M7" s="484" t="n"/>
      <c r="N7" s="33" t="n"/>
      <c r="O7" s="484" t="n"/>
      <c r="P7" s="33" t="n"/>
      <c r="Q7" s="484" t="n"/>
      <c r="R7" s="33" t="n"/>
      <c r="S7" s="484" t="n"/>
      <c r="T7" s="33" t="n"/>
      <c r="U7" s="484" t="n"/>
      <c r="V7" s="33" t="n"/>
      <c r="W7" s="484" t="n"/>
      <c r="X7" s="33" t="n"/>
      <c r="Z7" s="16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3" t="n"/>
    </row>
    <row r="8">
      <c r="B8" s="17" t="n"/>
      <c r="C8" s="1" t="n"/>
      <c r="D8" s="16" t="n"/>
      <c r="E8" s="484" t="n"/>
      <c r="F8" s="33" t="n"/>
      <c r="G8" s="484" t="n"/>
      <c r="H8" s="33" t="n"/>
      <c r="I8" s="484" t="n"/>
      <c r="J8" s="33" t="n"/>
      <c r="K8" s="484" t="n"/>
      <c r="L8" s="33" t="n"/>
      <c r="M8" s="484" t="n"/>
      <c r="N8" s="33" t="n"/>
      <c r="O8" s="484" t="n"/>
      <c r="P8" s="33" t="n"/>
      <c r="Q8" s="484" t="n"/>
      <c r="R8" s="33" t="n"/>
      <c r="S8" s="484" t="n"/>
      <c r="T8" s="33" t="n"/>
      <c r="U8" s="484" t="n"/>
      <c r="V8" s="33" t="n"/>
      <c r="W8" s="484" t="n"/>
      <c r="X8" s="33" t="n"/>
      <c r="Z8" s="16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3" t="n"/>
    </row>
    <row r="9">
      <c r="B9" s="484" t="inlineStr">
        <is>
          <t>Canine 1</t>
        </is>
      </c>
      <c r="C9" s="19" t="inlineStr">
        <is>
          <t>Mean</t>
        </is>
      </c>
      <c r="D9" s="3" t="n"/>
      <c r="E9" s="484" t="n"/>
      <c r="F9" s="35" t="n"/>
      <c r="G9" s="484" t="n"/>
      <c r="H9" s="35" t="n"/>
      <c r="I9" s="484" t="n"/>
      <c r="J9" s="35" t="n"/>
      <c r="K9" s="484" t="n"/>
      <c r="L9" s="35" t="n"/>
      <c r="M9" s="484" t="n"/>
      <c r="N9" s="35" t="n"/>
      <c r="O9" s="484" t="n"/>
      <c r="P9" s="35" t="n"/>
      <c r="Q9" s="484" t="n"/>
      <c r="R9" s="35" t="n"/>
      <c r="S9" s="484" t="n"/>
      <c r="T9" s="35" t="n"/>
      <c r="U9" s="484" t="n"/>
      <c r="V9" s="35" t="n"/>
      <c r="W9" s="484" t="n"/>
      <c r="X9" s="35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3" t="n"/>
    </row>
    <row r="10">
      <c r="B10" s="567" t="n"/>
      <c r="C10" s="3" t="inlineStr">
        <is>
          <t>Bias</t>
        </is>
      </c>
      <c r="D10" s="3" t="n"/>
      <c r="E10" s="484" t="n"/>
      <c r="F10" s="35" t="n"/>
      <c r="G10" s="484" t="n"/>
      <c r="H10" s="35" t="n"/>
      <c r="I10" s="484" t="n"/>
      <c r="J10" s="35" t="n"/>
      <c r="K10" s="484" t="n"/>
      <c r="L10" s="35" t="n"/>
      <c r="M10" s="484" t="n"/>
      <c r="N10" s="35" t="n"/>
      <c r="O10" s="484" t="n"/>
      <c r="P10" s="35" t="n"/>
      <c r="Q10" s="484" t="n"/>
      <c r="R10" s="35" t="n"/>
      <c r="S10" s="484" t="n"/>
      <c r="T10" s="35" t="n"/>
      <c r="U10" s="484" t="n"/>
      <c r="V10" s="35" t="n"/>
      <c r="W10" s="484" t="n"/>
      <c r="X10" s="35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3" t="n"/>
    </row>
    <row r="11">
      <c r="B11" s="568" t="n"/>
      <c r="C11" s="3" t="inlineStr">
        <is>
          <t>CV%</t>
        </is>
      </c>
      <c r="D11" s="3" t="n"/>
      <c r="E11" s="484" t="n"/>
      <c r="F11" s="35" t="n"/>
      <c r="G11" s="484" t="n"/>
      <c r="H11" s="35" t="n"/>
      <c r="I11" s="484" t="n"/>
      <c r="J11" s="35" t="n"/>
      <c r="K11" s="484" t="n"/>
      <c r="L11" s="35" t="n"/>
      <c r="M11" s="484" t="n"/>
      <c r="N11" s="35" t="n"/>
      <c r="O11" s="484" t="n"/>
      <c r="P11" s="35" t="n"/>
      <c r="Q11" s="484" t="n"/>
      <c r="R11" s="35" t="n"/>
      <c r="S11" s="484" t="n"/>
      <c r="T11" s="35" t="n"/>
      <c r="U11" s="484" t="n"/>
      <c r="V11" s="35" t="n"/>
      <c r="W11" s="484" t="n"/>
      <c r="X11" s="35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3" t="n"/>
    </row>
    <row r="12">
      <c r="B12" s="483" t="inlineStr">
        <is>
          <t>Canine 2</t>
        </is>
      </c>
      <c r="C12" s="3" t="inlineStr">
        <is>
          <t>Mean</t>
        </is>
      </c>
      <c r="D12" s="3" t="n"/>
      <c r="E12" s="484" t="n"/>
      <c r="F12" s="35" t="n"/>
      <c r="G12" s="484" t="n"/>
      <c r="H12" s="35" t="n"/>
      <c r="I12" s="484" t="n"/>
      <c r="J12" s="35" t="n"/>
      <c r="K12" s="484" t="n"/>
      <c r="L12" s="35" t="n"/>
      <c r="M12" s="484" t="n"/>
      <c r="N12" s="35" t="n"/>
      <c r="O12" s="484" t="n"/>
      <c r="P12" s="35" t="n"/>
      <c r="Q12" s="484" t="n"/>
      <c r="R12" s="35" t="n"/>
      <c r="S12" s="484" t="n"/>
      <c r="T12" s="35" t="n"/>
      <c r="U12" s="484" t="n"/>
      <c r="V12" s="35" t="n"/>
      <c r="W12" s="484" t="n"/>
      <c r="X12" s="35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3" t="n"/>
    </row>
    <row r="13">
      <c r="B13" s="567" t="n"/>
      <c r="C13" s="3" t="inlineStr">
        <is>
          <t>Bias</t>
        </is>
      </c>
      <c r="D13" s="3" t="n"/>
      <c r="E13" s="484" t="n"/>
      <c r="F13" s="35" t="n"/>
      <c r="G13" s="484" t="n"/>
      <c r="H13" s="35" t="n"/>
      <c r="I13" s="484" t="n"/>
      <c r="J13" s="35" t="n"/>
      <c r="K13" s="484" t="n"/>
      <c r="L13" s="35" t="n"/>
      <c r="M13" s="484" t="n"/>
      <c r="N13" s="35" t="n"/>
      <c r="O13" s="484" t="n"/>
      <c r="P13" s="35" t="n"/>
      <c r="Q13" s="484" t="n"/>
      <c r="R13" s="35" t="n"/>
      <c r="S13" s="484" t="n"/>
      <c r="T13" s="35" t="n"/>
      <c r="U13" s="484" t="n"/>
      <c r="V13" s="35" t="n"/>
      <c r="W13" s="484" t="n"/>
      <c r="X13" s="35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3" t="n"/>
    </row>
    <row r="14">
      <c r="B14" s="567" t="n"/>
      <c r="C14" s="3" t="inlineStr">
        <is>
          <t>CV%</t>
        </is>
      </c>
      <c r="D14" s="3" t="n"/>
      <c r="E14" s="484" t="n"/>
      <c r="F14" s="35" t="n"/>
      <c r="G14" s="484" t="n"/>
      <c r="H14" s="35" t="n"/>
      <c r="I14" s="484" t="n"/>
      <c r="J14" s="35" t="n"/>
      <c r="K14" s="484" t="n"/>
      <c r="L14" s="35" t="n"/>
      <c r="M14" s="484" t="n"/>
      <c r="N14" s="35" t="n"/>
      <c r="O14" s="484" t="n"/>
      <c r="P14" s="35" t="n"/>
      <c r="Q14" s="484" t="n"/>
      <c r="R14" s="35" t="n"/>
      <c r="S14" s="484" t="n"/>
      <c r="T14" s="35" t="n"/>
      <c r="U14" s="484" t="n"/>
      <c r="V14" s="35" t="n"/>
      <c r="W14" s="484" t="n"/>
      <c r="X14" s="35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3" t="n"/>
    </row>
    <row r="15">
      <c r="B15" s="568" t="n"/>
      <c r="C15" s="3" t="inlineStr">
        <is>
          <t>Mean</t>
        </is>
      </c>
      <c r="D15" s="3" t="n"/>
      <c r="E15" s="484" t="n"/>
      <c r="F15" s="35" t="n"/>
      <c r="G15" s="484" t="n"/>
      <c r="H15" s="35" t="n"/>
      <c r="I15" s="484" t="n"/>
      <c r="J15" s="35" t="n"/>
      <c r="K15" s="484" t="n"/>
      <c r="L15" s="35" t="n"/>
      <c r="M15" s="484" t="n"/>
      <c r="N15" s="35" t="n"/>
      <c r="O15" s="484" t="n"/>
      <c r="P15" s="35" t="n"/>
      <c r="Q15" s="484" t="n"/>
      <c r="R15" s="35" t="n"/>
      <c r="S15" s="484" t="n"/>
      <c r="T15" s="35" t="n"/>
      <c r="U15" s="484" t="n"/>
      <c r="V15" s="35" t="n"/>
      <c r="W15" s="484" t="n"/>
      <c r="X15" s="35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3" t="n"/>
    </row>
    <row r="16">
      <c r="B16" s="484" t="inlineStr">
        <is>
          <t>Canine 3</t>
        </is>
      </c>
      <c r="C16" s="3" t="inlineStr">
        <is>
          <t>Bias</t>
        </is>
      </c>
      <c r="D16" s="3" t="n"/>
      <c r="E16" s="484" t="n"/>
      <c r="F16" s="35" t="n"/>
      <c r="G16" s="484" t="n"/>
      <c r="H16" s="35" t="n"/>
      <c r="I16" s="484" t="n"/>
      <c r="J16" s="35" t="n"/>
      <c r="K16" s="484" t="n"/>
      <c r="L16" s="35" t="n"/>
      <c r="M16" s="484" t="n"/>
      <c r="N16" s="35" t="n"/>
      <c r="O16" s="484" t="n"/>
      <c r="P16" s="35" t="n"/>
      <c r="Q16" s="484" t="n"/>
      <c r="R16" s="35" t="n"/>
      <c r="S16" s="484" t="n"/>
      <c r="T16" s="35" t="n"/>
      <c r="U16" s="484" t="n"/>
      <c r="V16" s="35" t="n"/>
      <c r="W16" s="484" t="n"/>
      <c r="X16" s="35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3" t="n"/>
    </row>
    <row r="17">
      <c r="B17" s="567" t="n"/>
      <c r="C17" s="3" t="inlineStr">
        <is>
          <t>CV%</t>
        </is>
      </c>
      <c r="D17" s="3" t="n"/>
      <c r="E17" s="484" t="n"/>
      <c r="F17" s="35" t="n"/>
      <c r="G17" s="484" t="n"/>
      <c r="H17" s="35" t="n"/>
      <c r="I17" s="484" t="n"/>
      <c r="J17" s="35" t="n"/>
      <c r="K17" s="484" t="n"/>
      <c r="L17" s="35" t="n"/>
      <c r="M17" s="484" t="n"/>
      <c r="N17" s="35" t="n"/>
      <c r="O17" s="484" t="n"/>
      <c r="P17" s="35" t="n"/>
      <c r="Q17" s="484" t="n"/>
      <c r="R17" s="35" t="n"/>
      <c r="S17" s="484" t="n"/>
      <c r="T17" s="35" t="n"/>
      <c r="U17" s="484" t="n"/>
      <c r="V17" s="35" t="n"/>
      <c r="W17" s="484" t="n"/>
      <c r="X17" s="35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3" t="n"/>
    </row>
    <row r="18">
      <c r="B18" s="568" t="n"/>
      <c r="C18" s="3" t="inlineStr">
        <is>
          <t>Mean</t>
        </is>
      </c>
      <c r="D18" s="3" t="n"/>
      <c r="E18" s="484" t="n"/>
      <c r="F18" s="35" t="n"/>
      <c r="G18" s="484" t="n"/>
      <c r="H18" s="35" t="n"/>
      <c r="I18" s="484" t="n"/>
      <c r="J18" s="35" t="n"/>
      <c r="K18" s="484" t="n"/>
      <c r="L18" s="35" t="n"/>
      <c r="M18" s="484" t="n"/>
      <c r="N18" s="35" t="n"/>
      <c r="O18" s="484" t="n"/>
      <c r="P18" s="35" t="n"/>
      <c r="Q18" s="484" t="n"/>
      <c r="R18" s="35" t="n"/>
      <c r="S18" s="484" t="n"/>
      <c r="T18" s="35" t="n"/>
      <c r="U18" s="484" t="n"/>
      <c r="V18" s="35" t="n"/>
      <c r="W18" s="484" t="n"/>
      <c r="X18" s="35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3" t="n"/>
    </row>
    <row r="19">
      <c r="B19" s="483" t="inlineStr">
        <is>
          <t>Canine 4</t>
        </is>
      </c>
      <c r="C19" s="3" t="inlineStr">
        <is>
          <t>Bias</t>
        </is>
      </c>
      <c r="D19" s="3" t="n"/>
      <c r="E19" s="484" t="n"/>
      <c r="F19" s="35" t="n"/>
      <c r="G19" s="484" t="n"/>
      <c r="H19" s="35" t="n"/>
      <c r="I19" s="484" t="n"/>
      <c r="J19" s="35" t="n"/>
      <c r="K19" s="484" t="n"/>
      <c r="L19" s="35" t="n"/>
      <c r="M19" s="484" t="n"/>
      <c r="N19" s="35" t="n"/>
      <c r="O19" s="484" t="n"/>
      <c r="P19" s="35" t="n"/>
      <c r="Q19" s="484" t="n"/>
      <c r="R19" s="35" t="n"/>
      <c r="S19" s="484" t="n"/>
      <c r="T19" s="35" t="n"/>
      <c r="U19" s="484" t="n"/>
      <c r="V19" s="35" t="n"/>
      <c r="W19" s="484" t="n"/>
      <c r="X19" s="35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3" t="n"/>
    </row>
    <row r="20">
      <c r="B20" s="567" t="n"/>
      <c r="C20" s="3" t="inlineStr">
        <is>
          <t>CV%</t>
        </is>
      </c>
      <c r="D20" s="3" t="n"/>
      <c r="E20" s="484" t="n"/>
      <c r="F20" s="35" t="n"/>
      <c r="G20" s="484" t="n"/>
      <c r="H20" s="35" t="n"/>
      <c r="I20" s="484" t="n"/>
      <c r="J20" s="35" t="n"/>
      <c r="K20" s="484" t="n"/>
      <c r="L20" s="35" t="n"/>
      <c r="M20" s="484" t="n"/>
      <c r="N20" s="35" t="n"/>
      <c r="O20" s="484" t="n"/>
      <c r="P20" s="35" t="n"/>
      <c r="Q20" s="484" t="n"/>
      <c r="R20" s="35" t="n"/>
      <c r="S20" s="484" t="n"/>
      <c r="T20" s="35" t="n"/>
      <c r="U20" s="484" t="n"/>
      <c r="V20" s="35" t="n"/>
      <c r="W20" s="484" t="n"/>
      <c r="X20" s="35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3" t="n"/>
    </row>
    <row r="21">
      <c r="B21" s="567" t="n"/>
      <c r="C21" s="3" t="inlineStr">
        <is>
          <t>Mean</t>
        </is>
      </c>
      <c r="D21" s="3" t="n"/>
      <c r="E21" s="484" t="n"/>
      <c r="F21" s="35" t="n"/>
      <c r="G21" s="484" t="n"/>
      <c r="H21" s="35" t="n"/>
      <c r="I21" s="484" t="n"/>
      <c r="J21" s="35" t="n"/>
      <c r="K21" s="484" t="n"/>
      <c r="L21" s="35" t="n"/>
      <c r="M21" s="484" t="n"/>
      <c r="N21" s="35" t="n"/>
      <c r="O21" s="484" t="n"/>
      <c r="P21" s="35" t="n"/>
      <c r="Q21" s="484" t="n"/>
      <c r="R21" s="35" t="n"/>
      <c r="S21" s="484" t="n"/>
      <c r="T21" s="35" t="n"/>
      <c r="U21" s="484" t="n"/>
      <c r="V21" s="35" t="n"/>
      <c r="W21" s="484" t="n"/>
      <c r="X21" s="35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3" t="n"/>
    </row>
    <row r="22">
      <c r="B22" s="568" t="n"/>
      <c r="C22" s="3" t="inlineStr">
        <is>
          <t>Bias</t>
        </is>
      </c>
      <c r="D22" s="3" t="n"/>
      <c r="E22" s="484" t="n"/>
      <c r="F22" s="35" t="n"/>
      <c r="G22" s="484" t="n"/>
      <c r="H22" s="35" t="n"/>
      <c r="I22" s="484" t="n"/>
      <c r="J22" s="35" t="n"/>
      <c r="K22" s="484" t="n"/>
      <c r="L22" s="35" t="n"/>
      <c r="M22" s="484" t="n"/>
      <c r="N22" s="35" t="n"/>
      <c r="O22" s="484" t="n"/>
      <c r="P22" s="35" t="n"/>
      <c r="Q22" s="484" t="n"/>
      <c r="R22" s="35" t="n"/>
      <c r="S22" s="484" t="n"/>
      <c r="T22" s="35" t="n"/>
      <c r="U22" s="484" t="n"/>
      <c r="V22" s="35" t="n"/>
      <c r="W22" s="484" t="n"/>
      <c r="X22" s="35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3" t="n"/>
    </row>
    <row r="23">
      <c r="B23" s="484" t="inlineStr">
        <is>
          <t>Canine 5</t>
        </is>
      </c>
      <c r="C23" s="3" t="inlineStr">
        <is>
          <t>CV%</t>
        </is>
      </c>
      <c r="D23" s="3" t="n"/>
      <c r="E23" s="484" t="n"/>
      <c r="F23" s="35" t="n"/>
      <c r="G23" s="484" t="n"/>
      <c r="H23" s="35" t="n"/>
      <c r="I23" s="484" t="n"/>
      <c r="J23" s="35" t="n"/>
      <c r="K23" s="484" t="n"/>
      <c r="L23" s="35" t="n"/>
      <c r="M23" s="484" t="n"/>
      <c r="N23" s="35" t="n"/>
      <c r="O23" s="484" t="n"/>
      <c r="P23" s="35" t="n"/>
      <c r="Q23" s="484" t="n"/>
      <c r="R23" s="35" t="n"/>
      <c r="S23" s="484" t="n"/>
      <c r="T23" s="35" t="n"/>
      <c r="U23" s="484" t="n"/>
      <c r="V23" s="35" t="n"/>
      <c r="W23" s="484" t="n"/>
      <c r="X23" s="35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3" t="n"/>
    </row>
    <row r="24">
      <c r="B24" s="567" t="n"/>
      <c r="C24" s="3" t="inlineStr">
        <is>
          <t>Mean</t>
        </is>
      </c>
      <c r="D24" s="3" t="n"/>
      <c r="E24" s="484" t="n"/>
      <c r="F24" s="35" t="n"/>
      <c r="G24" s="484" t="n"/>
      <c r="H24" s="35" t="n"/>
      <c r="I24" s="484" t="n"/>
      <c r="J24" s="35" t="n"/>
      <c r="K24" s="484" t="n"/>
      <c r="L24" s="35" t="n"/>
      <c r="M24" s="484" t="n"/>
      <c r="N24" s="35" t="n"/>
      <c r="O24" s="484" t="n"/>
      <c r="P24" s="35" t="n"/>
      <c r="Q24" s="484" t="n"/>
      <c r="R24" s="35" t="n"/>
      <c r="S24" s="484" t="n"/>
      <c r="T24" s="35" t="n"/>
      <c r="U24" s="484" t="n"/>
      <c r="V24" s="35" t="n"/>
      <c r="W24" s="484" t="n"/>
      <c r="X24" s="35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3" t="n"/>
    </row>
    <row r="25">
      <c r="B25" s="568" t="n"/>
      <c r="C25" s="3" t="inlineStr">
        <is>
          <t>Bias</t>
        </is>
      </c>
      <c r="D25" s="3" t="n"/>
      <c r="E25" s="484" t="n"/>
      <c r="F25" s="35" t="n"/>
      <c r="G25" s="484" t="n"/>
      <c r="H25" s="35" t="n"/>
      <c r="I25" s="484" t="n"/>
      <c r="J25" s="35" t="n"/>
      <c r="K25" s="484" t="n"/>
      <c r="L25" s="35" t="n"/>
      <c r="M25" s="484" t="n"/>
      <c r="N25" s="35" t="n"/>
      <c r="O25" s="484" t="n"/>
      <c r="P25" s="35" t="n"/>
      <c r="Q25" s="484" t="n"/>
      <c r="R25" s="35" t="n"/>
      <c r="S25" s="484" t="n"/>
      <c r="T25" s="35" t="n"/>
      <c r="U25" s="484" t="n"/>
      <c r="V25" s="35" t="n"/>
      <c r="W25" s="484" t="n"/>
      <c r="X25" s="35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3" t="n"/>
    </row>
    <row r="26">
      <c r="B26" s="483" t="inlineStr">
        <is>
          <t>Canine 6</t>
        </is>
      </c>
      <c r="C26" s="3" t="inlineStr">
        <is>
          <t>CV%</t>
        </is>
      </c>
      <c r="D26" s="3" t="n"/>
      <c r="E26" s="484" t="n"/>
      <c r="F26" s="35" t="n"/>
      <c r="G26" s="484" t="n"/>
      <c r="H26" s="35" t="n"/>
      <c r="I26" s="484" t="n"/>
      <c r="J26" s="35" t="n"/>
      <c r="K26" s="484" t="n"/>
      <c r="L26" s="35" t="n"/>
      <c r="M26" s="484" t="n"/>
      <c r="N26" s="35" t="n"/>
      <c r="O26" s="484" t="n"/>
      <c r="P26" s="35" t="n"/>
      <c r="Q26" s="484" t="n"/>
      <c r="R26" s="35" t="n"/>
      <c r="S26" s="484" t="n"/>
      <c r="T26" s="35" t="n"/>
      <c r="U26" s="484" t="n"/>
      <c r="V26" s="35" t="n"/>
      <c r="W26" s="484" t="n"/>
      <c r="X26" s="35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3" t="n"/>
    </row>
    <row r="27">
      <c r="B27" s="567" t="n"/>
      <c r="C27" s="3" t="inlineStr">
        <is>
          <t>Mean</t>
        </is>
      </c>
      <c r="D27" s="3" t="n"/>
      <c r="E27" s="484" t="n"/>
      <c r="F27" s="35" t="n"/>
      <c r="G27" s="484" t="n"/>
      <c r="H27" s="35" t="n"/>
      <c r="I27" s="484" t="n"/>
      <c r="J27" s="35" t="n"/>
      <c r="K27" s="484" t="n"/>
      <c r="L27" s="35" t="n"/>
      <c r="M27" s="484" t="n"/>
      <c r="N27" s="35" t="n"/>
      <c r="O27" s="484" t="n"/>
      <c r="P27" s="35" t="n"/>
      <c r="Q27" s="484" t="n"/>
      <c r="R27" s="35" t="n"/>
      <c r="S27" s="484" t="n"/>
      <c r="T27" s="35" t="n"/>
      <c r="U27" s="484" t="n"/>
      <c r="V27" s="35" t="n"/>
      <c r="W27" s="484" t="n"/>
      <c r="X27" s="35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3" t="n"/>
    </row>
    <row r="28">
      <c r="B28" s="567" t="n"/>
      <c r="C28" s="3" t="inlineStr">
        <is>
          <t>Bias</t>
        </is>
      </c>
      <c r="D28" s="3" t="n"/>
      <c r="E28" s="484" t="n"/>
      <c r="F28" s="35" t="n"/>
      <c r="G28" s="484" t="n"/>
      <c r="H28" s="35" t="n"/>
      <c r="I28" s="484" t="n"/>
      <c r="J28" s="35" t="n"/>
      <c r="K28" s="484" t="n"/>
      <c r="L28" s="35" t="n"/>
      <c r="M28" s="484" t="n"/>
      <c r="N28" s="35" t="n"/>
      <c r="O28" s="484" t="n"/>
      <c r="P28" s="35" t="n"/>
      <c r="Q28" s="484" t="n"/>
      <c r="R28" s="35" t="n"/>
      <c r="S28" s="484" t="n"/>
      <c r="T28" s="35" t="n"/>
      <c r="U28" s="484" t="n"/>
      <c r="V28" s="35" t="n"/>
      <c r="W28" s="484" t="n"/>
      <c r="X28" s="35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3" t="n"/>
    </row>
    <row r="29">
      <c r="B29" s="568" t="n"/>
      <c r="C29" s="3" t="inlineStr">
        <is>
          <t>CV%</t>
        </is>
      </c>
      <c r="D29" s="3" t="n"/>
      <c r="E29" s="484" t="n"/>
      <c r="F29" s="35" t="n"/>
      <c r="G29" s="484" t="n"/>
      <c r="H29" s="35" t="n"/>
      <c r="I29" s="484" t="n"/>
      <c r="J29" s="35" t="n"/>
      <c r="K29" s="484" t="n"/>
      <c r="L29" s="35" t="n"/>
      <c r="M29" s="484" t="n"/>
      <c r="N29" s="35" t="n"/>
      <c r="O29" s="484" t="n"/>
      <c r="P29" s="35" t="n"/>
      <c r="Q29" s="484" t="n"/>
      <c r="R29" s="35" t="n"/>
      <c r="S29" s="484" t="n"/>
      <c r="T29" s="35" t="n"/>
      <c r="U29" s="484" t="n"/>
      <c r="V29" s="35" t="n"/>
      <c r="W29" s="484" t="n"/>
      <c r="X29" s="35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3" t="n"/>
    </row>
    <row r="30"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</row>
    <row r="31"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</row>
    <row r="32"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</row>
    <row r="33">
      <c r="C33" t="inlineStr">
        <is>
          <t>Conc.</t>
        </is>
      </c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</row>
    <row r="34" ht="33" customHeight="1">
      <c r="C34" s="12" t="inlineStr">
        <is>
          <t>Serial Number</t>
        </is>
      </c>
      <c r="D34" s="1" t="n"/>
      <c r="E34" s="484" t="n"/>
      <c r="F34" s="3" t="n"/>
      <c r="G34" s="484" t="n"/>
      <c r="H34" s="3" t="n"/>
      <c r="I34" s="484" t="n"/>
      <c r="J34" s="3" t="n"/>
      <c r="K34" s="484" t="n"/>
      <c r="L34" s="3" t="n"/>
      <c r="M34" s="484" t="n"/>
      <c r="N34" s="3" t="n"/>
      <c r="O34" s="484" t="n"/>
      <c r="P34" s="3" t="n"/>
      <c r="Q34" s="484" t="n"/>
      <c r="R34" s="3" t="n"/>
      <c r="S34" s="484" t="n"/>
      <c r="T34" s="3" t="n"/>
      <c r="U34" s="484" t="n"/>
      <c r="V34" s="3" t="n"/>
      <c r="W34" s="484" t="n"/>
      <c r="X34" s="3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4" t="inlineStr">
        <is>
          <t>Serial Number</t>
        </is>
      </c>
    </row>
    <row r="35" ht="33" customHeight="1">
      <c r="C35" s="12" t="n"/>
      <c r="D35" s="1" t="n"/>
      <c r="E35" s="478" t="n"/>
      <c r="F35" s="31" t="n"/>
      <c r="G35" s="478" t="n"/>
      <c r="H35" s="31" t="n"/>
      <c r="I35" s="478" t="n"/>
      <c r="J35" s="31" t="n"/>
      <c r="K35" s="478" t="n"/>
      <c r="L35" s="31" t="n"/>
      <c r="M35" s="478" t="n"/>
      <c r="N35" s="31" t="n"/>
      <c r="O35" s="478" t="n"/>
      <c r="P35" s="31" t="n"/>
      <c r="Q35" s="478" t="n"/>
      <c r="R35" s="31" t="n"/>
      <c r="S35" s="478" t="n"/>
      <c r="T35" s="31" t="n"/>
      <c r="U35" s="478" t="n"/>
      <c r="V35" s="31" t="n"/>
      <c r="W35" s="478" t="n"/>
      <c r="X35" s="3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4" t="n"/>
    </row>
    <row r="36">
      <c r="B36" t="inlineStr">
        <is>
          <t>Canine 1</t>
        </is>
      </c>
      <c r="C36" s="1" t="inlineStr">
        <is>
          <t>機台序號3</t>
        </is>
      </c>
      <c r="D36" s="1" t="n"/>
      <c r="E36" s="484" t="n"/>
      <c r="F36" s="35" t="n"/>
      <c r="G36" s="484" t="n"/>
      <c r="H36" s="35" t="n"/>
      <c r="I36" s="484" t="n"/>
      <c r="J36" s="35" t="n"/>
      <c r="K36" s="484" t="n"/>
      <c r="L36" s="35" t="n"/>
      <c r="M36" s="484" t="n"/>
      <c r="N36" s="35" t="n"/>
      <c r="O36" s="484" t="n"/>
      <c r="P36" s="35" t="n"/>
      <c r="Q36" s="484" t="n"/>
      <c r="R36" s="35" t="n"/>
      <c r="S36" s="484" t="n"/>
      <c r="T36" s="35" t="n"/>
      <c r="U36" s="484" t="n"/>
      <c r="V36" s="35" t="n"/>
      <c r="W36" s="484" t="n"/>
      <c r="X36" s="35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>
      <c r="B37" t="inlineStr">
        <is>
          <t>Canine 1</t>
        </is>
      </c>
      <c r="C37" s="1" t="inlineStr">
        <is>
          <t>機台序號3</t>
        </is>
      </c>
      <c r="D37" s="1" t="n"/>
      <c r="E37" s="484" t="n"/>
      <c r="F37" s="35" t="n"/>
      <c r="G37" s="484" t="n"/>
      <c r="H37" s="35" t="n"/>
      <c r="I37" s="484" t="n"/>
      <c r="J37" s="35" t="n"/>
      <c r="K37" s="484" t="n"/>
      <c r="L37" s="35" t="n"/>
      <c r="M37" s="484" t="n"/>
      <c r="N37" s="35" t="n"/>
      <c r="O37" s="484" t="n"/>
      <c r="P37" s="35" t="n"/>
      <c r="Q37" s="484" t="n"/>
      <c r="R37" s="35" t="n"/>
      <c r="S37" s="484" t="n"/>
      <c r="T37" s="35" t="n"/>
      <c r="U37" s="484" t="n"/>
      <c r="V37" s="35" t="n"/>
      <c r="W37" s="484" t="n"/>
      <c r="X37" s="35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>
      <c r="B38" t="inlineStr">
        <is>
          <t>Canine 1</t>
        </is>
      </c>
      <c r="C38" s="1" t="inlineStr">
        <is>
          <t>機台序號3</t>
        </is>
      </c>
      <c r="D38" s="1" t="n"/>
      <c r="E38" s="484" t="n"/>
      <c r="F38" s="35" t="n"/>
      <c r="G38" s="484" t="n"/>
      <c r="H38" s="35" t="n"/>
      <c r="I38" s="484" t="n"/>
      <c r="J38" s="35" t="n"/>
      <c r="K38" s="484" t="n"/>
      <c r="L38" s="35" t="n"/>
      <c r="M38" s="484" t="n"/>
      <c r="N38" s="35" t="n"/>
      <c r="O38" s="484" t="n"/>
      <c r="P38" s="35" t="n"/>
      <c r="Q38" s="484" t="n"/>
      <c r="R38" s="35" t="n"/>
      <c r="S38" s="484" t="n"/>
      <c r="T38" s="35" t="n"/>
      <c r="U38" s="484" t="n"/>
      <c r="V38" s="35" t="n"/>
      <c r="W38" s="484" t="n"/>
      <c r="X38" s="35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>
      <c r="B39" t="inlineStr">
        <is>
          <t>Canine 1</t>
        </is>
      </c>
      <c r="C39" s="1" t="inlineStr">
        <is>
          <t>機台序號3</t>
        </is>
      </c>
      <c r="D39" s="1" t="n"/>
      <c r="E39" s="484" t="n"/>
      <c r="F39" s="35" t="n"/>
      <c r="G39" s="484" t="n"/>
      <c r="H39" s="35" t="n"/>
      <c r="I39" s="484" t="n"/>
      <c r="J39" s="35" t="n"/>
      <c r="K39" s="484" t="n"/>
      <c r="L39" s="35" t="n"/>
      <c r="M39" s="484" t="n"/>
      <c r="N39" s="35" t="n"/>
      <c r="O39" s="484" t="n"/>
      <c r="P39" s="35" t="n"/>
      <c r="Q39" s="484" t="n"/>
      <c r="R39" s="35" t="n"/>
      <c r="S39" s="484" t="n"/>
      <c r="T39" s="35" t="n"/>
      <c r="U39" s="484" t="n"/>
      <c r="V39" s="35" t="n"/>
      <c r="W39" s="484" t="n"/>
      <c r="X39" s="35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>
      <c r="B40" t="inlineStr">
        <is>
          <t>Canine 1</t>
        </is>
      </c>
      <c r="C40" s="1" t="inlineStr">
        <is>
          <t>機台序號3</t>
        </is>
      </c>
      <c r="D40" s="1" t="n"/>
      <c r="E40" s="484" t="n"/>
      <c r="F40" s="35" t="n"/>
      <c r="G40" s="484" t="n"/>
      <c r="H40" s="35" t="n"/>
      <c r="I40" s="484" t="n"/>
      <c r="J40" s="35" t="n"/>
      <c r="K40" s="484" t="n"/>
      <c r="L40" s="35" t="n"/>
      <c r="M40" s="484" t="n"/>
      <c r="N40" s="35" t="n"/>
      <c r="O40" s="484" t="n"/>
      <c r="P40" s="35" t="n"/>
      <c r="Q40" s="484" t="n"/>
      <c r="R40" s="35" t="n"/>
      <c r="S40" s="484" t="n"/>
      <c r="T40" s="35" t="n"/>
      <c r="U40" s="484" t="n"/>
      <c r="V40" s="35" t="n"/>
      <c r="W40" s="484" t="n"/>
      <c r="X40" s="35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>
      <c r="B41" t="inlineStr">
        <is>
          <t>Canine 1</t>
        </is>
      </c>
      <c r="C41" s="1" t="inlineStr">
        <is>
          <t>機台序號3</t>
        </is>
      </c>
      <c r="D41" s="1" t="n"/>
      <c r="E41" s="484" t="n"/>
      <c r="F41" s="35" t="n"/>
      <c r="G41" s="484" t="n"/>
      <c r="H41" s="35" t="n"/>
      <c r="I41" s="484" t="n"/>
      <c r="J41" s="35" t="n"/>
      <c r="K41" s="484" t="n"/>
      <c r="L41" s="35" t="n"/>
      <c r="M41" s="484" t="n"/>
      <c r="N41" s="35" t="n"/>
      <c r="O41" s="484" t="n"/>
      <c r="P41" s="35" t="n"/>
      <c r="Q41" s="484" t="n"/>
      <c r="R41" s="35" t="n"/>
      <c r="S41" s="484" t="n"/>
      <c r="T41" s="35" t="n"/>
      <c r="U41" s="484" t="n"/>
      <c r="V41" s="35" t="n"/>
      <c r="W41" s="484" t="n"/>
      <c r="X41" s="35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>
      <c r="B42" t="inlineStr">
        <is>
          <t>Canine 1</t>
        </is>
      </c>
      <c r="C42" s="1" t="inlineStr">
        <is>
          <t>機台序號3</t>
        </is>
      </c>
      <c r="D42" s="1" t="n"/>
      <c r="E42" s="484" t="n"/>
      <c r="F42" s="35" t="n"/>
      <c r="G42" s="484" t="n"/>
      <c r="H42" s="35" t="n"/>
      <c r="I42" s="484" t="n"/>
      <c r="J42" s="35" t="n"/>
      <c r="K42" s="484" t="n"/>
      <c r="L42" s="35" t="n"/>
      <c r="M42" s="484" t="n"/>
      <c r="N42" s="35" t="n"/>
      <c r="O42" s="484" t="n"/>
      <c r="P42" s="35" t="n"/>
      <c r="Q42" s="484" t="n"/>
      <c r="R42" s="35" t="n"/>
      <c r="S42" s="484" t="n"/>
      <c r="T42" s="35" t="n"/>
      <c r="U42" s="484" t="n"/>
      <c r="V42" s="35" t="n"/>
      <c r="W42" s="484" t="n"/>
      <c r="X42" s="35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>
      <c r="B43" t="inlineStr">
        <is>
          <t>Canine 1</t>
        </is>
      </c>
      <c r="C43" s="1" t="inlineStr">
        <is>
          <t>機台序號3</t>
        </is>
      </c>
      <c r="D43" s="1" t="n"/>
      <c r="E43" s="484" t="n"/>
      <c r="F43" s="35" t="n"/>
      <c r="G43" s="484" t="n"/>
      <c r="H43" s="35" t="n"/>
      <c r="I43" s="484" t="n"/>
      <c r="J43" s="35" t="n"/>
      <c r="K43" s="484" t="n"/>
      <c r="L43" s="35" t="n"/>
      <c r="M43" s="484" t="n"/>
      <c r="N43" s="35" t="n"/>
      <c r="O43" s="484" t="n"/>
      <c r="P43" s="35" t="n"/>
      <c r="Q43" s="484" t="n"/>
      <c r="R43" s="35" t="n"/>
      <c r="S43" s="484" t="n"/>
      <c r="T43" s="35" t="n"/>
      <c r="U43" s="484" t="n"/>
      <c r="V43" s="35" t="n"/>
      <c r="W43" s="484" t="n"/>
      <c r="X43" s="35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>
      <c r="B44" t="inlineStr">
        <is>
          <t>Canine 1</t>
        </is>
      </c>
      <c r="C44" s="1" t="inlineStr">
        <is>
          <t>機台序號3</t>
        </is>
      </c>
      <c r="D44" s="1" t="n"/>
      <c r="E44" s="484" t="n"/>
      <c r="F44" s="35" t="n"/>
      <c r="G44" s="484" t="n"/>
      <c r="H44" s="35" t="n"/>
      <c r="I44" s="484" t="n"/>
      <c r="J44" s="35" t="n"/>
      <c r="K44" s="484" t="n"/>
      <c r="L44" s="35" t="n"/>
      <c r="M44" s="484" t="n"/>
      <c r="N44" s="35" t="n"/>
      <c r="O44" s="484" t="n"/>
      <c r="P44" s="35" t="n"/>
      <c r="Q44" s="484" t="n"/>
      <c r="R44" s="35" t="n"/>
      <c r="S44" s="484" t="n"/>
      <c r="T44" s="35" t="n"/>
      <c r="U44" s="484" t="n"/>
      <c r="V44" s="35" t="n"/>
      <c r="W44" s="484" t="n"/>
      <c r="X44" s="35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>
      <c r="B45" t="inlineStr">
        <is>
          <t>Canine 1</t>
        </is>
      </c>
      <c r="C45" s="1" t="inlineStr">
        <is>
          <t>機台序號3</t>
        </is>
      </c>
      <c r="D45" s="1" t="n"/>
      <c r="E45" s="484" t="n"/>
      <c r="F45" s="35" t="n"/>
      <c r="G45" s="484" t="n"/>
      <c r="H45" s="35" t="n"/>
      <c r="I45" s="484" t="n"/>
      <c r="J45" s="35" t="n"/>
      <c r="K45" s="484" t="n"/>
      <c r="L45" s="35" t="n"/>
      <c r="M45" s="484" t="n"/>
      <c r="N45" s="35" t="n"/>
      <c r="O45" s="484" t="n"/>
      <c r="P45" s="35" t="n"/>
      <c r="Q45" s="484" t="n"/>
      <c r="R45" s="35" t="n"/>
      <c r="S45" s="484" t="n"/>
      <c r="T45" s="35" t="n"/>
      <c r="U45" s="484" t="n"/>
      <c r="V45" s="35" t="n"/>
      <c r="W45" s="484" t="n"/>
      <c r="X45" s="35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>
      <c r="B46" s="6" t="inlineStr">
        <is>
          <t>Canine 2</t>
        </is>
      </c>
      <c r="C46" s="8" t="inlineStr">
        <is>
          <t>機台序號3</t>
        </is>
      </c>
      <c r="D46" s="1" t="n"/>
      <c r="E46" s="484" t="n"/>
      <c r="F46" s="35" t="n"/>
      <c r="G46" s="484" t="n"/>
      <c r="H46" s="35" t="n"/>
      <c r="I46" s="484" t="n"/>
      <c r="J46" s="35" t="n"/>
      <c r="K46" s="484" t="n"/>
      <c r="L46" s="35" t="n"/>
      <c r="M46" s="484" t="n"/>
      <c r="N46" s="35" t="n"/>
      <c r="O46" s="484" t="n"/>
      <c r="P46" s="35" t="n"/>
      <c r="Q46" s="484" t="n"/>
      <c r="R46" s="35" t="n"/>
      <c r="S46" s="484" t="n"/>
      <c r="T46" s="35" t="n"/>
      <c r="U46" s="484" t="n"/>
      <c r="V46" s="35" t="n"/>
      <c r="W46" s="484" t="n"/>
      <c r="X46" s="35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>
      <c r="B47" s="6" t="inlineStr">
        <is>
          <t>Canine 2</t>
        </is>
      </c>
      <c r="C47" s="8" t="inlineStr">
        <is>
          <t>機台序號3</t>
        </is>
      </c>
      <c r="D47" s="1" t="n"/>
      <c r="E47" s="484" t="n"/>
      <c r="F47" s="35" t="n"/>
      <c r="G47" s="484" t="n"/>
      <c r="H47" s="35" t="n"/>
      <c r="I47" s="484" t="n"/>
      <c r="J47" s="35" t="n"/>
      <c r="K47" s="484" t="n"/>
      <c r="L47" s="35" t="n"/>
      <c r="M47" s="484" t="n"/>
      <c r="N47" s="35" t="n"/>
      <c r="O47" s="484" t="n"/>
      <c r="P47" s="35" t="n"/>
      <c r="Q47" s="484" t="n"/>
      <c r="R47" s="35" t="n"/>
      <c r="S47" s="484" t="n"/>
      <c r="T47" s="35" t="n"/>
      <c r="U47" s="484" t="n"/>
      <c r="V47" s="35" t="n"/>
      <c r="W47" s="484" t="n"/>
      <c r="X47" s="35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>
      <c r="B48" s="6" t="inlineStr">
        <is>
          <t>Canine 2</t>
        </is>
      </c>
      <c r="C48" s="8" t="inlineStr">
        <is>
          <t>機台序號3</t>
        </is>
      </c>
      <c r="D48" s="1" t="n"/>
      <c r="E48" s="484" t="n"/>
      <c r="F48" s="35" t="n"/>
      <c r="G48" s="484" t="n"/>
      <c r="H48" s="35" t="n"/>
      <c r="I48" s="484" t="n"/>
      <c r="J48" s="35" t="n"/>
      <c r="K48" s="484" t="n"/>
      <c r="L48" s="35" t="n"/>
      <c r="M48" s="484" t="n"/>
      <c r="N48" s="35" t="n"/>
      <c r="O48" s="484" t="n"/>
      <c r="P48" s="35" t="n"/>
      <c r="Q48" s="484" t="n"/>
      <c r="R48" s="35" t="n"/>
      <c r="S48" s="484" t="n"/>
      <c r="T48" s="35" t="n"/>
      <c r="U48" s="484" t="n"/>
      <c r="V48" s="35" t="n"/>
      <c r="W48" s="484" t="n"/>
      <c r="X48" s="35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>
      <c r="B49" s="6" t="inlineStr">
        <is>
          <t>Canine 2</t>
        </is>
      </c>
      <c r="C49" s="8" t="inlineStr">
        <is>
          <t>機台序號3</t>
        </is>
      </c>
      <c r="D49" s="1" t="n"/>
      <c r="E49" s="484" t="n"/>
      <c r="F49" s="35" t="n"/>
      <c r="G49" s="484" t="n"/>
      <c r="H49" s="35" t="n"/>
      <c r="I49" s="484" t="n"/>
      <c r="J49" s="35" t="n"/>
      <c r="K49" s="484" t="n"/>
      <c r="L49" s="35" t="n"/>
      <c r="M49" s="484" t="n"/>
      <c r="N49" s="35" t="n"/>
      <c r="O49" s="484" t="n"/>
      <c r="P49" s="35" t="n"/>
      <c r="Q49" s="484" t="n"/>
      <c r="R49" s="35" t="n"/>
      <c r="S49" s="484" t="n"/>
      <c r="T49" s="35" t="n"/>
      <c r="U49" s="484" t="n"/>
      <c r="V49" s="35" t="n"/>
      <c r="W49" s="484" t="n"/>
      <c r="X49" s="35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>
      <c r="B50" s="6" t="inlineStr">
        <is>
          <t>Canine 2</t>
        </is>
      </c>
      <c r="C50" s="8" t="inlineStr">
        <is>
          <t>機台序號3</t>
        </is>
      </c>
      <c r="D50" s="1" t="n"/>
      <c r="E50" s="484" t="n"/>
      <c r="F50" s="35" t="n"/>
      <c r="G50" s="484" t="n"/>
      <c r="H50" s="35" t="n"/>
      <c r="I50" s="484" t="n"/>
      <c r="J50" s="35" t="n"/>
      <c r="K50" s="484" t="n"/>
      <c r="L50" s="35" t="n"/>
      <c r="M50" s="484" t="n"/>
      <c r="N50" s="35" t="n"/>
      <c r="O50" s="484" t="n"/>
      <c r="P50" s="35" t="n"/>
      <c r="Q50" s="484" t="n"/>
      <c r="R50" s="35" t="n"/>
      <c r="S50" s="484" t="n"/>
      <c r="T50" s="35" t="n"/>
      <c r="U50" s="484" t="n"/>
      <c r="V50" s="35" t="n"/>
      <c r="W50" s="484" t="n"/>
      <c r="X50" s="35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>
      <c r="B51" s="6" t="inlineStr">
        <is>
          <t>Canine 2</t>
        </is>
      </c>
      <c r="C51" s="8" t="inlineStr">
        <is>
          <t>機台序號3</t>
        </is>
      </c>
      <c r="D51" s="1" t="n"/>
      <c r="E51" s="484" t="n"/>
      <c r="F51" s="35" t="n"/>
      <c r="G51" s="484" t="n"/>
      <c r="H51" s="35" t="n"/>
      <c r="I51" s="484" t="n"/>
      <c r="J51" s="35" t="n"/>
      <c r="K51" s="484" t="n"/>
      <c r="L51" s="35" t="n"/>
      <c r="M51" s="484" t="n"/>
      <c r="N51" s="35" t="n"/>
      <c r="O51" s="484" t="n"/>
      <c r="P51" s="35" t="n"/>
      <c r="Q51" s="484" t="n"/>
      <c r="R51" s="35" t="n"/>
      <c r="S51" s="484" t="n"/>
      <c r="T51" s="35" t="n"/>
      <c r="U51" s="484" t="n"/>
      <c r="V51" s="35" t="n"/>
      <c r="W51" s="484" t="n"/>
      <c r="X51" s="35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>
      <c r="B52" s="6" t="inlineStr">
        <is>
          <t>Canine 2</t>
        </is>
      </c>
      <c r="C52" s="8" t="inlineStr">
        <is>
          <t>機台序號3</t>
        </is>
      </c>
      <c r="D52" s="1" t="n"/>
      <c r="E52" s="484" t="n"/>
      <c r="F52" s="35" t="n"/>
      <c r="G52" s="484" t="n"/>
      <c r="H52" s="35" t="n"/>
      <c r="I52" s="484" t="n"/>
      <c r="J52" s="35" t="n"/>
      <c r="K52" s="484" t="n"/>
      <c r="L52" s="35" t="n"/>
      <c r="M52" s="484" t="n"/>
      <c r="N52" s="35" t="n"/>
      <c r="O52" s="484" t="n"/>
      <c r="P52" s="35" t="n"/>
      <c r="Q52" s="484" t="n"/>
      <c r="R52" s="35" t="n"/>
      <c r="S52" s="484" t="n"/>
      <c r="T52" s="35" t="n"/>
      <c r="U52" s="484" t="n"/>
      <c r="V52" s="35" t="n"/>
      <c r="W52" s="484" t="n"/>
      <c r="X52" s="35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>
      <c r="B53" s="6" t="inlineStr">
        <is>
          <t>Canine 2</t>
        </is>
      </c>
      <c r="C53" s="8" t="inlineStr">
        <is>
          <t>機台序號3</t>
        </is>
      </c>
      <c r="D53" s="1" t="n"/>
      <c r="E53" s="484" t="n"/>
      <c r="F53" s="35" t="n"/>
      <c r="G53" s="484" t="n"/>
      <c r="H53" s="35" t="n"/>
      <c r="I53" s="484" t="n"/>
      <c r="J53" s="35" t="n"/>
      <c r="K53" s="484" t="n"/>
      <c r="L53" s="35" t="n"/>
      <c r="M53" s="484" t="n"/>
      <c r="N53" s="35" t="n"/>
      <c r="O53" s="484" t="n"/>
      <c r="P53" s="35" t="n"/>
      <c r="Q53" s="484" t="n"/>
      <c r="R53" s="35" t="n"/>
      <c r="S53" s="484" t="n"/>
      <c r="T53" s="35" t="n"/>
      <c r="U53" s="484" t="n"/>
      <c r="V53" s="35" t="n"/>
      <c r="W53" s="484" t="n"/>
      <c r="X53" s="35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>
      <c r="B54" s="6" t="inlineStr">
        <is>
          <t>Canine 2</t>
        </is>
      </c>
      <c r="C54" s="8" t="inlineStr">
        <is>
          <t>機台序號3</t>
        </is>
      </c>
      <c r="D54" s="1" t="n"/>
      <c r="E54" s="484" t="n"/>
      <c r="F54" s="35" t="n"/>
      <c r="G54" s="484" t="n"/>
      <c r="H54" s="35" t="n"/>
      <c r="I54" s="484" t="n"/>
      <c r="J54" s="35" t="n"/>
      <c r="K54" s="484" t="n"/>
      <c r="L54" s="35" t="n"/>
      <c r="M54" s="484" t="n"/>
      <c r="N54" s="35" t="n"/>
      <c r="O54" s="484" t="n"/>
      <c r="P54" s="35" t="n"/>
      <c r="Q54" s="484" t="n"/>
      <c r="R54" s="35" t="n"/>
      <c r="S54" s="484" t="n"/>
      <c r="T54" s="35" t="n"/>
      <c r="U54" s="484" t="n"/>
      <c r="V54" s="35" t="n"/>
      <c r="W54" s="484" t="n"/>
      <c r="X54" s="35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>
      <c r="B55" s="6" t="inlineStr">
        <is>
          <t>Canine 2</t>
        </is>
      </c>
      <c r="C55" s="8" t="inlineStr">
        <is>
          <t>機台序號3</t>
        </is>
      </c>
      <c r="D55" s="1" t="n"/>
      <c r="E55" s="484" t="n"/>
      <c r="F55" s="35" t="n"/>
      <c r="G55" s="484" t="n"/>
      <c r="H55" s="35" t="n"/>
      <c r="I55" s="484" t="n"/>
      <c r="J55" s="35" t="n"/>
      <c r="K55" s="484" t="n"/>
      <c r="L55" s="35" t="n"/>
      <c r="M55" s="484" t="n"/>
      <c r="N55" s="35" t="n"/>
      <c r="O55" s="484" t="n"/>
      <c r="P55" s="35" t="n"/>
      <c r="Q55" s="484" t="n"/>
      <c r="R55" s="35" t="n"/>
      <c r="S55" s="484" t="n"/>
      <c r="T55" s="35" t="n"/>
      <c r="U55" s="484" t="n"/>
      <c r="V55" s="35" t="n"/>
      <c r="W55" s="484" t="n"/>
      <c r="X55" s="35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>
      <c r="B56" t="inlineStr">
        <is>
          <t>Canine 3</t>
        </is>
      </c>
      <c r="C56" s="1" t="inlineStr">
        <is>
          <t>機台序號3</t>
        </is>
      </c>
      <c r="D56" s="1" t="n"/>
      <c r="E56" s="484" t="n"/>
      <c r="F56" s="35" t="n"/>
      <c r="G56" s="484" t="n"/>
      <c r="H56" s="35" t="n"/>
      <c r="I56" s="484" t="n"/>
      <c r="J56" s="35" t="n"/>
      <c r="K56" s="484" t="n"/>
      <c r="L56" s="35" t="n"/>
      <c r="M56" s="484" t="n"/>
      <c r="N56" s="35" t="n"/>
      <c r="O56" s="484" t="n"/>
      <c r="P56" s="35" t="n"/>
      <c r="Q56" s="484" t="n"/>
      <c r="R56" s="35" t="n"/>
      <c r="S56" s="484" t="n"/>
      <c r="T56" s="35" t="n"/>
      <c r="U56" s="484" t="n"/>
      <c r="V56" s="35" t="n"/>
      <c r="W56" s="484" t="n"/>
      <c r="X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>
      <c r="B57" t="inlineStr">
        <is>
          <t>Canine 3</t>
        </is>
      </c>
      <c r="C57" s="1" t="inlineStr">
        <is>
          <t>機台序號3</t>
        </is>
      </c>
      <c r="D57" s="1" t="n"/>
      <c r="E57" s="484" t="n"/>
      <c r="F57" s="35" t="n"/>
      <c r="G57" s="484" t="n"/>
      <c r="H57" s="35" t="n"/>
      <c r="I57" s="484" t="n"/>
      <c r="J57" s="35" t="n"/>
      <c r="K57" s="484" t="n"/>
      <c r="L57" s="35" t="n"/>
      <c r="M57" s="484" t="n"/>
      <c r="N57" s="35" t="n"/>
      <c r="O57" s="484" t="n"/>
      <c r="P57" s="35" t="n"/>
      <c r="Q57" s="484" t="n"/>
      <c r="R57" s="35" t="n"/>
      <c r="S57" s="484" t="n"/>
      <c r="T57" s="35" t="n"/>
      <c r="U57" s="484" t="n"/>
      <c r="V57" s="35" t="n"/>
      <c r="W57" s="484" t="n"/>
      <c r="X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>
      <c r="B58" t="inlineStr">
        <is>
          <t>Canine 3</t>
        </is>
      </c>
      <c r="C58" s="1" t="inlineStr">
        <is>
          <t>機台序號3</t>
        </is>
      </c>
      <c r="D58" s="1" t="n"/>
      <c r="E58" s="484" t="n"/>
      <c r="F58" s="35" t="n"/>
      <c r="G58" s="484" t="n"/>
      <c r="H58" s="35" t="n"/>
      <c r="I58" s="484" t="n"/>
      <c r="J58" s="35" t="n"/>
      <c r="K58" s="484" t="n"/>
      <c r="L58" s="35" t="n"/>
      <c r="M58" s="484" t="n"/>
      <c r="N58" s="35" t="n"/>
      <c r="O58" s="484" t="n"/>
      <c r="P58" s="35" t="n"/>
      <c r="Q58" s="484" t="n"/>
      <c r="R58" s="35" t="n"/>
      <c r="S58" s="484" t="n"/>
      <c r="T58" s="35" t="n"/>
      <c r="U58" s="484" t="n"/>
      <c r="V58" s="35" t="n"/>
      <c r="W58" s="484" t="n"/>
      <c r="X58" s="35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>
      <c r="B59" t="inlineStr">
        <is>
          <t>Canine 3</t>
        </is>
      </c>
      <c r="C59" s="1" t="inlineStr">
        <is>
          <t>機台序號3</t>
        </is>
      </c>
      <c r="D59" s="1" t="n"/>
      <c r="E59" s="484" t="n"/>
      <c r="F59" s="35" t="n"/>
      <c r="G59" s="484" t="n"/>
      <c r="H59" s="35" t="n"/>
      <c r="I59" s="484" t="n"/>
      <c r="J59" s="35" t="n"/>
      <c r="K59" s="484" t="n"/>
      <c r="L59" s="35" t="n"/>
      <c r="M59" s="484" t="n"/>
      <c r="N59" s="35" t="n"/>
      <c r="O59" s="484" t="n"/>
      <c r="P59" s="35" t="n"/>
      <c r="Q59" s="484" t="n"/>
      <c r="R59" s="35" t="n"/>
      <c r="S59" s="484" t="n"/>
      <c r="T59" s="35" t="n"/>
      <c r="U59" s="484" t="n"/>
      <c r="V59" s="35" t="n"/>
      <c r="W59" s="484" t="n"/>
      <c r="X59" s="35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>
      <c r="B60" t="inlineStr">
        <is>
          <t>Canine 3</t>
        </is>
      </c>
      <c r="C60" s="1" t="inlineStr">
        <is>
          <t>機台序號3</t>
        </is>
      </c>
      <c r="D60" s="1" t="n"/>
      <c r="E60" s="484" t="n"/>
      <c r="F60" s="35" t="n"/>
      <c r="G60" s="484" t="n"/>
      <c r="H60" s="35" t="n"/>
      <c r="I60" s="484" t="n"/>
      <c r="J60" s="35" t="n"/>
      <c r="K60" s="484" t="n"/>
      <c r="L60" s="35" t="n"/>
      <c r="M60" s="484" t="n"/>
      <c r="N60" s="35" t="n"/>
      <c r="O60" s="484" t="n"/>
      <c r="P60" s="35" t="n"/>
      <c r="Q60" s="484" t="n"/>
      <c r="R60" s="35" t="n"/>
      <c r="S60" s="484" t="n"/>
      <c r="T60" s="35" t="n"/>
      <c r="U60" s="484" t="n"/>
      <c r="V60" s="35" t="n"/>
      <c r="W60" s="484" t="n"/>
      <c r="X60" s="35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>
      <c r="B61" t="inlineStr">
        <is>
          <t>Canine 3</t>
        </is>
      </c>
      <c r="C61" s="1" t="inlineStr">
        <is>
          <t>機台序號3</t>
        </is>
      </c>
      <c r="D61" s="1" t="n"/>
      <c r="E61" s="484" t="n"/>
      <c r="F61" s="35" t="n"/>
      <c r="G61" s="484" t="n"/>
      <c r="H61" s="35" t="n"/>
      <c r="I61" s="484" t="n"/>
      <c r="J61" s="35" t="n"/>
      <c r="K61" s="484" t="n"/>
      <c r="L61" s="35" t="n"/>
      <c r="M61" s="484" t="n"/>
      <c r="N61" s="35" t="n"/>
      <c r="O61" s="484" t="n"/>
      <c r="P61" s="35" t="n"/>
      <c r="Q61" s="484" t="n"/>
      <c r="R61" s="35" t="n"/>
      <c r="S61" s="484" t="n"/>
      <c r="T61" s="35" t="n"/>
      <c r="U61" s="484" t="n"/>
      <c r="V61" s="35" t="n"/>
      <c r="W61" s="484" t="n"/>
      <c r="X61" s="35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>
      <c r="B62" t="inlineStr">
        <is>
          <t>Canine 3</t>
        </is>
      </c>
      <c r="C62" s="1" t="inlineStr">
        <is>
          <t>機台序號3</t>
        </is>
      </c>
      <c r="D62" s="1" t="n"/>
      <c r="E62" s="484" t="n"/>
      <c r="F62" s="35" t="n"/>
      <c r="G62" s="484" t="n"/>
      <c r="H62" s="35" t="n"/>
      <c r="I62" s="484" t="n"/>
      <c r="J62" s="35" t="n"/>
      <c r="K62" s="484" t="n"/>
      <c r="L62" s="35" t="n"/>
      <c r="M62" s="484" t="n"/>
      <c r="N62" s="35" t="n"/>
      <c r="O62" s="484" t="n"/>
      <c r="P62" s="35" t="n"/>
      <c r="Q62" s="484" t="n"/>
      <c r="R62" s="35" t="n"/>
      <c r="S62" s="484" t="n"/>
      <c r="T62" s="35" t="n"/>
      <c r="U62" s="484" t="n"/>
      <c r="V62" s="35" t="n"/>
      <c r="W62" s="484" t="n"/>
      <c r="X62" s="35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>
      <c r="B63" t="inlineStr">
        <is>
          <t>Canine 3</t>
        </is>
      </c>
      <c r="C63" s="1" t="inlineStr">
        <is>
          <t>機台序號3</t>
        </is>
      </c>
      <c r="D63" s="1" t="n"/>
      <c r="E63" s="484" t="n"/>
      <c r="F63" s="35" t="n"/>
      <c r="G63" s="484" t="n"/>
      <c r="H63" s="35" t="n"/>
      <c r="I63" s="484" t="n"/>
      <c r="J63" s="35" t="n"/>
      <c r="K63" s="484" t="n"/>
      <c r="L63" s="35" t="n"/>
      <c r="M63" s="484" t="n"/>
      <c r="N63" s="35" t="n"/>
      <c r="O63" s="484" t="n"/>
      <c r="P63" s="35" t="n"/>
      <c r="Q63" s="484" t="n"/>
      <c r="R63" s="35" t="n"/>
      <c r="S63" s="484" t="n"/>
      <c r="T63" s="35" t="n"/>
      <c r="U63" s="484" t="n"/>
      <c r="V63" s="35" t="n"/>
      <c r="W63" s="484" t="n"/>
      <c r="X63" s="35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>
      <c r="B64" t="inlineStr">
        <is>
          <t>Canine 3</t>
        </is>
      </c>
      <c r="C64" s="1" t="inlineStr">
        <is>
          <t>機台序號3</t>
        </is>
      </c>
      <c r="D64" s="1" t="n"/>
      <c r="E64" s="484" t="n"/>
      <c r="F64" s="35" t="n"/>
      <c r="G64" s="484" t="n"/>
      <c r="H64" s="35" t="n"/>
      <c r="I64" s="484" t="n"/>
      <c r="J64" s="35" t="n"/>
      <c r="K64" s="484" t="n"/>
      <c r="L64" s="35" t="n"/>
      <c r="M64" s="484" t="n"/>
      <c r="N64" s="35" t="n"/>
      <c r="O64" s="484" t="n"/>
      <c r="P64" s="35" t="n"/>
      <c r="Q64" s="484" t="n"/>
      <c r="R64" s="35" t="n"/>
      <c r="S64" s="484" t="n"/>
      <c r="T64" s="35" t="n"/>
      <c r="U64" s="484" t="n"/>
      <c r="V64" s="35" t="n"/>
      <c r="W64" s="484" t="n"/>
      <c r="X64" s="35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>
      <c r="B65" t="inlineStr">
        <is>
          <t>Canine 3</t>
        </is>
      </c>
      <c r="C65" s="1" t="inlineStr">
        <is>
          <t>機台序號3</t>
        </is>
      </c>
      <c r="D65" s="1" t="n"/>
      <c r="E65" s="484" t="n"/>
      <c r="F65" s="35" t="n"/>
      <c r="G65" s="484" t="n"/>
      <c r="H65" s="35" t="n"/>
      <c r="I65" s="484" t="n"/>
      <c r="J65" s="35" t="n"/>
      <c r="K65" s="484" t="n"/>
      <c r="L65" s="35" t="n"/>
      <c r="M65" s="484" t="n"/>
      <c r="N65" s="35" t="n"/>
      <c r="O65" s="484" t="n"/>
      <c r="P65" s="35" t="n"/>
      <c r="Q65" s="484" t="n"/>
      <c r="R65" s="35" t="n"/>
      <c r="S65" s="484" t="n"/>
      <c r="T65" s="35" t="n"/>
      <c r="U65" s="484" t="n"/>
      <c r="V65" s="35" t="n"/>
      <c r="W65" s="484" t="n"/>
      <c r="X65" s="35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>
      <c r="B66" s="6" t="inlineStr">
        <is>
          <t>Canine 4</t>
        </is>
      </c>
      <c r="C66" s="8" t="inlineStr">
        <is>
          <t>機台序號3</t>
        </is>
      </c>
      <c r="D66" s="1" t="n"/>
      <c r="E66" s="484" t="n"/>
      <c r="F66" s="35" t="n"/>
      <c r="G66" s="484" t="n"/>
      <c r="H66" s="35" t="n"/>
      <c r="I66" s="484" t="n"/>
      <c r="J66" s="35" t="n"/>
      <c r="K66" s="484" t="n"/>
      <c r="L66" s="35" t="n"/>
      <c r="M66" s="484" t="n"/>
      <c r="N66" s="35" t="n"/>
      <c r="O66" s="484" t="n"/>
      <c r="P66" s="35" t="n"/>
      <c r="Q66" s="484" t="n"/>
      <c r="R66" s="35" t="n"/>
      <c r="S66" s="484" t="n"/>
      <c r="T66" s="35" t="n"/>
      <c r="U66" s="484" t="n"/>
      <c r="V66" s="35" t="n"/>
      <c r="W66" s="484" t="n"/>
      <c r="X66" s="35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>
      <c r="B67" s="6" t="inlineStr">
        <is>
          <t>Canine 4</t>
        </is>
      </c>
      <c r="C67" s="8" t="inlineStr">
        <is>
          <t>機台序號3</t>
        </is>
      </c>
      <c r="D67" s="1" t="n"/>
      <c r="E67" s="484" t="n"/>
      <c r="F67" s="35" t="n"/>
      <c r="G67" s="484" t="n"/>
      <c r="H67" s="35" t="n"/>
      <c r="I67" s="484" t="n"/>
      <c r="J67" s="35" t="n"/>
      <c r="K67" s="484" t="n"/>
      <c r="L67" s="35" t="n"/>
      <c r="M67" s="484" t="n"/>
      <c r="N67" s="35" t="n"/>
      <c r="O67" s="484" t="n"/>
      <c r="P67" s="35" t="n"/>
      <c r="Q67" s="484" t="n"/>
      <c r="R67" s="35" t="n"/>
      <c r="S67" s="484" t="n"/>
      <c r="T67" s="35" t="n"/>
      <c r="U67" s="484" t="n"/>
      <c r="V67" s="35" t="n"/>
      <c r="W67" s="484" t="n"/>
      <c r="X67" s="35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>
      <c r="B68" s="6" t="inlineStr">
        <is>
          <t>Canine 4</t>
        </is>
      </c>
      <c r="C68" s="8" t="inlineStr">
        <is>
          <t>機台序號3</t>
        </is>
      </c>
      <c r="D68" s="1" t="n"/>
      <c r="E68" s="484" t="n"/>
      <c r="F68" s="35" t="n"/>
      <c r="G68" s="484" t="n"/>
      <c r="H68" s="35" t="n"/>
      <c r="I68" s="484" t="n"/>
      <c r="J68" s="35" t="n"/>
      <c r="K68" s="484" t="n"/>
      <c r="L68" s="35" t="n"/>
      <c r="M68" s="484" t="n"/>
      <c r="N68" s="35" t="n"/>
      <c r="O68" s="484" t="n"/>
      <c r="P68" s="35" t="n"/>
      <c r="Q68" s="484" t="n"/>
      <c r="R68" s="35" t="n"/>
      <c r="S68" s="484" t="n"/>
      <c r="T68" s="35" t="n"/>
      <c r="U68" s="484" t="n"/>
      <c r="V68" s="35" t="n"/>
      <c r="W68" s="484" t="n"/>
      <c r="X68" s="35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>
      <c r="B69" s="6" t="inlineStr">
        <is>
          <t>Canine 4</t>
        </is>
      </c>
      <c r="C69" s="8" t="inlineStr">
        <is>
          <t>機台序號3</t>
        </is>
      </c>
      <c r="D69" s="1" t="n"/>
      <c r="E69" s="484" t="n"/>
      <c r="F69" s="35" t="n"/>
      <c r="G69" s="484" t="n"/>
      <c r="H69" s="35" t="n"/>
      <c r="I69" s="484" t="n"/>
      <c r="J69" s="35" t="n"/>
      <c r="K69" s="484" t="n"/>
      <c r="L69" s="35" t="n"/>
      <c r="M69" s="484" t="n"/>
      <c r="N69" s="35" t="n"/>
      <c r="O69" s="484" t="n"/>
      <c r="P69" s="35" t="n"/>
      <c r="Q69" s="484" t="n"/>
      <c r="R69" s="35" t="n"/>
      <c r="S69" s="484" t="n"/>
      <c r="T69" s="35" t="n"/>
      <c r="U69" s="484" t="n"/>
      <c r="V69" s="35" t="n"/>
      <c r="W69" s="484" t="n"/>
      <c r="X69" s="35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>
      <c r="B70" s="6" t="inlineStr">
        <is>
          <t>Canine 4</t>
        </is>
      </c>
      <c r="C70" s="8" t="inlineStr">
        <is>
          <t>機台序號3</t>
        </is>
      </c>
      <c r="D70" s="1" t="n"/>
      <c r="E70" s="484" t="n"/>
      <c r="F70" s="35" t="n"/>
      <c r="G70" s="484" t="n"/>
      <c r="H70" s="35" t="n"/>
      <c r="I70" s="484" t="n"/>
      <c r="J70" s="35" t="n"/>
      <c r="K70" s="484" t="n"/>
      <c r="L70" s="35" t="n"/>
      <c r="M70" s="484" t="n"/>
      <c r="N70" s="35" t="n"/>
      <c r="O70" s="484" t="n"/>
      <c r="P70" s="35" t="n"/>
      <c r="Q70" s="484" t="n"/>
      <c r="R70" s="35" t="n"/>
      <c r="S70" s="484" t="n"/>
      <c r="T70" s="35" t="n"/>
      <c r="U70" s="484" t="n"/>
      <c r="V70" s="35" t="n"/>
      <c r="W70" s="484" t="n"/>
      <c r="X70" s="35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>
      <c r="B71" s="6" t="inlineStr">
        <is>
          <t>Canine 4</t>
        </is>
      </c>
      <c r="C71" s="8" t="inlineStr">
        <is>
          <t>機台序號3</t>
        </is>
      </c>
      <c r="D71" s="1" t="n"/>
      <c r="E71" s="484" t="n"/>
      <c r="F71" s="35" t="n"/>
      <c r="G71" s="484" t="n"/>
      <c r="H71" s="35" t="n"/>
      <c r="I71" s="484" t="n"/>
      <c r="J71" s="35" t="n"/>
      <c r="K71" s="484" t="n"/>
      <c r="L71" s="35" t="n"/>
      <c r="M71" s="484" t="n"/>
      <c r="N71" s="35" t="n"/>
      <c r="O71" s="484" t="n"/>
      <c r="P71" s="35" t="n"/>
      <c r="Q71" s="484" t="n"/>
      <c r="R71" s="35" t="n"/>
      <c r="S71" s="484" t="n"/>
      <c r="T71" s="35" t="n"/>
      <c r="U71" s="484" t="n"/>
      <c r="V71" s="35" t="n"/>
      <c r="W71" s="484" t="n"/>
      <c r="X71" s="35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>
      <c r="B72" s="6" t="inlineStr">
        <is>
          <t>Canine 4</t>
        </is>
      </c>
      <c r="C72" s="8" t="inlineStr">
        <is>
          <t>機台序號3</t>
        </is>
      </c>
      <c r="D72" s="1" t="n"/>
      <c r="E72" s="484" t="n"/>
      <c r="F72" s="35" t="n"/>
      <c r="G72" s="484" t="n"/>
      <c r="H72" s="35" t="n"/>
      <c r="I72" s="484" t="n"/>
      <c r="J72" s="35" t="n"/>
      <c r="K72" s="484" t="n"/>
      <c r="L72" s="35" t="n"/>
      <c r="M72" s="484" t="n"/>
      <c r="N72" s="35" t="n"/>
      <c r="O72" s="484" t="n"/>
      <c r="P72" s="35" t="n"/>
      <c r="Q72" s="484" t="n"/>
      <c r="R72" s="35" t="n"/>
      <c r="S72" s="484" t="n"/>
      <c r="T72" s="35" t="n"/>
      <c r="U72" s="484" t="n"/>
      <c r="V72" s="35" t="n"/>
      <c r="W72" s="484" t="n"/>
      <c r="X72" s="35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>
      <c r="B73" s="6" t="inlineStr">
        <is>
          <t>Canine 4</t>
        </is>
      </c>
      <c r="C73" s="8" t="inlineStr">
        <is>
          <t>機台序號3</t>
        </is>
      </c>
      <c r="D73" s="1" t="n"/>
      <c r="E73" s="484" t="n"/>
      <c r="F73" s="35" t="n"/>
      <c r="G73" s="484" t="n"/>
      <c r="H73" s="35" t="n"/>
      <c r="I73" s="484" t="n"/>
      <c r="J73" s="35" t="n"/>
      <c r="K73" s="484" t="n"/>
      <c r="L73" s="35" t="n"/>
      <c r="M73" s="484" t="n"/>
      <c r="N73" s="35" t="n"/>
      <c r="O73" s="484" t="n"/>
      <c r="P73" s="35" t="n"/>
      <c r="Q73" s="484" t="n"/>
      <c r="R73" s="35" t="n"/>
      <c r="S73" s="484" t="n"/>
      <c r="T73" s="35" t="n"/>
      <c r="U73" s="484" t="n"/>
      <c r="V73" s="35" t="n"/>
      <c r="W73" s="484" t="n"/>
      <c r="X73" s="35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>
      <c r="B74" s="6" t="inlineStr">
        <is>
          <t>Canine 4</t>
        </is>
      </c>
      <c r="C74" s="8" t="inlineStr">
        <is>
          <t>機台序號3</t>
        </is>
      </c>
      <c r="D74" s="1" t="n"/>
      <c r="E74" s="484" t="n"/>
      <c r="F74" s="35" t="n"/>
      <c r="G74" s="484" t="n"/>
      <c r="H74" s="35" t="n"/>
      <c r="I74" s="484" t="n"/>
      <c r="J74" s="35" t="n"/>
      <c r="K74" s="484" t="n"/>
      <c r="L74" s="35" t="n"/>
      <c r="M74" s="484" t="n"/>
      <c r="N74" s="35" t="n"/>
      <c r="O74" s="484" t="n"/>
      <c r="P74" s="35" t="n"/>
      <c r="Q74" s="484" t="n"/>
      <c r="R74" s="35" t="n"/>
      <c r="S74" s="484" t="n"/>
      <c r="T74" s="35" t="n"/>
      <c r="U74" s="484" t="n"/>
      <c r="V74" s="35" t="n"/>
      <c r="W74" s="484" t="n"/>
      <c r="X74" s="35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>
      <c r="B75" s="6" t="inlineStr">
        <is>
          <t>Canine 4</t>
        </is>
      </c>
      <c r="C75" s="8" t="inlineStr">
        <is>
          <t>機台序號3</t>
        </is>
      </c>
      <c r="D75" s="1" t="n"/>
      <c r="E75" s="484" t="n"/>
      <c r="F75" s="35" t="n"/>
      <c r="G75" s="484" t="n"/>
      <c r="H75" s="35" t="n"/>
      <c r="I75" s="484" t="n"/>
      <c r="J75" s="35" t="n"/>
      <c r="K75" s="484" t="n"/>
      <c r="L75" s="35" t="n"/>
      <c r="M75" s="484" t="n"/>
      <c r="N75" s="35" t="n"/>
      <c r="O75" s="484" t="n"/>
      <c r="P75" s="35" t="n"/>
      <c r="Q75" s="484" t="n"/>
      <c r="R75" s="35" t="n"/>
      <c r="S75" s="484" t="n"/>
      <c r="T75" s="35" t="n"/>
      <c r="U75" s="484" t="n"/>
      <c r="V75" s="35" t="n"/>
      <c r="W75" s="484" t="n"/>
      <c r="X75" s="35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>
      <c r="B76" t="inlineStr">
        <is>
          <t>Canine 5</t>
        </is>
      </c>
      <c r="C76" s="1" t="inlineStr">
        <is>
          <t>機台序號3</t>
        </is>
      </c>
      <c r="D76" s="1" t="n"/>
      <c r="E76" s="484" t="n"/>
      <c r="F76" s="35" t="n"/>
      <c r="G76" s="484" t="n"/>
      <c r="H76" s="35" t="n"/>
      <c r="I76" s="484" t="n"/>
      <c r="J76" s="35" t="n"/>
      <c r="K76" s="484" t="n"/>
      <c r="L76" s="35" t="n"/>
      <c r="M76" s="484" t="n"/>
      <c r="N76" s="35" t="n"/>
      <c r="O76" s="484" t="n"/>
      <c r="P76" s="35" t="n"/>
      <c r="Q76" s="484" t="n"/>
      <c r="R76" s="35" t="n"/>
      <c r="S76" s="484" t="n"/>
      <c r="T76" s="35" t="n"/>
      <c r="U76" s="484" t="n"/>
      <c r="V76" s="35" t="n"/>
      <c r="W76" s="484" t="n"/>
      <c r="X76" s="35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>
      <c r="B77" t="inlineStr">
        <is>
          <t>Canine 5</t>
        </is>
      </c>
      <c r="C77" s="1" t="inlineStr">
        <is>
          <t>機台序號3</t>
        </is>
      </c>
      <c r="D77" s="1" t="n"/>
      <c r="E77" s="484" t="n"/>
      <c r="F77" s="35" t="n"/>
      <c r="G77" s="484" t="n"/>
      <c r="H77" s="35" t="n"/>
      <c r="I77" s="484" t="n"/>
      <c r="J77" s="35" t="n"/>
      <c r="K77" s="484" t="n"/>
      <c r="L77" s="35" t="n"/>
      <c r="M77" s="484" t="n"/>
      <c r="N77" s="35" t="n"/>
      <c r="O77" s="484" t="n"/>
      <c r="P77" s="35" t="n"/>
      <c r="Q77" s="484" t="n"/>
      <c r="R77" s="35" t="n"/>
      <c r="S77" s="484" t="n"/>
      <c r="T77" s="35" t="n"/>
      <c r="U77" s="484" t="n"/>
      <c r="V77" s="35" t="n"/>
      <c r="W77" s="484" t="n"/>
      <c r="X77" s="35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>
      <c r="B78" t="inlineStr">
        <is>
          <t>Canine 5</t>
        </is>
      </c>
      <c r="C78" s="1" t="inlineStr">
        <is>
          <t>機台序號3</t>
        </is>
      </c>
      <c r="D78" s="1" t="n"/>
      <c r="E78" s="484" t="n"/>
      <c r="F78" s="35" t="n"/>
      <c r="G78" s="484" t="n"/>
      <c r="H78" s="35" t="n"/>
      <c r="I78" s="484" t="n"/>
      <c r="J78" s="35" t="n"/>
      <c r="K78" s="484" t="n"/>
      <c r="L78" s="35" t="n"/>
      <c r="M78" s="484" t="n"/>
      <c r="N78" s="35" t="n"/>
      <c r="O78" s="484" t="n"/>
      <c r="P78" s="35" t="n"/>
      <c r="Q78" s="484" t="n"/>
      <c r="R78" s="35" t="n"/>
      <c r="S78" s="484" t="n"/>
      <c r="T78" s="35" t="n"/>
      <c r="U78" s="484" t="n"/>
      <c r="V78" s="35" t="n"/>
      <c r="W78" s="484" t="n"/>
      <c r="X78" s="35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>
      <c r="B79" t="inlineStr">
        <is>
          <t>Canine 5</t>
        </is>
      </c>
      <c r="C79" s="1" t="inlineStr">
        <is>
          <t>機台序號3</t>
        </is>
      </c>
      <c r="D79" s="1" t="n"/>
      <c r="E79" s="484" t="n"/>
      <c r="F79" s="35" t="n"/>
      <c r="G79" s="484" t="n"/>
      <c r="H79" s="35" t="n"/>
      <c r="I79" s="484" t="n"/>
      <c r="J79" s="35" t="n"/>
      <c r="K79" s="484" t="n"/>
      <c r="L79" s="35" t="n"/>
      <c r="M79" s="484" t="n"/>
      <c r="N79" s="35" t="n"/>
      <c r="O79" s="484" t="n"/>
      <c r="P79" s="35" t="n"/>
      <c r="Q79" s="484" t="n"/>
      <c r="R79" s="35" t="n"/>
      <c r="S79" s="484" t="n"/>
      <c r="T79" s="35" t="n"/>
      <c r="U79" s="484" t="n"/>
      <c r="V79" s="35" t="n"/>
      <c r="W79" s="484" t="n"/>
      <c r="X79" s="3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>
      <c r="B80" t="inlineStr">
        <is>
          <t>Canine 5</t>
        </is>
      </c>
      <c r="C80" s="1" t="inlineStr">
        <is>
          <t>機台序號3</t>
        </is>
      </c>
      <c r="D80" s="1" t="n"/>
      <c r="E80" s="484" t="n"/>
      <c r="F80" s="35" t="n"/>
      <c r="G80" s="484" t="n"/>
      <c r="H80" s="35" t="n"/>
      <c r="I80" s="484" t="n"/>
      <c r="J80" s="35" t="n"/>
      <c r="K80" s="484" t="n"/>
      <c r="L80" s="35" t="n"/>
      <c r="M80" s="484" t="n"/>
      <c r="N80" s="35" t="n"/>
      <c r="O80" s="484" t="n"/>
      <c r="P80" s="35" t="n"/>
      <c r="Q80" s="484" t="n"/>
      <c r="R80" s="35" t="n"/>
      <c r="S80" s="484" t="n"/>
      <c r="T80" s="35" t="n"/>
      <c r="U80" s="484" t="n"/>
      <c r="V80" s="35" t="n"/>
      <c r="W80" s="484" t="n"/>
      <c r="X80" s="35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>
      <c r="B81" t="inlineStr">
        <is>
          <t>Canine 5</t>
        </is>
      </c>
      <c r="C81" s="1" t="inlineStr">
        <is>
          <t>機台序號3</t>
        </is>
      </c>
      <c r="D81" s="1" t="n"/>
      <c r="E81" s="484" t="n"/>
      <c r="F81" s="35" t="n"/>
      <c r="G81" s="484" t="n"/>
      <c r="H81" s="35" t="n"/>
      <c r="I81" s="484" t="n"/>
      <c r="J81" s="35" t="n"/>
      <c r="K81" s="484" t="n"/>
      <c r="L81" s="35" t="n"/>
      <c r="M81" s="484" t="n"/>
      <c r="N81" s="35" t="n"/>
      <c r="O81" s="484" t="n"/>
      <c r="P81" s="35" t="n"/>
      <c r="Q81" s="484" t="n"/>
      <c r="R81" s="35" t="n"/>
      <c r="S81" s="484" t="n"/>
      <c r="T81" s="35" t="n"/>
      <c r="U81" s="484" t="n"/>
      <c r="V81" s="35" t="n"/>
      <c r="W81" s="484" t="n"/>
      <c r="X81" s="35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>
      <c r="B82" t="inlineStr">
        <is>
          <t>Canine 5</t>
        </is>
      </c>
      <c r="C82" s="1" t="inlineStr">
        <is>
          <t>機台序號3</t>
        </is>
      </c>
      <c r="D82" s="1" t="n"/>
      <c r="E82" s="484" t="n"/>
      <c r="F82" s="35" t="n"/>
      <c r="G82" s="484" t="n"/>
      <c r="H82" s="35" t="n"/>
      <c r="I82" s="484" t="n"/>
      <c r="J82" s="35" t="n"/>
      <c r="K82" s="484" t="n"/>
      <c r="L82" s="35" t="n"/>
      <c r="M82" s="484" t="n"/>
      <c r="N82" s="35" t="n"/>
      <c r="O82" s="484" t="n"/>
      <c r="P82" s="35" t="n"/>
      <c r="Q82" s="484" t="n"/>
      <c r="R82" s="35" t="n"/>
      <c r="S82" s="484" t="n"/>
      <c r="T82" s="35" t="n"/>
      <c r="U82" s="484" t="n"/>
      <c r="V82" s="35" t="n"/>
      <c r="W82" s="484" t="n"/>
      <c r="X82" s="35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>
      <c r="B83" t="inlineStr">
        <is>
          <t>Canine 5</t>
        </is>
      </c>
      <c r="C83" s="1" t="inlineStr">
        <is>
          <t>機台序號3</t>
        </is>
      </c>
      <c r="D83" s="1" t="n"/>
      <c r="E83" s="484" t="n"/>
      <c r="F83" s="35" t="n"/>
      <c r="G83" s="484" t="n"/>
      <c r="H83" s="35" t="n"/>
      <c r="I83" s="484" t="n"/>
      <c r="J83" s="35" t="n"/>
      <c r="K83" s="484" t="n"/>
      <c r="L83" s="35" t="n"/>
      <c r="M83" s="484" t="n"/>
      <c r="N83" s="35" t="n"/>
      <c r="O83" s="484" t="n"/>
      <c r="P83" s="35" t="n"/>
      <c r="Q83" s="484" t="n"/>
      <c r="R83" s="35" t="n"/>
      <c r="S83" s="484" t="n"/>
      <c r="T83" s="35" t="n"/>
      <c r="U83" s="484" t="n"/>
      <c r="V83" s="35" t="n"/>
      <c r="W83" s="484" t="n"/>
      <c r="X83" s="35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>
      <c r="B84" t="inlineStr">
        <is>
          <t>Canine 5</t>
        </is>
      </c>
      <c r="C84" s="1" t="inlineStr">
        <is>
          <t>機台序號3</t>
        </is>
      </c>
      <c r="D84" s="1" t="n"/>
      <c r="E84" s="484" t="n"/>
      <c r="F84" s="35" t="n"/>
      <c r="G84" s="484" t="n"/>
      <c r="H84" s="35" t="n"/>
      <c r="I84" s="484" t="n"/>
      <c r="J84" s="35" t="n"/>
      <c r="K84" s="484" t="n"/>
      <c r="L84" s="35" t="n"/>
      <c r="M84" s="484" t="n"/>
      <c r="N84" s="35" t="n"/>
      <c r="O84" s="484" t="n"/>
      <c r="P84" s="35" t="n"/>
      <c r="Q84" s="484" t="n"/>
      <c r="R84" s="35" t="n"/>
      <c r="S84" s="484" t="n"/>
      <c r="T84" s="35" t="n"/>
      <c r="U84" s="484" t="n"/>
      <c r="V84" s="35" t="n"/>
      <c r="W84" s="484" t="n"/>
      <c r="X84" s="35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>
      <c r="B85" t="inlineStr">
        <is>
          <t>Canine 5</t>
        </is>
      </c>
      <c r="C85" s="1" t="inlineStr">
        <is>
          <t>機台序號3</t>
        </is>
      </c>
      <c r="D85" s="1" t="n"/>
      <c r="E85" s="484" t="n"/>
      <c r="F85" s="35" t="n"/>
      <c r="G85" s="484" t="n"/>
      <c r="H85" s="35" t="n"/>
      <c r="I85" s="484" t="n"/>
      <c r="J85" s="35" t="n"/>
      <c r="K85" s="484" t="n"/>
      <c r="L85" s="35" t="n"/>
      <c r="M85" s="484" t="n"/>
      <c r="N85" s="35" t="n"/>
      <c r="O85" s="484" t="n"/>
      <c r="P85" s="35" t="n"/>
      <c r="Q85" s="484" t="n"/>
      <c r="R85" s="35" t="n"/>
      <c r="S85" s="484" t="n"/>
      <c r="T85" s="35" t="n"/>
      <c r="U85" s="484" t="n"/>
      <c r="V85" s="35" t="n"/>
      <c r="W85" s="484" t="n"/>
      <c r="X85" s="35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>
      <c r="B86" s="6" t="inlineStr">
        <is>
          <t>Canine 6</t>
        </is>
      </c>
      <c r="C86" s="8" t="inlineStr">
        <is>
          <t>機台序號3</t>
        </is>
      </c>
      <c r="D86" s="1" t="n"/>
      <c r="E86" s="484" t="n"/>
      <c r="F86" s="35" t="n"/>
      <c r="G86" s="484" t="n"/>
      <c r="H86" s="35" t="n"/>
      <c r="I86" s="484" t="n"/>
      <c r="J86" s="35" t="n"/>
      <c r="K86" s="484" t="n"/>
      <c r="L86" s="35" t="n"/>
      <c r="M86" s="484" t="n"/>
      <c r="N86" s="35" t="n"/>
      <c r="O86" s="484" t="n"/>
      <c r="P86" s="35" t="n"/>
      <c r="Q86" s="484" t="n"/>
      <c r="R86" s="35" t="n"/>
      <c r="S86" s="484" t="n"/>
      <c r="T86" s="35" t="n"/>
      <c r="U86" s="484" t="n"/>
      <c r="V86" s="35" t="n"/>
      <c r="W86" s="484" t="n"/>
      <c r="X86" s="35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>
      <c r="B87" s="6" t="inlineStr">
        <is>
          <t>Canine 6</t>
        </is>
      </c>
      <c r="C87" s="8" t="inlineStr">
        <is>
          <t>機台序號3</t>
        </is>
      </c>
      <c r="D87" s="1" t="n"/>
      <c r="E87" s="484" t="n"/>
      <c r="F87" s="35" t="n"/>
      <c r="G87" s="484" t="n"/>
      <c r="H87" s="35" t="n"/>
      <c r="I87" s="484" t="n"/>
      <c r="J87" s="35" t="n"/>
      <c r="K87" s="484" t="n"/>
      <c r="L87" s="35" t="n"/>
      <c r="M87" s="484" t="n"/>
      <c r="N87" s="35" t="n"/>
      <c r="O87" s="484" t="n"/>
      <c r="P87" s="35" t="n"/>
      <c r="Q87" s="484" t="n"/>
      <c r="R87" s="35" t="n"/>
      <c r="S87" s="484" t="n"/>
      <c r="T87" s="35" t="n"/>
      <c r="U87" s="484" t="n"/>
      <c r="V87" s="35" t="n"/>
      <c r="W87" s="484" t="n"/>
      <c r="X87" s="35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>
      <c r="B88" s="6" t="inlineStr">
        <is>
          <t>Canine 6</t>
        </is>
      </c>
      <c r="C88" s="8" t="inlineStr">
        <is>
          <t>機台序號3</t>
        </is>
      </c>
      <c r="D88" s="1" t="n"/>
      <c r="E88" s="484" t="n"/>
      <c r="F88" s="35" t="n"/>
      <c r="G88" s="484" t="n"/>
      <c r="H88" s="35" t="n"/>
      <c r="I88" s="484" t="n"/>
      <c r="J88" s="35" t="n"/>
      <c r="K88" s="484" t="n"/>
      <c r="L88" s="35" t="n"/>
      <c r="M88" s="484" t="n"/>
      <c r="N88" s="35" t="n"/>
      <c r="O88" s="484" t="n"/>
      <c r="P88" s="35" t="n"/>
      <c r="Q88" s="484" t="n"/>
      <c r="R88" s="35" t="n"/>
      <c r="S88" s="484" t="n"/>
      <c r="T88" s="35" t="n"/>
      <c r="U88" s="484" t="n"/>
      <c r="V88" s="35" t="n"/>
      <c r="W88" s="484" t="n"/>
      <c r="X88" s="35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>
      <c r="B89" s="6" t="inlineStr">
        <is>
          <t>Canine 6</t>
        </is>
      </c>
      <c r="C89" s="8" t="inlineStr">
        <is>
          <t>機台序號3</t>
        </is>
      </c>
      <c r="D89" s="1" t="n"/>
      <c r="E89" s="484" t="n"/>
      <c r="F89" s="35" t="n"/>
      <c r="G89" s="484" t="n"/>
      <c r="H89" s="35" t="n"/>
      <c r="I89" s="484" t="n"/>
      <c r="J89" s="35" t="n"/>
      <c r="K89" s="484" t="n"/>
      <c r="L89" s="35" t="n"/>
      <c r="M89" s="484" t="n"/>
      <c r="N89" s="35" t="n"/>
      <c r="O89" s="484" t="n"/>
      <c r="P89" s="35" t="n"/>
      <c r="Q89" s="484" t="n"/>
      <c r="R89" s="35" t="n"/>
      <c r="S89" s="484" t="n"/>
      <c r="T89" s="35" t="n"/>
      <c r="U89" s="484" t="n"/>
      <c r="V89" s="35" t="n"/>
      <c r="W89" s="484" t="n"/>
      <c r="X89" s="35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>
      <c r="B90" s="6" t="inlineStr">
        <is>
          <t>Canine 6</t>
        </is>
      </c>
      <c r="C90" s="8" t="inlineStr">
        <is>
          <t>機台序號3</t>
        </is>
      </c>
      <c r="D90" s="1" t="n"/>
      <c r="E90" s="484" t="n"/>
      <c r="F90" s="35" t="n"/>
      <c r="G90" s="484" t="n"/>
      <c r="H90" s="35" t="n"/>
      <c r="I90" s="484" t="n"/>
      <c r="J90" s="35" t="n"/>
      <c r="K90" s="484" t="n"/>
      <c r="L90" s="35" t="n"/>
      <c r="M90" s="484" t="n"/>
      <c r="N90" s="35" t="n"/>
      <c r="O90" s="484" t="n"/>
      <c r="P90" s="35" t="n"/>
      <c r="Q90" s="484" t="n"/>
      <c r="R90" s="35" t="n"/>
      <c r="S90" s="484" t="n"/>
      <c r="T90" s="35" t="n"/>
      <c r="U90" s="484" t="n"/>
      <c r="V90" s="35" t="n"/>
      <c r="W90" s="484" t="n"/>
      <c r="X90" s="35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>
      <c r="B91" s="6" t="inlineStr">
        <is>
          <t>Canine 6</t>
        </is>
      </c>
      <c r="C91" s="8" t="inlineStr">
        <is>
          <t>機台序號3</t>
        </is>
      </c>
      <c r="D91" s="1" t="n"/>
      <c r="E91" s="484" t="n"/>
      <c r="F91" s="35" t="n"/>
      <c r="G91" s="484" t="n"/>
      <c r="H91" s="35" t="n"/>
      <c r="I91" s="484" t="n"/>
      <c r="J91" s="35" t="n"/>
      <c r="K91" s="484" t="n"/>
      <c r="L91" s="35" t="n"/>
      <c r="M91" s="484" t="n"/>
      <c r="N91" s="35" t="n"/>
      <c r="O91" s="484" t="n"/>
      <c r="P91" s="35" t="n"/>
      <c r="Q91" s="484" t="n"/>
      <c r="R91" s="35" t="n"/>
      <c r="S91" s="484" t="n"/>
      <c r="T91" s="35" t="n"/>
      <c r="U91" s="484" t="n"/>
      <c r="V91" s="35" t="n"/>
      <c r="W91" s="484" t="n"/>
      <c r="X91" s="35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>
      <c r="B92" s="6" t="inlineStr">
        <is>
          <t>Canine 6</t>
        </is>
      </c>
      <c r="C92" s="8" t="inlineStr">
        <is>
          <t>機台序號3</t>
        </is>
      </c>
      <c r="D92" s="1" t="n"/>
      <c r="E92" s="484" t="n"/>
      <c r="F92" s="35" t="n"/>
      <c r="G92" s="484" t="n"/>
      <c r="H92" s="35" t="n"/>
      <c r="I92" s="484" t="n"/>
      <c r="J92" s="35" t="n"/>
      <c r="K92" s="484" t="n"/>
      <c r="L92" s="35" t="n"/>
      <c r="M92" s="484" t="n"/>
      <c r="N92" s="35" t="n"/>
      <c r="O92" s="484" t="n"/>
      <c r="P92" s="35" t="n"/>
      <c r="Q92" s="484" t="n"/>
      <c r="R92" s="35" t="n"/>
      <c r="S92" s="484" t="n"/>
      <c r="T92" s="35" t="n"/>
      <c r="U92" s="484" t="n"/>
      <c r="V92" s="35" t="n"/>
      <c r="W92" s="484" t="n"/>
      <c r="X92" s="35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>
      <c r="B93" s="6" t="inlineStr">
        <is>
          <t>Canine 6</t>
        </is>
      </c>
      <c r="C93" s="8" t="inlineStr">
        <is>
          <t>機台序號3</t>
        </is>
      </c>
      <c r="D93" s="1" t="n"/>
      <c r="E93" s="484" t="n"/>
      <c r="F93" s="35" t="n"/>
      <c r="G93" s="484" t="n"/>
      <c r="H93" s="35" t="n"/>
      <c r="I93" s="484" t="n"/>
      <c r="J93" s="35" t="n"/>
      <c r="K93" s="484" t="n"/>
      <c r="L93" s="35" t="n"/>
      <c r="M93" s="484" t="n"/>
      <c r="N93" s="35" t="n"/>
      <c r="O93" s="484" t="n"/>
      <c r="P93" s="35" t="n"/>
      <c r="Q93" s="484" t="n"/>
      <c r="R93" s="35" t="n"/>
      <c r="S93" s="484" t="n"/>
      <c r="T93" s="35" t="n"/>
      <c r="U93" s="484" t="n"/>
      <c r="V93" s="35" t="n"/>
      <c r="W93" s="484" t="n"/>
      <c r="X93" s="35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>
      <c r="B94" s="6" t="inlineStr">
        <is>
          <t>Canine 6</t>
        </is>
      </c>
      <c r="C94" s="8" t="inlineStr">
        <is>
          <t>機台序號3</t>
        </is>
      </c>
      <c r="D94" s="1" t="n"/>
      <c r="E94" s="484" t="n"/>
      <c r="F94" s="35" t="n"/>
      <c r="G94" s="484" t="n"/>
      <c r="H94" s="35" t="n"/>
      <c r="I94" s="484" t="n"/>
      <c r="J94" s="35" t="n"/>
      <c r="K94" s="484" t="n"/>
      <c r="L94" s="35" t="n"/>
      <c r="M94" s="484" t="n"/>
      <c r="N94" s="35" t="n"/>
      <c r="O94" s="484" t="n"/>
      <c r="P94" s="35" t="n"/>
      <c r="Q94" s="484" t="n"/>
      <c r="R94" s="35" t="n"/>
      <c r="S94" s="484" t="n"/>
      <c r="T94" s="35" t="n"/>
      <c r="U94" s="484" t="n"/>
      <c r="V94" s="35" t="n"/>
      <c r="W94" s="484" t="n"/>
      <c r="X94" s="35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>
      <c r="B95" s="6" t="inlineStr">
        <is>
          <t>Canine 6</t>
        </is>
      </c>
      <c r="C95" s="8" t="inlineStr">
        <is>
          <t>機台序號3</t>
        </is>
      </c>
      <c r="D95" s="1" t="n"/>
      <c r="E95" s="484" t="n"/>
      <c r="F95" s="35" t="n"/>
      <c r="G95" s="484" t="n"/>
      <c r="H95" s="35" t="n"/>
      <c r="I95" s="484" t="n"/>
      <c r="J95" s="35" t="n"/>
      <c r="K95" s="484" t="n"/>
      <c r="L95" s="35" t="n"/>
      <c r="M95" s="484" t="n"/>
      <c r="N95" s="35" t="n"/>
      <c r="O95" s="484" t="n"/>
      <c r="P95" s="35" t="n"/>
      <c r="Q95" s="484" t="n"/>
      <c r="R95" s="35" t="n"/>
      <c r="S95" s="484" t="n"/>
      <c r="T95" s="35" t="n"/>
      <c r="U95" s="484" t="n"/>
      <c r="V95" s="35" t="n"/>
      <c r="W95" s="484" t="n"/>
      <c r="X95" s="35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>
      <c r="E96" s="20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  <c r="V96" s="20" t="n"/>
      <c r="W96" s="20" t="n"/>
      <c r="X96" s="20" t="n"/>
    </row>
    <row r="97"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</row>
    <row r="98"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 t="n"/>
    </row>
    <row r="99"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</row>
    <row r="100"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20" t="n"/>
      <c r="R100" s="20" t="n"/>
      <c r="S100" s="20" t="n"/>
      <c r="T100" s="20" t="n"/>
      <c r="U100" s="20" t="n"/>
      <c r="V100" s="20" t="n"/>
      <c r="W100" s="20" t="n"/>
      <c r="X100" s="20" t="n"/>
    </row>
    <row r="101"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</row>
    <row r="102">
      <c r="E102" s="20" t="n"/>
      <c r="F102" s="20" t="n"/>
      <c r="G102" s="20" t="n"/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20" t="n"/>
      <c r="R102" s="20" t="n"/>
      <c r="S102" s="20" t="n"/>
      <c r="T102" s="20" t="n"/>
      <c r="U102" s="20" t="n"/>
      <c r="V102" s="20" t="n"/>
      <c r="W102" s="20" t="n"/>
      <c r="X102" s="20" t="n"/>
    </row>
    <row r="103"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  <c r="X103" s="20" t="n"/>
    </row>
    <row r="104">
      <c r="E104" s="20" t="n"/>
      <c r="F104" s="20" t="n"/>
      <c r="G104" s="20" t="n"/>
      <c r="H104" s="20" t="n"/>
      <c r="I104" s="20" t="n"/>
      <c r="J104" s="20" t="n"/>
      <c r="K104" s="20" t="n"/>
      <c r="L104" s="20" t="n"/>
      <c r="M104" s="20" t="n"/>
      <c r="N104" s="20" t="n"/>
      <c r="O104" s="20" t="n"/>
      <c r="P104" s="20" t="n"/>
      <c r="Q104" s="20" t="n"/>
      <c r="R104" s="20" t="n"/>
      <c r="S104" s="20" t="n"/>
      <c r="T104" s="20" t="n"/>
      <c r="U104" s="20" t="n"/>
      <c r="V104" s="20" t="n"/>
      <c r="W104" s="20" t="n"/>
      <c r="X104" s="20" t="n"/>
    </row>
    <row r="105"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</row>
    <row r="106">
      <c r="E106" s="20" t="n"/>
      <c r="F106" s="20" t="n"/>
      <c r="G106" s="20" t="n"/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20" t="n"/>
      <c r="Q106" s="20" t="n"/>
      <c r="R106" s="20" t="n"/>
      <c r="S106" s="20" t="n"/>
      <c r="T106" s="20" t="n"/>
      <c r="U106" s="20" t="n"/>
      <c r="V106" s="20" t="n"/>
      <c r="W106" s="20" t="n"/>
      <c r="X106" s="20" t="n"/>
    </row>
    <row r="107"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</row>
    <row r="108">
      <c r="E108" s="20" t="n"/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n"/>
      <c r="P108" s="20" t="n"/>
      <c r="Q108" s="20" t="n"/>
      <c r="R108" s="20" t="n"/>
      <c r="S108" s="20" t="n"/>
      <c r="T108" s="20" t="n"/>
      <c r="U108" s="20" t="n"/>
      <c r="V108" s="20" t="n"/>
      <c r="W108" s="20" t="n"/>
      <c r="X108" s="20" t="n"/>
    </row>
    <row r="109"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  <c r="X109" s="20" t="n"/>
    </row>
    <row r="110">
      <c r="E110" s="20" t="n"/>
      <c r="F110" s="20" t="n"/>
      <c r="G110" s="20" t="n"/>
      <c r="H110" s="20" t="n"/>
      <c r="I110" s="20" t="n"/>
      <c r="J110" s="20" t="n"/>
      <c r="K110" s="20" t="n"/>
      <c r="L110" s="20" t="n"/>
      <c r="M110" s="20" t="n"/>
      <c r="N110" s="20" t="n"/>
      <c r="O110" s="20" t="n"/>
      <c r="P110" s="20" t="n"/>
      <c r="Q110" s="20" t="n"/>
      <c r="R110" s="20" t="n"/>
      <c r="S110" s="20" t="n"/>
      <c r="T110" s="20" t="n"/>
      <c r="U110" s="20" t="n"/>
      <c r="V110" s="20" t="n"/>
      <c r="W110" s="20" t="n"/>
      <c r="X110" s="20" t="n"/>
    </row>
    <row r="111"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</row>
    <row r="112">
      <c r="E112" s="20" t="n"/>
      <c r="F112" s="20" t="n"/>
      <c r="G112" s="20" t="n"/>
      <c r="H112" s="20" t="n"/>
      <c r="I112" s="20" t="n"/>
      <c r="J112" s="20" t="n"/>
      <c r="K112" s="20" t="n"/>
      <c r="L112" s="20" t="n"/>
      <c r="M112" s="20" t="n"/>
      <c r="N112" s="20" t="n"/>
      <c r="O112" s="20" t="n"/>
      <c r="P112" s="20" t="n"/>
      <c r="Q112" s="20" t="n"/>
      <c r="R112" s="20" t="n"/>
      <c r="S112" s="20" t="n"/>
      <c r="T112" s="20" t="n"/>
      <c r="U112" s="20" t="n"/>
      <c r="V112" s="20" t="n"/>
      <c r="W112" s="20" t="n"/>
      <c r="X112" s="20" t="n"/>
    </row>
    <row r="113"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</row>
    <row r="114">
      <c r="E114" s="20" t="n"/>
      <c r="F114" s="20" t="n"/>
      <c r="G114" s="20" t="n"/>
      <c r="H114" s="20" t="n"/>
      <c r="I114" s="20" t="n"/>
      <c r="J114" s="20" t="n"/>
      <c r="K114" s="20" t="n"/>
      <c r="L114" s="20" t="n"/>
      <c r="M114" s="20" t="n"/>
      <c r="N114" s="20" t="n"/>
      <c r="O114" s="20" t="n"/>
      <c r="P114" s="20" t="n"/>
      <c r="Q114" s="20" t="n"/>
      <c r="R114" s="20" t="n"/>
      <c r="S114" s="20" t="n"/>
      <c r="T114" s="20" t="n"/>
      <c r="U114" s="20" t="n"/>
      <c r="V114" s="20" t="n"/>
      <c r="W114" s="20" t="n"/>
      <c r="X114" s="20" t="n"/>
    </row>
    <row r="115"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  <c r="X115" s="20" t="n"/>
    </row>
    <row r="116">
      <c r="E116" s="20" t="n"/>
      <c r="F116" s="20" t="n"/>
      <c r="G116" s="20" t="n"/>
      <c r="H116" s="20" t="n"/>
      <c r="I116" s="20" t="n"/>
      <c r="J116" s="20" t="n"/>
      <c r="K116" s="20" t="n"/>
      <c r="L116" s="20" t="n"/>
      <c r="M116" s="20" t="n"/>
      <c r="N116" s="20" t="n"/>
      <c r="O116" s="20" t="n"/>
      <c r="P116" s="20" t="n"/>
      <c r="Q116" s="20" t="n"/>
      <c r="R116" s="20" t="n"/>
      <c r="S116" s="20" t="n"/>
      <c r="T116" s="20" t="n"/>
      <c r="U116" s="20" t="n"/>
      <c r="V116" s="20" t="n"/>
      <c r="W116" s="20" t="n"/>
      <c r="X116" s="20" t="n"/>
    </row>
    <row r="117">
      <c r="E117" s="20" t="n"/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</row>
    <row r="118">
      <c r="E118" s="20" t="n"/>
      <c r="F118" s="20" t="n"/>
      <c r="G118" s="20" t="n"/>
      <c r="H118" s="20" t="n"/>
      <c r="I118" s="20" t="n"/>
      <c r="J118" s="20" t="n"/>
      <c r="K118" s="20" t="n"/>
      <c r="L118" s="20" t="n"/>
      <c r="M118" s="20" t="n"/>
      <c r="N118" s="20" t="n"/>
      <c r="O118" s="20" t="n"/>
      <c r="P118" s="20" t="n"/>
      <c r="Q118" s="20" t="n"/>
      <c r="R118" s="20" t="n"/>
      <c r="S118" s="20" t="n"/>
      <c r="T118" s="20" t="n"/>
      <c r="U118" s="20" t="n"/>
      <c r="V118" s="20" t="n"/>
      <c r="W118" s="20" t="n"/>
      <c r="X118" s="20" t="n"/>
    </row>
    <row r="119"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</row>
    <row r="120">
      <c r="E120" s="20" t="n"/>
      <c r="F120" s="20" t="n"/>
      <c r="G120" s="20" t="n"/>
      <c r="H120" s="20" t="n"/>
      <c r="I120" s="20" t="n"/>
      <c r="J120" s="20" t="n"/>
      <c r="K120" s="20" t="n"/>
      <c r="L120" s="20" t="n"/>
      <c r="M120" s="20" t="n"/>
      <c r="N120" s="20" t="n"/>
      <c r="O120" s="20" t="n"/>
      <c r="P120" s="20" t="n"/>
      <c r="Q120" s="20" t="n"/>
      <c r="R120" s="20" t="n"/>
      <c r="S120" s="20" t="n"/>
      <c r="T120" s="20" t="n"/>
      <c r="U120" s="20" t="n"/>
      <c r="V120" s="20" t="n"/>
      <c r="W120" s="20" t="n"/>
      <c r="X120" s="20" t="n"/>
    </row>
    <row r="121"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</row>
    <row r="122">
      <c r="E122" s="20" t="n"/>
      <c r="F122" s="20" t="n"/>
      <c r="G122" s="20" t="n"/>
      <c r="H122" s="20" t="n"/>
      <c r="I122" s="20" t="n"/>
      <c r="J122" s="20" t="n"/>
      <c r="K122" s="20" t="n"/>
      <c r="L122" s="20" t="n"/>
      <c r="M122" s="20" t="n"/>
      <c r="N122" s="20" t="n"/>
      <c r="O122" s="20" t="n"/>
      <c r="P122" s="20" t="n"/>
      <c r="Q122" s="20" t="n"/>
      <c r="R122" s="20" t="n"/>
      <c r="S122" s="20" t="n"/>
      <c r="T122" s="20" t="n"/>
      <c r="U122" s="20" t="n"/>
      <c r="V122" s="20" t="n"/>
      <c r="W122" s="20" t="n"/>
      <c r="X122" s="20" t="n"/>
    </row>
    <row r="123"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</row>
    <row r="124"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  <c r="X124" s="20" t="n"/>
    </row>
    <row r="125"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</row>
    <row r="126"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0" t="n"/>
      <c r="X126" s="20" t="n"/>
    </row>
    <row r="127"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</row>
    <row r="128">
      <c r="E128" s="20" t="n"/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0" t="n"/>
      <c r="X128" s="20" t="n"/>
    </row>
    <row r="129"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</row>
    <row r="130">
      <c r="E130" s="20" t="n"/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  <c r="W130" s="20" t="n"/>
      <c r="X130" s="20" t="n"/>
    </row>
    <row r="131"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</row>
    <row r="132">
      <c r="E132" s="20" t="n"/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  <c r="W132" s="20" t="n"/>
      <c r="X132" s="20" t="n"/>
    </row>
    <row r="133"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</row>
    <row r="134">
      <c r="E134" s="20" t="n"/>
      <c r="F134" s="20" t="n"/>
      <c r="G134" s="20" t="n"/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  <c r="W134" s="20" t="n"/>
      <c r="X134" s="20" t="n"/>
    </row>
    <row r="135"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</row>
    <row r="136">
      <c r="E136" s="20" t="n"/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  <c r="X136" s="20" t="n"/>
    </row>
    <row r="137"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</row>
    <row r="138">
      <c r="E138" s="20" t="n"/>
      <c r="F138" s="20" t="n"/>
      <c r="G138" s="20" t="n"/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n"/>
      <c r="W138" s="20" t="n"/>
      <c r="X138" s="20" t="n"/>
    </row>
    <row r="139"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</row>
    <row r="140">
      <c r="E140" s="20" t="n"/>
      <c r="F140" s="20" t="n"/>
      <c r="G140" s="20" t="n"/>
      <c r="H140" s="20" t="n"/>
      <c r="I140" s="20" t="n"/>
      <c r="J140" s="20" t="n"/>
      <c r="K140" s="20" t="n"/>
      <c r="L140" s="20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n"/>
      <c r="W140" s="20" t="n"/>
      <c r="X140" s="20" t="n"/>
    </row>
    <row r="141">
      <c r="E141" s="20" t="n"/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  <c r="X141" s="20" t="n"/>
    </row>
    <row r="142">
      <c r="E142" s="20" t="n"/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20" t="n"/>
      <c r="P142" s="20" t="n"/>
      <c r="Q142" s="20" t="n"/>
      <c r="R142" s="20" t="n"/>
      <c r="S142" s="20" t="n"/>
      <c r="T142" s="20" t="n"/>
      <c r="U142" s="20" t="n"/>
      <c r="V142" s="20" t="n"/>
      <c r="W142" s="20" t="n"/>
      <c r="X142" s="20" t="n"/>
    </row>
    <row r="143"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</row>
    <row r="144">
      <c r="E144" s="20" t="n"/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n"/>
      <c r="W144" s="20" t="n"/>
      <c r="X144" s="20" t="n"/>
    </row>
    <row r="145"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</row>
    <row r="146">
      <c r="E146" s="20" t="n"/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n"/>
      <c r="O146" s="20" t="n"/>
      <c r="P146" s="20" t="n"/>
      <c r="Q146" s="20" t="n"/>
      <c r="R146" s="20" t="n"/>
      <c r="S146" s="20" t="n"/>
      <c r="T146" s="20" t="n"/>
      <c r="U146" s="20" t="n"/>
      <c r="V146" s="20" t="n"/>
      <c r="W146" s="20" t="n"/>
      <c r="X146" s="20" t="n"/>
    </row>
    <row r="147"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  <c r="X147" s="20" t="n"/>
    </row>
  </sheetData>
  <mergeCells count="26">
    <mergeCell ref="I34:J34"/>
    <mergeCell ref="O3:P3"/>
    <mergeCell ref="U34:V34"/>
    <mergeCell ref="K34:L34"/>
    <mergeCell ref="Q3:R3"/>
    <mergeCell ref="W34:X34"/>
    <mergeCell ref="M34:N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AK147"/>
  <sheetViews>
    <sheetView workbookViewId="0">
      <selection activeCell="D6" sqref="D6"/>
    </sheetView>
  </sheetViews>
  <sheetFormatPr baseColWidth="8" defaultRowHeight="16.5"/>
  <sheetData>
    <row r="1"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</row>
    <row r="2">
      <c r="C2" t="inlineStr">
        <is>
          <t>Conc.</t>
        </is>
      </c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Z2" t="inlineStr">
        <is>
          <t>OD</t>
        </is>
      </c>
    </row>
    <row r="3">
      <c r="B3" s="17" t="inlineStr">
        <is>
          <t>Feline Type</t>
        </is>
      </c>
      <c r="C3" s="18" t="n"/>
      <c r="D3" s="3" t="n"/>
      <c r="E3" s="484" t="inlineStr">
        <is>
          <t>marker 1</t>
        </is>
      </c>
      <c r="F3" s="3" t="n"/>
      <c r="G3" s="484" t="inlineStr">
        <is>
          <t>marker 2</t>
        </is>
      </c>
      <c r="H3" s="3" t="n"/>
      <c r="I3" s="484" t="inlineStr">
        <is>
          <t>marker 3</t>
        </is>
      </c>
      <c r="J3" s="3" t="n"/>
      <c r="K3" s="484" t="inlineStr">
        <is>
          <t>marker 4</t>
        </is>
      </c>
      <c r="L3" s="3" t="n"/>
      <c r="M3" s="484" t="inlineStr">
        <is>
          <t>marker 5</t>
        </is>
      </c>
      <c r="N3" s="3" t="n"/>
      <c r="O3" s="484" t="inlineStr">
        <is>
          <t>marker 6</t>
        </is>
      </c>
      <c r="P3" s="3" t="n"/>
      <c r="Q3" s="484" t="inlineStr">
        <is>
          <t>marker 7</t>
        </is>
      </c>
      <c r="R3" s="3" t="n"/>
      <c r="S3" s="484" t="inlineStr">
        <is>
          <t>marker 8</t>
        </is>
      </c>
      <c r="T3" s="3" t="n"/>
      <c r="U3" s="484" t="inlineStr">
        <is>
          <t>marker 9</t>
        </is>
      </c>
      <c r="V3" s="3" t="n"/>
      <c r="W3" s="484" t="inlineStr">
        <is>
          <t>marker 10</t>
        </is>
      </c>
      <c r="X3" s="3" t="n"/>
      <c r="Z3" s="1" t="n"/>
      <c r="AA3" s="1" t="inlineStr">
        <is>
          <t>marker 1</t>
        </is>
      </c>
      <c r="AB3" s="1" t="inlineStr">
        <is>
          <t>marker 2</t>
        </is>
      </c>
      <c r="AC3" s="1" t="inlineStr">
        <is>
          <t>marker 3</t>
        </is>
      </c>
      <c r="AD3" s="1" t="inlineStr">
        <is>
          <t>marker 4</t>
        </is>
      </c>
      <c r="AE3" s="1" t="inlineStr">
        <is>
          <t>marker 5</t>
        </is>
      </c>
      <c r="AF3" s="1" t="inlineStr">
        <is>
          <t>marker 6</t>
        </is>
      </c>
      <c r="AG3" s="1" t="inlineStr">
        <is>
          <t>marker 7</t>
        </is>
      </c>
      <c r="AH3" s="1" t="inlineStr">
        <is>
          <t>marker 8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7" t="n"/>
      <c r="C4" s="18" t="n"/>
      <c r="D4" s="30" t="n"/>
      <c r="E4" s="478" t="inlineStr">
        <is>
          <t>marker 1(原線)</t>
        </is>
      </c>
      <c r="F4" s="31" t="inlineStr">
        <is>
          <t>marker 1
換線後</t>
        </is>
      </c>
      <c r="G4" s="478" t="inlineStr">
        <is>
          <t>marker 2(原線)</t>
        </is>
      </c>
      <c r="H4" s="31" t="inlineStr">
        <is>
          <t>marker 2
換線後</t>
        </is>
      </c>
      <c r="I4" s="478" t="inlineStr">
        <is>
          <t>marker 3(原線)</t>
        </is>
      </c>
      <c r="J4" s="31" t="inlineStr">
        <is>
          <t>marker 3
換線後</t>
        </is>
      </c>
      <c r="K4" s="478" t="inlineStr">
        <is>
          <t>marker 4(原線)</t>
        </is>
      </c>
      <c r="L4" s="31" t="inlineStr">
        <is>
          <t>marker 4
換線後</t>
        </is>
      </c>
      <c r="M4" s="478" t="inlineStr">
        <is>
          <t>marker 5(原線)</t>
        </is>
      </c>
      <c r="N4" s="31" t="inlineStr">
        <is>
          <t>marker 5
換線後</t>
        </is>
      </c>
      <c r="O4" s="478" t="inlineStr">
        <is>
          <t>marker 6(原線)</t>
        </is>
      </c>
      <c r="P4" s="31" t="inlineStr">
        <is>
          <t>marker 6
換線後</t>
        </is>
      </c>
      <c r="Q4" s="478" t="inlineStr">
        <is>
          <t>marker 7(原線)</t>
        </is>
      </c>
      <c r="R4" s="31" t="inlineStr">
        <is>
          <t>marker 7
換線後</t>
        </is>
      </c>
      <c r="S4" s="478" t="inlineStr">
        <is>
          <t>marker 8(原線)</t>
        </is>
      </c>
      <c r="T4" s="31" t="inlineStr">
        <is>
          <t>marker 8
換線後</t>
        </is>
      </c>
      <c r="U4" s="478" t="inlineStr">
        <is>
          <t>marker 9(原線)</t>
        </is>
      </c>
      <c r="V4" s="31" t="inlineStr">
        <is>
          <t>marker 9
換線後</t>
        </is>
      </c>
      <c r="W4" s="478" t="inlineStr">
        <is>
          <t>marker 10(原線)</t>
        </is>
      </c>
      <c r="X4" s="31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B5" s="2" t="n"/>
      <c r="C5" s="1" t="n"/>
      <c r="D5" s="15" t="n"/>
      <c r="E5" s="484" t="n"/>
      <c r="F5" s="33" t="n"/>
      <c r="G5" s="484" t="n"/>
      <c r="H5" s="33" t="n"/>
      <c r="I5" s="484" t="n"/>
      <c r="J5" s="33" t="n"/>
      <c r="K5" s="484" t="n"/>
      <c r="L5" s="33" t="n"/>
      <c r="M5" s="484" t="n"/>
      <c r="N5" s="33" t="n"/>
      <c r="O5" s="484" t="n"/>
      <c r="P5" s="33" t="n"/>
      <c r="Q5" s="484" t="n"/>
      <c r="R5" s="33" t="n"/>
      <c r="S5" s="484" t="n"/>
      <c r="T5" s="33" t="n"/>
      <c r="U5" s="484" t="n"/>
      <c r="V5" s="33" t="n"/>
      <c r="W5" s="484" t="n"/>
      <c r="X5" s="33" t="n"/>
      <c r="Z5" s="15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3" t="n"/>
    </row>
    <row r="6">
      <c r="B6" s="2" t="n"/>
      <c r="C6" s="1" t="n"/>
      <c r="D6" s="16" t="n"/>
      <c r="E6" s="32" t="n"/>
      <c r="F6" s="34" t="n"/>
      <c r="G6" s="32" t="n"/>
      <c r="H6" s="34" t="n"/>
      <c r="I6" s="32" t="n"/>
      <c r="J6" s="34" t="n"/>
      <c r="K6" s="32" t="n"/>
      <c r="L6" s="34" t="n"/>
      <c r="M6" s="32" t="n"/>
      <c r="N6" s="34" t="n"/>
      <c r="O6" s="32" t="n"/>
      <c r="P6" s="34" t="n"/>
      <c r="Q6" s="32" t="n"/>
      <c r="R6" s="34" t="n"/>
      <c r="S6" s="32" t="n"/>
      <c r="T6" s="34" t="n"/>
      <c r="U6" s="32" t="n"/>
      <c r="V6" s="34" t="n"/>
      <c r="W6" s="32" t="n"/>
      <c r="X6" s="34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3" t="n"/>
    </row>
    <row r="7">
      <c r="B7" s="2" t="n"/>
      <c r="C7" s="1" t="n"/>
      <c r="D7" s="16" t="n"/>
      <c r="E7" s="484" t="n"/>
      <c r="F7" s="33" t="n"/>
      <c r="G7" s="484" t="n"/>
      <c r="H7" s="33" t="n"/>
      <c r="I7" s="484" t="n"/>
      <c r="J7" s="33" t="n"/>
      <c r="K7" s="484" t="n"/>
      <c r="L7" s="33" t="n"/>
      <c r="M7" s="484" t="n"/>
      <c r="N7" s="33" t="n"/>
      <c r="O7" s="484" t="n"/>
      <c r="P7" s="33" t="n"/>
      <c r="Q7" s="484" t="n"/>
      <c r="R7" s="33" t="n"/>
      <c r="S7" s="484" t="n"/>
      <c r="T7" s="33" t="n"/>
      <c r="U7" s="484" t="n"/>
      <c r="V7" s="33" t="n"/>
      <c r="W7" s="484" t="n"/>
      <c r="X7" s="33" t="n"/>
      <c r="Z7" s="16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3" t="n"/>
    </row>
    <row r="8">
      <c r="B8" s="17" t="n"/>
      <c r="C8" s="1" t="n"/>
      <c r="D8" s="16" t="n"/>
      <c r="E8" s="484" t="n"/>
      <c r="F8" s="33" t="n"/>
      <c r="G8" s="484" t="n"/>
      <c r="H8" s="33" t="n"/>
      <c r="I8" s="484" t="n"/>
      <c r="J8" s="33" t="n"/>
      <c r="K8" s="484" t="n"/>
      <c r="L8" s="33" t="n"/>
      <c r="M8" s="484" t="n"/>
      <c r="N8" s="33" t="n"/>
      <c r="O8" s="484" t="n"/>
      <c r="P8" s="33" t="n"/>
      <c r="Q8" s="484" t="n"/>
      <c r="R8" s="33" t="n"/>
      <c r="S8" s="484" t="n"/>
      <c r="T8" s="33" t="n"/>
      <c r="U8" s="484" t="n"/>
      <c r="V8" s="33" t="n"/>
      <c r="W8" s="484" t="n"/>
      <c r="X8" s="33" t="n"/>
      <c r="Z8" s="16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3" t="n"/>
    </row>
    <row r="9">
      <c r="B9" s="484" t="inlineStr">
        <is>
          <t>Feline 1</t>
        </is>
      </c>
      <c r="C9" s="19" t="inlineStr">
        <is>
          <t>Mean</t>
        </is>
      </c>
      <c r="D9" s="3" t="n"/>
      <c r="E9" s="484" t="n"/>
      <c r="F9" s="35" t="n"/>
      <c r="G9" s="484" t="n"/>
      <c r="H9" s="35" t="n"/>
      <c r="I9" s="484" t="n"/>
      <c r="J9" s="35" t="n"/>
      <c r="K9" s="484" t="n"/>
      <c r="L9" s="35" t="n"/>
      <c r="M9" s="484" t="n"/>
      <c r="N9" s="35" t="n"/>
      <c r="O9" s="484" t="n"/>
      <c r="P9" s="35" t="n"/>
      <c r="Q9" s="484" t="n"/>
      <c r="R9" s="35" t="n"/>
      <c r="S9" s="484" t="n"/>
      <c r="T9" s="35" t="n"/>
      <c r="U9" s="484" t="n"/>
      <c r="V9" s="35" t="n"/>
      <c r="W9" s="484" t="n"/>
      <c r="X9" s="35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3" t="n"/>
    </row>
    <row r="10">
      <c r="B10" s="567" t="n"/>
      <c r="C10" s="3" t="inlineStr">
        <is>
          <t>Bias</t>
        </is>
      </c>
      <c r="D10" s="3" t="n"/>
      <c r="E10" s="484" t="n"/>
      <c r="F10" s="35" t="n"/>
      <c r="G10" s="484" t="n"/>
      <c r="H10" s="35" t="n"/>
      <c r="I10" s="484" t="n"/>
      <c r="J10" s="35" t="n"/>
      <c r="K10" s="484" t="n"/>
      <c r="L10" s="35" t="n"/>
      <c r="M10" s="484" t="n"/>
      <c r="N10" s="35" t="n"/>
      <c r="O10" s="484" t="n"/>
      <c r="P10" s="35" t="n"/>
      <c r="Q10" s="484" t="n"/>
      <c r="R10" s="35" t="n"/>
      <c r="S10" s="484" t="n"/>
      <c r="T10" s="35" t="n"/>
      <c r="U10" s="484" t="n"/>
      <c r="V10" s="35" t="n"/>
      <c r="W10" s="484" t="n"/>
      <c r="X10" s="35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3" t="n"/>
    </row>
    <row r="11">
      <c r="B11" s="568" t="n"/>
      <c r="C11" s="3" t="inlineStr">
        <is>
          <t>CV%</t>
        </is>
      </c>
      <c r="D11" s="3" t="n"/>
      <c r="E11" s="484" t="n"/>
      <c r="F11" s="35" t="n"/>
      <c r="G11" s="484" t="n"/>
      <c r="H11" s="35" t="n"/>
      <c r="I11" s="484" t="n"/>
      <c r="J11" s="35" t="n"/>
      <c r="K11" s="484" t="n"/>
      <c r="L11" s="35" t="n"/>
      <c r="M11" s="484" t="n"/>
      <c r="N11" s="35" t="n"/>
      <c r="O11" s="484" t="n"/>
      <c r="P11" s="35" t="n"/>
      <c r="Q11" s="484" t="n"/>
      <c r="R11" s="35" t="n"/>
      <c r="S11" s="484" t="n"/>
      <c r="T11" s="35" t="n"/>
      <c r="U11" s="484" t="n"/>
      <c r="V11" s="35" t="n"/>
      <c r="W11" s="484" t="n"/>
      <c r="X11" s="35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3" t="n"/>
    </row>
    <row r="12">
      <c r="B12" s="483" t="inlineStr">
        <is>
          <t>Feline 2</t>
        </is>
      </c>
      <c r="C12" s="3" t="inlineStr">
        <is>
          <t>Mean</t>
        </is>
      </c>
      <c r="D12" s="3" t="n"/>
      <c r="E12" s="484" t="n"/>
      <c r="F12" s="35" t="n"/>
      <c r="G12" s="484" t="n"/>
      <c r="H12" s="35" t="n"/>
      <c r="I12" s="484" t="n"/>
      <c r="J12" s="35" t="n"/>
      <c r="K12" s="484" t="n"/>
      <c r="L12" s="35" t="n"/>
      <c r="M12" s="484" t="n"/>
      <c r="N12" s="35" t="n"/>
      <c r="O12" s="484" t="n"/>
      <c r="P12" s="35" t="n"/>
      <c r="Q12" s="484" t="n"/>
      <c r="R12" s="35" t="n"/>
      <c r="S12" s="484" t="n"/>
      <c r="T12" s="35" t="n"/>
      <c r="U12" s="484" t="n"/>
      <c r="V12" s="35" t="n"/>
      <c r="W12" s="484" t="n"/>
      <c r="X12" s="35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3" t="n"/>
    </row>
    <row r="13">
      <c r="B13" s="567" t="n"/>
      <c r="C13" s="3" t="inlineStr">
        <is>
          <t>Bias</t>
        </is>
      </c>
      <c r="D13" s="3" t="n"/>
      <c r="E13" s="484" t="n"/>
      <c r="F13" s="35" t="n"/>
      <c r="G13" s="484" t="n"/>
      <c r="H13" s="35" t="n"/>
      <c r="I13" s="484" t="n"/>
      <c r="J13" s="35" t="n"/>
      <c r="K13" s="484" t="n"/>
      <c r="L13" s="35" t="n"/>
      <c r="M13" s="484" t="n"/>
      <c r="N13" s="35" t="n"/>
      <c r="O13" s="484" t="n"/>
      <c r="P13" s="35" t="n"/>
      <c r="Q13" s="484" t="n"/>
      <c r="R13" s="35" t="n"/>
      <c r="S13" s="484" t="n"/>
      <c r="T13" s="35" t="n"/>
      <c r="U13" s="484" t="n"/>
      <c r="V13" s="35" t="n"/>
      <c r="W13" s="484" t="n"/>
      <c r="X13" s="35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3" t="n"/>
    </row>
    <row r="14">
      <c r="B14" s="567" t="n"/>
      <c r="C14" s="3" t="inlineStr">
        <is>
          <t>CV%</t>
        </is>
      </c>
      <c r="D14" s="3" t="n"/>
      <c r="E14" s="484" t="n"/>
      <c r="F14" s="35" t="n"/>
      <c r="G14" s="484" t="n"/>
      <c r="H14" s="35" t="n"/>
      <c r="I14" s="484" t="n"/>
      <c r="J14" s="35" t="n"/>
      <c r="K14" s="484" t="n"/>
      <c r="L14" s="35" t="n"/>
      <c r="M14" s="484" t="n"/>
      <c r="N14" s="35" t="n"/>
      <c r="O14" s="484" t="n"/>
      <c r="P14" s="35" t="n"/>
      <c r="Q14" s="484" t="n"/>
      <c r="R14" s="35" t="n"/>
      <c r="S14" s="484" t="n"/>
      <c r="T14" s="35" t="n"/>
      <c r="U14" s="484" t="n"/>
      <c r="V14" s="35" t="n"/>
      <c r="W14" s="484" t="n"/>
      <c r="X14" s="35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3" t="n"/>
    </row>
    <row r="15">
      <c r="B15" s="568" t="n"/>
      <c r="C15" s="3" t="inlineStr">
        <is>
          <t>Mean</t>
        </is>
      </c>
      <c r="D15" s="3" t="n"/>
      <c r="E15" s="484" t="n"/>
      <c r="F15" s="35" t="n"/>
      <c r="G15" s="484" t="n"/>
      <c r="H15" s="35" t="n"/>
      <c r="I15" s="484" t="n"/>
      <c r="J15" s="35" t="n"/>
      <c r="K15" s="484" t="n"/>
      <c r="L15" s="35" t="n"/>
      <c r="M15" s="484" t="n"/>
      <c r="N15" s="35" t="n"/>
      <c r="O15" s="484" t="n"/>
      <c r="P15" s="35" t="n"/>
      <c r="Q15" s="484" t="n"/>
      <c r="R15" s="35" t="n"/>
      <c r="S15" s="484" t="n"/>
      <c r="T15" s="35" t="n"/>
      <c r="U15" s="484" t="n"/>
      <c r="V15" s="35" t="n"/>
      <c r="W15" s="484" t="n"/>
      <c r="X15" s="35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3" t="n"/>
    </row>
    <row r="16">
      <c r="B16" s="484" t="inlineStr">
        <is>
          <t>Feline 3</t>
        </is>
      </c>
      <c r="C16" s="3" t="inlineStr">
        <is>
          <t>Bias</t>
        </is>
      </c>
      <c r="D16" s="3" t="n"/>
      <c r="E16" s="484" t="n"/>
      <c r="F16" s="35" t="n"/>
      <c r="G16" s="484" t="n"/>
      <c r="H16" s="35" t="n"/>
      <c r="I16" s="484" t="n"/>
      <c r="J16" s="35" t="n"/>
      <c r="K16" s="484" t="n"/>
      <c r="L16" s="35" t="n"/>
      <c r="M16" s="484" t="n"/>
      <c r="N16" s="35" t="n"/>
      <c r="O16" s="484" t="n"/>
      <c r="P16" s="35" t="n"/>
      <c r="Q16" s="484" t="n"/>
      <c r="R16" s="35" t="n"/>
      <c r="S16" s="484" t="n"/>
      <c r="T16" s="35" t="n"/>
      <c r="U16" s="484" t="n"/>
      <c r="V16" s="35" t="n"/>
      <c r="W16" s="484" t="n"/>
      <c r="X16" s="35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3" t="n"/>
    </row>
    <row r="17">
      <c r="B17" s="567" t="n"/>
      <c r="C17" s="3" t="inlineStr">
        <is>
          <t>CV%</t>
        </is>
      </c>
      <c r="D17" s="3" t="n"/>
      <c r="E17" s="484" t="n"/>
      <c r="F17" s="35" t="n"/>
      <c r="G17" s="484" t="n"/>
      <c r="H17" s="35" t="n"/>
      <c r="I17" s="484" t="n"/>
      <c r="J17" s="35" t="n"/>
      <c r="K17" s="484" t="n"/>
      <c r="L17" s="35" t="n"/>
      <c r="M17" s="484" t="n"/>
      <c r="N17" s="35" t="n"/>
      <c r="O17" s="484" t="n"/>
      <c r="P17" s="35" t="n"/>
      <c r="Q17" s="484" t="n"/>
      <c r="R17" s="35" t="n"/>
      <c r="S17" s="484" t="n"/>
      <c r="T17" s="35" t="n"/>
      <c r="U17" s="484" t="n"/>
      <c r="V17" s="35" t="n"/>
      <c r="W17" s="484" t="n"/>
      <c r="X17" s="35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3" t="n"/>
    </row>
    <row r="18">
      <c r="B18" s="568" t="n"/>
      <c r="C18" s="3" t="inlineStr">
        <is>
          <t>Mean</t>
        </is>
      </c>
      <c r="D18" s="3" t="n"/>
      <c r="E18" s="484" t="n"/>
      <c r="F18" s="35" t="n"/>
      <c r="G18" s="484" t="n"/>
      <c r="H18" s="35" t="n"/>
      <c r="I18" s="484" t="n"/>
      <c r="J18" s="35" t="n"/>
      <c r="K18" s="484" t="n"/>
      <c r="L18" s="35" t="n"/>
      <c r="M18" s="484" t="n"/>
      <c r="N18" s="35" t="n"/>
      <c r="O18" s="484" t="n"/>
      <c r="P18" s="35" t="n"/>
      <c r="Q18" s="484" t="n"/>
      <c r="R18" s="35" t="n"/>
      <c r="S18" s="484" t="n"/>
      <c r="T18" s="35" t="n"/>
      <c r="U18" s="484" t="n"/>
      <c r="V18" s="35" t="n"/>
      <c r="W18" s="484" t="n"/>
      <c r="X18" s="35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3" t="n"/>
    </row>
    <row r="19">
      <c r="B19" s="483" t="inlineStr">
        <is>
          <t>Feline 4</t>
        </is>
      </c>
      <c r="C19" s="3" t="inlineStr">
        <is>
          <t>Bias</t>
        </is>
      </c>
      <c r="D19" s="3" t="n"/>
      <c r="E19" s="484" t="n"/>
      <c r="F19" s="35" t="n"/>
      <c r="G19" s="484" t="n"/>
      <c r="H19" s="35" t="n"/>
      <c r="I19" s="484" t="n"/>
      <c r="J19" s="35" t="n"/>
      <c r="K19" s="484" t="n"/>
      <c r="L19" s="35" t="n"/>
      <c r="M19" s="484" t="n"/>
      <c r="N19" s="35" t="n"/>
      <c r="O19" s="484" t="n"/>
      <c r="P19" s="35" t="n"/>
      <c r="Q19" s="484" t="n"/>
      <c r="R19" s="35" t="n"/>
      <c r="S19" s="484" t="n"/>
      <c r="T19" s="35" t="n"/>
      <c r="U19" s="484" t="n"/>
      <c r="V19" s="35" t="n"/>
      <c r="W19" s="484" t="n"/>
      <c r="X19" s="35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3" t="n"/>
    </row>
    <row r="20">
      <c r="B20" s="567" t="n"/>
      <c r="C20" s="3" t="inlineStr">
        <is>
          <t>CV%</t>
        </is>
      </c>
      <c r="D20" s="3" t="n"/>
      <c r="E20" s="484" t="n"/>
      <c r="F20" s="35" t="n"/>
      <c r="G20" s="484" t="n"/>
      <c r="H20" s="35" t="n"/>
      <c r="I20" s="484" t="n"/>
      <c r="J20" s="35" t="n"/>
      <c r="K20" s="484" t="n"/>
      <c r="L20" s="35" t="n"/>
      <c r="M20" s="484" t="n"/>
      <c r="N20" s="35" t="n"/>
      <c r="O20" s="484" t="n"/>
      <c r="P20" s="35" t="n"/>
      <c r="Q20" s="484" t="n"/>
      <c r="R20" s="35" t="n"/>
      <c r="S20" s="484" t="n"/>
      <c r="T20" s="35" t="n"/>
      <c r="U20" s="484" t="n"/>
      <c r="V20" s="35" t="n"/>
      <c r="W20" s="484" t="n"/>
      <c r="X20" s="35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3" t="n"/>
    </row>
    <row r="21">
      <c r="B21" s="567" t="n"/>
      <c r="C21" s="3" t="inlineStr">
        <is>
          <t>Mean</t>
        </is>
      </c>
      <c r="D21" s="3" t="n"/>
      <c r="E21" s="484" t="n"/>
      <c r="F21" s="35" t="n"/>
      <c r="G21" s="484" t="n"/>
      <c r="H21" s="35" t="n"/>
      <c r="I21" s="484" t="n"/>
      <c r="J21" s="35" t="n"/>
      <c r="K21" s="484" t="n"/>
      <c r="L21" s="35" t="n"/>
      <c r="M21" s="484" t="n"/>
      <c r="N21" s="35" t="n"/>
      <c r="O21" s="484" t="n"/>
      <c r="P21" s="35" t="n"/>
      <c r="Q21" s="484" t="n"/>
      <c r="R21" s="35" t="n"/>
      <c r="S21" s="484" t="n"/>
      <c r="T21" s="35" t="n"/>
      <c r="U21" s="484" t="n"/>
      <c r="V21" s="35" t="n"/>
      <c r="W21" s="484" t="n"/>
      <c r="X21" s="35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3" t="n"/>
    </row>
    <row r="22">
      <c r="B22" s="568" t="n"/>
      <c r="C22" s="3" t="inlineStr">
        <is>
          <t>Bias</t>
        </is>
      </c>
      <c r="D22" s="3" t="n"/>
      <c r="E22" s="484" t="n"/>
      <c r="F22" s="35" t="n"/>
      <c r="G22" s="484" t="n"/>
      <c r="H22" s="35" t="n"/>
      <c r="I22" s="484" t="n"/>
      <c r="J22" s="35" t="n"/>
      <c r="K22" s="484" t="n"/>
      <c r="L22" s="35" t="n"/>
      <c r="M22" s="484" t="n"/>
      <c r="N22" s="35" t="n"/>
      <c r="O22" s="484" t="n"/>
      <c r="P22" s="35" t="n"/>
      <c r="Q22" s="484" t="n"/>
      <c r="R22" s="35" t="n"/>
      <c r="S22" s="484" t="n"/>
      <c r="T22" s="35" t="n"/>
      <c r="U22" s="484" t="n"/>
      <c r="V22" s="35" t="n"/>
      <c r="W22" s="484" t="n"/>
      <c r="X22" s="35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3" t="n"/>
    </row>
    <row r="23">
      <c r="B23" s="484" t="inlineStr">
        <is>
          <t>Feline 5</t>
        </is>
      </c>
      <c r="C23" s="3" t="inlineStr">
        <is>
          <t>CV%</t>
        </is>
      </c>
      <c r="D23" s="3" t="n"/>
      <c r="E23" s="484" t="n"/>
      <c r="F23" s="35" t="n"/>
      <c r="G23" s="484" t="n"/>
      <c r="H23" s="35" t="n"/>
      <c r="I23" s="484" t="n"/>
      <c r="J23" s="35" t="n"/>
      <c r="K23" s="484" t="n"/>
      <c r="L23" s="35" t="n"/>
      <c r="M23" s="484" t="n"/>
      <c r="N23" s="35" t="n"/>
      <c r="O23" s="484" t="n"/>
      <c r="P23" s="35" t="n"/>
      <c r="Q23" s="484" t="n"/>
      <c r="R23" s="35" t="n"/>
      <c r="S23" s="484" t="n"/>
      <c r="T23" s="35" t="n"/>
      <c r="U23" s="484" t="n"/>
      <c r="V23" s="35" t="n"/>
      <c r="W23" s="484" t="n"/>
      <c r="X23" s="35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3" t="n"/>
    </row>
    <row r="24">
      <c r="B24" s="567" t="n"/>
      <c r="C24" s="3" t="inlineStr">
        <is>
          <t>Mean</t>
        </is>
      </c>
      <c r="D24" s="3" t="n"/>
      <c r="E24" s="484" t="n"/>
      <c r="F24" s="35" t="n"/>
      <c r="G24" s="484" t="n"/>
      <c r="H24" s="35" t="n"/>
      <c r="I24" s="484" t="n"/>
      <c r="J24" s="35" t="n"/>
      <c r="K24" s="484" t="n"/>
      <c r="L24" s="35" t="n"/>
      <c r="M24" s="484" t="n"/>
      <c r="N24" s="35" t="n"/>
      <c r="O24" s="484" t="n"/>
      <c r="P24" s="35" t="n"/>
      <c r="Q24" s="484" t="n"/>
      <c r="R24" s="35" t="n"/>
      <c r="S24" s="484" t="n"/>
      <c r="T24" s="35" t="n"/>
      <c r="U24" s="484" t="n"/>
      <c r="V24" s="35" t="n"/>
      <c r="W24" s="484" t="n"/>
      <c r="X24" s="35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3" t="n"/>
    </row>
    <row r="25">
      <c r="B25" s="568" t="n"/>
      <c r="C25" s="3" t="inlineStr">
        <is>
          <t>Bias</t>
        </is>
      </c>
      <c r="D25" s="3" t="n"/>
      <c r="E25" s="484" t="n"/>
      <c r="F25" s="35" t="n"/>
      <c r="G25" s="484" t="n"/>
      <c r="H25" s="35" t="n"/>
      <c r="I25" s="484" t="n"/>
      <c r="J25" s="35" t="n"/>
      <c r="K25" s="484" t="n"/>
      <c r="L25" s="35" t="n"/>
      <c r="M25" s="484" t="n"/>
      <c r="N25" s="35" t="n"/>
      <c r="O25" s="484" t="n"/>
      <c r="P25" s="35" t="n"/>
      <c r="Q25" s="484" t="n"/>
      <c r="R25" s="35" t="n"/>
      <c r="S25" s="484" t="n"/>
      <c r="T25" s="35" t="n"/>
      <c r="U25" s="484" t="n"/>
      <c r="V25" s="35" t="n"/>
      <c r="W25" s="484" t="n"/>
      <c r="X25" s="35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3" t="n"/>
    </row>
    <row r="26">
      <c r="B26" s="483" t="inlineStr">
        <is>
          <t>Feline 6</t>
        </is>
      </c>
      <c r="C26" s="3" t="inlineStr">
        <is>
          <t>CV%</t>
        </is>
      </c>
      <c r="D26" s="3" t="n"/>
      <c r="E26" s="484" t="n"/>
      <c r="F26" s="35" t="n"/>
      <c r="G26" s="484" t="n"/>
      <c r="H26" s="35" t="n"/>
      <c r="I26" s="484" t="n"/>
      <c r="J26" s="35" t="n"/>
      <c r="K26" s="484" t="n"/>
      <c r="L26" s="35" t="n"/>
      <c r="M26" s="484" t="n"/>
      <c r="N26" s="35" t="n"/>
      <c r="O26" s="484" t="n"/>
      <c r="P26" s="35" t="n"/>
      <c r="Q26" s="484" t="n"/>
      <c r="R26" s="35" t="n"/>
      <c r="S26" s="484" t="n"/>
      <c r="T26" s="35" t="n"/>
      <c r="U26" s="484" t="n"/>
      <c r="V26" s="35" t="n"/>
      <c r="W26" s="484" t="n"/>
      <c r="X26" s="35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3" t="n"/>
    </row>
    <row r="27">
      <c r="B27" s="567" t="n"/>
      <c r="C27" s="3" t="inlineStr">
        <is>
          <t>Mean</t>
        </is>
      </c>
      <c r="D27" s="3" t="n"/>
      <c r="E27" s="484" t="n"/>
      <c r="F27" s="35" t="n"/>
      <c r="G27" s="484" t="n"/>
      <c r="H27" s="35" t="n"/>
      <c r="I27" s="484" t="n"/>
      <c r="J27" s="35" t="n"/>
      <c r="K27" s="484" t="n"/>
      <c r="L27" s="35" t="n"/>
      <c r="M27" s="484" t="n"/>
      <c r="N27" s="35" t="n"/>
      <c r="O27" s="484" t="n"/>
      <c r="P27" s="35" t="n"/>
      <c r="Q27" s="484" t="n"/>
      <c r="R27" s="35" t="n"/>
      <c r="S27" s="484" t="n"/>
      <c r="T27" s="35" t="n"/>
      <c r="U27" s="484" t="n"/>
      <c r="V27" s="35" t="n"/>
      <c r="W27" s="484" t="n"/>
      <c r="X27" s="35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3" t="n"/>
    </row>
    <row r="28">
      <c r="B28" s="567" t="n"/>
      <c r="C28" s="3" t="inlineStr">
        <is>
          <t>Bias</t>
        </is>
      </c>
      <c r="D28" s="3" t="n"/>
      <c r="E28" s="484" t="n"/>
      <c r="F28" s="35" t="n"/>
      <c r="G28" s="484" t="n"/>
      <c r="H28" s="35" t="n"/>
      <c r="I28" s="484" t="n"/>
      <c r="J28" s="35" t="n"/>
      <c r="K28" s="484" t="n"/>
      <c r="L28" s="35" t="n"/>
      <c r="M28" s="484" t="n"/>
      <c r="N28" s="35" t="n"/>
      <c r="O28" s="484" t="n"/>
      <c r="P28" s="35" t="n"/>
      <c r="Q28" s="484" t="n"/>
      <c r="R28" s="35" t="n"/>
      <c r="S28" s="484" t="n"/>
      <c r="T28" s="35" t="n"/>
      <c r="U28" s="484" t="n"/>
      <c r="V28" s="35" t="n"/>
      <c r="W28" s="484" t="n"/>
      <c r="X28" s="35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3" t="n"/>
    </row>
    <row r="29">
      <c r="B29" s="568" t="n"/>
      <c r="C29" s="3" t="inlineStr">
        <is>
          <t>CV%</t>
        </is>
      </c>
      <c r="D29" s="3" t="n"/>
      <c r="E29" s="484" t="n"/>
      <c r="F29" s="35" t="n"/>
      <c r="G29" s="484" t="n"/>
      <c r="H29" s="35" t="n"/>
      <c r="I29" s="484" t="n"/>
      <c r="J29" s="35" t="n"/>
      <c r="K29" s="484" t="n"/>
      <c r="L29" s="35" t="n"/>
      <c r="M29" s="484" t="n"/>
      <c r="N29" s="35" t="n"/>
      <c r="O29" s="484" t="n"/>
      <c r="P29" s="35" t="n"/>
      <c r="Q29" s="484" t="n"/>
      <c r="R29" s="35" t="n"/>
      <c r="S29" s="484" t="n"/>
      <c r="T29" s="35" t="n"/>
      <c r="U29" s="484" t="n"/>
      <c r="V29" s="35" t="n"/>
      <c r="W29" s="484" t="n"/>
      <c r="X29" s="35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3" t="n"/>
    </row>
    <row r="30"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</row>
    <row r="31"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</row>
    <row r="32"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</row>
    <row r="33">
      <c r="C33" t="inlineStr">
        <is>
          <t>Conc.</t>
        </is>
      </c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</row>
    <row r="34" ht="33" customHeight="1">
      <c r="C34" s="12" t="inlineStr">
        <is>
          <t>Serial Number</t>
        </is>
      </c>
      <c r="D34" s="1" t="n"/>
      <c r="E34" s="484" t="n"/>
      <c r="F34" s="3" t="n"/>
      <c r="G34" s="484" t="n"/>
      <c r="H34" s="3" t="n"/>
      <c r="I34" s="484" t="n"/>
      <c r="J34" s="3" t="n"/>
      <c r="K34" s="484" t="n"/>
      <c r="L34" s="3" t="n"/>
      <c r="M34" s="484" t="n"/>
      <c r="N34" s="3" t="n"/>
      <c r="O34" s="484" t="n"/>
      <c r="P34" s="3" t="n"/>
      <c r="Q34" s="484" t="n"/>
      <c r="R34" s="3" t="n"/>
      <c r="S34" s="484" t="n"/>
      <c r="T34" s="3" t="n"/>
      <c r="U34" s="484" t="n"/>
      <c r="V34" s="3" t="n"/>
      <c r="W34" s="484" t="n"/>
      <c r="X34" s="3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4" t="inlineStr">
        <is>
          <t>Serial Number</t>
        </is>
      </c>
    </row>
    <row r="35" ht="33" customHeight="1">
      <c r="C35" s="12" t="n"/>
      <c r="D35" s="1" t="n"/>
      <c r="E35" s="478" t="n"/>
      <c r="F35" s="31" t="n"/>
      <c r="G35" s="478" t="n"/>
      <c r="H35" s="31" t="n"/>
      <c r="I35" s="478" t="n"/>
      <c r="J35" s="31" t="n"/>
      <c r="K35" s="478" t="n"/>
      <c r="L35" s="31" t="n"/>
      <c r="M35" s="478" t="n"/>
      <c r="N35" s="31" t="n"/>
      <c r="O35" s="478" t="n"/>
      <c r="P35" s="31" t="n"/>
      <c r="Q35" s="478" t="n"/>
      <c r="R35" s="31" t="n"/>
      <c r="S35" s="478" t="n"/>
      <c r="T35" s="31" t="n"/>
      <c r="U35" s="478" t="n"/>
      <c r="V35" s="31" t="n"/>
      <c r="W35" s="478" t="n"/>
      <c r="X35" s="3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4" t="n"/>
    </row>
    <row r="36">
      <c r="B36" t="inlineStr">
        <is>
          <t>Feline 1</t>
        </is>
      </c>
      <c r="C36" s="1" t="inlineStr">
        <is>
          <t>機台序號3</t>
        </is>
      </c>
      <c r="D36" s="1" t="n"/>
      <c r="E36" s="484" t="n"/>
      <c r="F36" s="35" t="n"/>
      <c r="G36" s="484" t="n"/>
      <c r="H36" s="35" t="n"/>
      <c r="I36" s="484" t="n"/>
      <c r="J36" s="35" t="n"/>
      <c r="K36" s="484" t="n"/>
      <c r="L36" s="35" t="n"/>
      <c r="M36" s="484" t="n"/>
      <c r="N36" s="35" t="n"/>
      <c r="O36" s="484" t="n"/>
      <c r="P36" s="35" t="n"/>
      <c r="Q36" s="484" t="n"/>
      <c r="R36" s="35" t="n"/>
      <c r="S36" s="484" t="n"/>
      <c r="T36" s="35" t="n"/>
      <c r="U36" s="484" t="n"/>
      <c r="V36" s="35" t="n"/>
      <c r="W36" s="484" t="n"/>
      <c r="X36" s="35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>
      <c r="B37" t="inlineStr">
        <is>
          <t>Feline 1</t>
        </is>
      </c>
      <c r="C37" s="1" t="inlineStr">
        <is>
          <t>機台序號3</t>
        </is>
      </c>
      <c r="D37" s="1" t="n"/>
      <c r="E37" s="484" t="n"/>
      <c r="F37" s="35" t="n"/>
      <c r="G37" s="484" t="n"/>
      <c r="H37" s="35" t="n"/>
      <c r="I37" s="484" t="n"/>
      <c r="J37" s="35" t="n"/>
      <c r="K37" s="484" t="n"/>
      <c r="L37" s="35" t="n"/>
      <c r="M37" s="484" t="n"/>
      <c r="N37" s="35" t="n"/>
      <c r="O37" s="484" t="n"/>
      <c r="P37" s="35" t="n"/>
      <c r="Q37" s="484" t="n"/>
      <c r="R37" s="35" t="n"/>
      <c r="S37" s="484" t="n"/>
      <c r="T37" s="35" t="n"/>
      <c r="U37" s="484" t="n"/>
      <c r="V37" s="35" t="n"/>
      <c r="W37" s="484" t="n"/>
      <c r="X37" s="35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>
      <c r="B38" t="inlineStr">
        <is>
          <t>Feline 1</t>
        </is>
      </c>
      <c r="C38" s="1" t="inlineStr">
        <is>
          <t>機台序號3</t>
        </is>
      </c>
      <c r="D38" s="1" t="n"/>
      <c r="E38" s="484" t="n"/>
      <c r="F38" s="35" t="n"/>
      <c r="G38" s="484" t="n"/>
      <c r="H38" s="35" t="n"/>
      <c r="I38" s="484" t="n"/>
      <c r="J38" s="35" t="n"/>
      <c r="K38" s="484" t="n"/>
      <c r="L38" s="35" t="n"/>
      <c r="M38" s="484" t="n"/>
      <c r="N38" s="35" t="n"/>
      <c r="O38" s="484" t="n"/>
      <c r="P38" s="35" t="n"/>
      <c r="Q38" s="484" t="n"/>
      <c r="R38" s="35" t="n"/>
      <c r="S38" s="484" t="n"/>
      <c r="T38" s="35" t="n"/>
      <c r="U38" s="484" t="n"/>
      <c r="V38" s="35" t="n"/>
      <c r="W38" s="484" t="n"/>
      <c r="X38" s="35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>
      <c r="B39" t="inlineStr">
        <is>
          <t>Feline 1</t>
        </is>
      </c>
      <c r="C39" s="1" t="inlineStr">
        <is>
          <t>機台序號3</t>
        </is>
      </c>
      <c r="D39" s="1" t="n"/>
      <c r="E39" s="484" t="n"/>
      <c r="F39" s="35" t="n"/>
      <c r="G39" s="484" t="n"/>
      <c r="H39" s="35" t="n"/>
      <c r="I39" s="484" t="n"/>
      <c r="J39" s="35" t="n"/>
      <c r="K39" s="484" t="n"/>
      <c r="L39" s="35" t="n"/>
      <c r="M39" s="484" t="n"/>
      <c r="N39" s="35" t="n"/>
      <c r="O39" s="484" t="n"/>
      <c r="P39" s="35" t="n"/>
      <c r="Q39" s="484" t="n"/>
      <c r="R39" s="35" t="n"/>
      <c r="S39" s="484" t="n"/>
      <c r="T39" s="35" t="n"/>
      <c r="U39" s="484" t="n"/>
      <c r="V39" s="35" t="n"/>
      <c r="W39" s="484" t="n"/>
      <c r="X39" s="35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>
      <c r="B40" t="inlineStr">
        <is>
          <t>Feline 1</t>
        </is>
      </c>
      <c r="C40" s="1" t="inlineStr">
        <is>
          <t>機台序號3</t>
        </is>
      </c>
      <c r="D40" s="1" t="n"/>
      <c r="E40" s="484" t="n"/>
      <c r="F40" s="35" t="n"/>
      <c r="G40" s="484" t="n"/>
      <c r="H40" s="35" t="n"/>
      <c r="I40" s="484" t="n"/>
      <c r="J40" s="35" t="n"/>
      <c r="K40" s="484" t="n"/>
      <c r="L40" s="35" t="n"/>
      <c r="M40" s="484" t="n"/>
      <c r="N40" s="35" t="n"/>
      <c r="O40" s="484" t="n"/>
      <c r="P40" s="35" t="n"/>
      <c r="Q40" s="484" t="n"/>
      <c r="R40" s="35" t="n"/>
      <c r="S40" s="484" t="n"/>
      <c r="T40" s="35" t="n"/>
      <c r="U40" s="484" t="n"/>
      <c r="V40" s="35" t="n"/>
      <c r="W40" s="484" t="n"/>
      <c r="X40" s="35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>
      <c r="B41" t="inlineStr">
        <is>
          <t>Feline 1</t>
        </is>
      </c>
      <c r="C41" s="1" t="inlineStr">
        <is>
          <t>機台序號3</t>
        </is>
      </c>
      <c r="D41" s="1" t="n"/>
      <c r="E41" s="484" t="n"/>
      <c r="F41" s="35" t="n"/>
      <c r="G41" s="484" t="n"/>
      <c r="H41" s="35" t="n"/>
      <c r="I41" s="484" t="n"/>
      <c r="J41" s="35" t="n"/>
      <c r="K41" s="484" t="n"/>
      <c r="L41" s="35" t="n"/>
      <c r="M41" s="484" t="n"/>
      <c r="N41" s="35" t="n"/>
      <c r="O41" s="484" t="n"/>
      <c r="P41" s="35" t="n"/>
      <c r="Q41" s="484" t="n"/>
      <c r="R41" s="35" t="n"/>
      <c r="S41" s="484" t="n"/>
      <c r="T41" s="35" t="n"/>
      <c r="U41" s="484" t="n"/>
      <c r="V41" s="35" t="n"/>
      <c r="W41" s="484" t="n"/>
      <c r="X41" s="35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>
      <c r="B42" t="inlineStr">
        <is>
          <t>Feline 1</t>
        </is>
      </c>
      <c r="C42" s="1" t="inlineStr">
        <is>
          <t>機台序號3</t>
        </is>
      </c>
      <c r="D42" s="1" t="n"/>
      <c r="E42" s="484" t="n"/>
      <c r="F42" s="35" t="n"/>
      <c r="G42" s="484" t="n"/>
      <c r="H42" s="35" t="n"/>
      <c r="I42" s="484" t="n"/>
      <c r="J42" s="35" t="n"/>
      <c r="K42" s="484" t="n"/>
      <c r="L42" s="35" t="n"/>
      <c r="M42" s="484" t="n"/>
      <c r="N42" s="35" t="n"/>
      <c r="O42" s="484" t="n"/>
      <c r="P42" s="35" t="n"/>
      <c r="Q42" s="484" t="n"/>
      <c r="R42" s="35" t="n"/>
      <c r="S42" s="484" t="n"/>
      <c r="T42" s="35" t="n"/>
      <c r="U42" s="484" t="n"/>
      <c r="V42" s="35" t="n"/>
      <c r="W42" s="484" t="n"/>
      <c r="X42" s="35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>
      <c r="B43" t="inlineStr">
        <is>
          <t>Feline 1</t>
        </is>
      </c>
      <c r="C43" s="1" t="inlineStr">
        <is>
          <t>機台序號3</t>
        </is>
      </c>
      <c r="D43" s="1" t="n"/>
      <c r="E43" s="484" t="n"/>
      <c r="F43" s="35" t="n"/>
      <c r="G43" s="484" t="n"/>
      <c r="H43" s="35" t="n"/>
      <c r="I43" s="484" t="n"/>
      <c r="J43" s="35" t="n"/>
      <c r="K43" s="484" t="n"/>
      <c r="L43" s="35" t="n"/>
      <c r="M43" s="484" t="n"/>
      <c r="N43" s="35" t="n"/>
      <c r="O43" s="484" t="n"/>
      <c r="P43" s="35" t="n"/>
      <c r="Q43" s="484" t="n"/>
      <c r="R43" s="35" t="n"/>
      <c r="S43" s="484" t="n"/>
      <c r="T43" s="35" t="n"/>
      <c r="U43" s="484" t="n"/>
      <c r="V43" s="35" t="n"/>
      <c r="W43" s="484" t="n"/>
      <c r="X43" s="35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>
      <c r="B44" t="inlineStr">
        <is>
          <t>Feline 1</t>
        </is>
      </c>
      <c r="C44" s="1" t="inlineStr">
        <is>
          <t>機台序號3</t>
        </is>
      </c>
      <c r="D44" s="1" t="n"/>
      <c r="E44" s="484" t="n"/>
      <c r="F44" s="35" t="n"/>
      <c r="G44" s="484" t="n"/>
      <c r="H44" s="35" t="n"/>
      <c r="I44" s="484" t="n"/>
      <c r="J44" s="35" t="n"/>
      <c r="K44" s="484" t="n"/>
      <c r="L44" s="35" t="n"/>
      <c r="M44" s="484" t="n"/>
      <c r="N44" s="35" t="n"/>
      <c r="O44" s="484" t="n"/>
      <c r="P44" s="35" t="n"/>
      <c r="Q44" s="484" t="n"/>
      <c r="R44" s="35" t="n"/>
      <c r="S44" s="484" t="n"/>
      <c r="T44" s="35" t="n"/>
      <c r="U44" s="484" t="n"/>
      <c r="V44" s="35" t="n"/>
      <c r="W44" s="484" t="n"/>
      <c r="X44" s="35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>
      <c r="B45" t="inlineStr">
        <is>
          <t>Feline 1</t>
        </is>
      </c>
      <c r="C45" s="1" t="inlineStr">
        <is>
          <t>機台序號3</t>
        </is>
      </c>
      <c r="D45" s="1" t="n"/>
      <c r="E45" s="484" t="n"/>
      <c r="F45" s="35" t="n"/>
      <c r="G45" s="484" t="n"/>
      <c r="H45" s="35" t="n"/>
      <c r="I45" s="484" t="n"/>
      <c r="J45" s="35" t="n"/>
      <c r="K45" s="484" t="n"/>
      <c r="L45" s="35" t="n"/>
      <c r="M45" s="484" t="n"/>
      <c r="N45" s="35" t="n"/>
      <c r="O45" s="484" t="n"/>
      <c r="P45" s="35" t="n"/>
      <c r="Q45" s="484" t="n"/>
      <c r="R45" s="35" t="n"/>
      <c r="S45" s="484" t="n"/>
      <c r="T45" s="35" t="n"/>
      <c r="U45" s="484" t="n"/>
      <c r="V45" s="35" t="n"/>
      <c r="W45" s="484" t="n"/>
      <c r="X45" s="35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>
      <c r="B46" s="6" t="inlineStr">
        <is>
          <t>Feline 2</t>
        </is>
      </c>
      <c r="C46" s="8" t="inlineStr">
        <is>
          <t>機台序號3</t>
        </is>
      </c>
      <c r="D46" s="1" t="n"/>
      <c r="E46" s="484" t="n"/>
      <c r="F46" s="35" t="n"/>
      <c r="G46" s="484" t="n"/>
      <c r="H46" s="35" t="n"/>
      <c r="I46" s="484" t="n"/>
      <c r="J46" s="35" t="n"/>
      <c r="K46" s="484" t="n"/>
      <c r="L46" s="35" t="n"/>
      <c r="M46" s="484" t="n"/>
      <c r="N46" s="35" t="n"/>
      <c r="O46" s="484" t="n"/>
      <c r="P46" s="35" t="n"/>
      <c r="Q46" s="484" t="n"/>
      <c r="R46" s="35" t="n"/>
      <c r="S46" s="484" t="n"/>
      <c r="T46" s="35" t="n"/>
      <c r="U46" s="484" t="n"/>
      <c r="V46" s="35" t="n"/>
      <c r="W46" s="484" t="n"/>
      <c r="X46" s="35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>
      <c r="B47" s="6" t="inlineStr">
        <is>
          <t>Feline 2</t>
        </is>
      </c>
      <c r="C47" s="8" t="inlineStr">
        <is>
          <t>機台序號3</t>
        </is>
      </c>
      <c r="D47" s="1" t="n"/>
      <c r="E47" s="484" t="n"/>
      <c r="F47" s="35" t="n"/>
      <c r="G47" s="484" t="n"/>
      <c r="H47" s="35" t="n"/>
      <c r="I47" s="484" t="n"/>
      <c r="J47" s="35" t="n"/>
      <c r="K47" s="484" t="n"/>
      <c r="L47" s="35" t="n"/>
      <c r="M47" s="484" t="n"/>
      <c r="N47" s="35" t="n"/>
      <c r="O47" s="484" t="n"/>
      <c r="P47" s="35" t="n"/>
      <c r="Q47" s="484" t="n"/>
      <c r="R47" s="35" t="n"/>
      <c r="S47" s="484" t="n"/>
      <c r="T47" s="35" t="n"/>
      <c r="U47" s="484" t="n"/>
      <c r="V47" s="35" t="n"/>
      <c r="W47" s="484" t="n"/>
      <c r="X47" s="35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>
      <c r="B48" s="6" t="inlineStr">
        <is>
          <t>Feline 2</t>
        </is>
      </c>
      <c r="C48" s="8" t="inlineStr">
        <is>
          <t>機台序號3</t>
        </is>
      </c>
      <c r="D48" s="1" t="n"/>
      <c r="E48" s="484" t="n"/>
      <c r="F48" s="35" t="n"/>
      <c r="G48" s="484" t="n"/>
      <c r="H48" s="35" t="n"/>
      <c r="I48" s="484" t="n"/>
      <c r="J48" s="35" t="n"/>
      <c r="K48" s="484" t="n"/>
      <c r="L48" s="35" t="n"/>
      <c r="M48" s="484" t="n"/>
      <c r="N48" s="35" t="n"/>
      <c r="O48" s="484" t="n"/>
      <c r="P48" s="35" t="n"/>
      <c r="Q48" s="484" t="n"/>
      <c r="R48" s="35" t="n"/>
      <c r="S48" s="484" t="n"/>
      <c r="T48" s="35" t="n"/>
      <c r="U48" s="484" t="n"/>
      <c r="V48" s="35" t="n"/>
      <c r="W48" s="484" t="n"/>
      <c r="X48" s="35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>
      <c r="B49" s="6" t="inlineStr">
        <is>
          <t>Feline 2</t>
        </is>
      </c>
      <c r="C49" s="8" t="inlineStr">
        <is>
          <t>機台序號3</t>
        </is>
      </c>
      <c r="D49" s="1" t="n"/>
      <c r="E49" s="484" t="n"/>
      <c r="F49" s="35" t="n"/>
      <c r="G49" s="484" t="n"/>
      <c r="H49" s="35" t="n"/>
      <c r="I49" s="484" t="n"/>
      <c r="J49" s="35" t="n"/>
      <c r="K49" s="484" t="n"/>
      <c r="L49" s="35" t="n"/>
      <c r="M49" s="484" t="n"/>
      <c r="N49" s="35" t="n"/>
      <c r="O49" s="484" t="n"/>
      <c r="P49" s="35" t="n"/>
      <c r="Q49" s="484" t="n"/>
      <c r="R49" s="35" t="n"/>
      <c r="S49" s="484" t="n"/>
      <c r="T49" s="35" t="n"/>
      <c r="U49" s="484" t="n"/>
      <c r="V49" s="35" t="n"/>
      <c r="W49" s="484" t="n"/>
      <c r="X49" s="35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>
      <c r="B50" s="6" t="inlineStr">
        <is>
          <t>Feline 2</t>
        </is>
      </c>
      <c r="C50" s="8" t="inlineStr">
        <is>
          <t>機台序號3</t>
        </is>
      </c>
      <c r="D50" s="1" t="n"/>
      <c r="E50" s="484" t="n"/>
      <c r="F50" s="35" t="n"/>
      <c r="G50" s="484" t="n"/>
      <c r="H50" s="35" t="n"/>
      <c r="I50" s="484" t="n"/>
      <c r="J50" s="35" t="n"/>
      <c r="K50" s="484" t="n"/>
      <c r="L50" s="35" t="n"/>
      <c r="M50" s="484" t="n"/>
      <c r="N50" s="35" t="n"/>
      <c r="O50" s="484" t="n"/>
      <c r="P50" s="35" t="n"/>
      <c r="Q50" s="484" t="n"/>
      <c r="R50" s="35" t="n"/>
      <c r="S50" s="484" t="n"/>
      <c r="T50" s="35" t="n"/>
      <c r="U50" s="484" t="n"/>
      <c r="V50" s="35" t="n"/>
      <c r="W50" s="484" t="n"/>
      <c r="X50" s="35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>
      <c r="B51" s="6" t="inlineStr">
        <is>
          <t>Feline 2</t>
        </is>
      </c>
      <c r="C51" s="8" t="inlineStr">
        <is>
          <t>機台序號3</t>
        </is>
      </c>
      <c r="D51" s="1" t="n"/>
      <c r="E51" s="484" t="n"/>
      <c r="F51" s="35" t="n"/>
      <c r="G51" s="484" t="n"/>
      <c r="H51" s="35" t="n"/>
      <c r="I51" s="484" t="n"/>
      <c r="J51" s="35" t="n"/>
      <c r="K51" s="484" t="n"/>
      <c r="L51" s="35" t="n"/>
      <c r="M51" s="484" t="n"/>
      <c r="N51" s="35" t="n"/>
      <c r="O51" s="484" t="n"/>
      <c r="P51" s="35" t="n"/>
      <c r="Q51" s="484" t="n"/>
      <c r="R51" s="35" t="n"/>
      <c r="S51" s="484" t="n"/>
      <c r="T51" s="35" t="n"/>
      <c r="U51" s="484" t="n"/>
      <c r="V51" s="35" t="n"/>
      <c r="W51" s="484" t="n"/>
      <c r="X51" s="35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>
      <c r="B52" s="6" t="inlineStr">
        <is>
          <t>Feline 2</t>
        </is>
      </c>
      <c r="C52" s="8" t="inlineStr">
        <is>
          <t>機台序號3</t>
        </is>
      </c>
      <c r="D52" s="1" t="n"/>
      <c r="E52" s="484" t="n"/>
      <c r="F52" s="35" t="n"/>
      <c r="G52" s="484" t="n"/>
      <c r="H52" s="35" t="n"/>
      <c r="I52" s="484" t="n"/>
      <c r="J52" s="35" t="n"/>
      <c r="K52" s="484" t="n"/>
      <c r="L52" s="35" t="n"/>
      <c r="M52" s="484" t="n"/>
      <c r="N52" s="35" t="n"/>
      <c r="O52" s="484" t="n"/>
      <c r="P52" s="35" t="n"/>
      <c r="Q52" s="484" t="n"/>
      <c r="R52" s="35" t="n"/>
      <c r="S52" s="484" t="n"/>
      <c r="T52" s="35" t="n"/>
      <c r="U52" s="484" t="n"/>
      <c r="V52" s="35" t="n"/>
      <c r="W52" s="484" t="n"/>
      <c r="X52" s="35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>
      <c r="B53" s="6" t="inlineStr">
        <is>
          <t>Feline 2</t>
        </is>
      </c>
      <c r="C53" s="8" t="inlineStr">
        <is>
          <t>機台序號3</t>
        </is>
      </c>
      <c r="D53" s="1" t="n"/>
      <c r="E53" s="484" t="n"/>
      <c r="F53" s="35" t="n"/>
      <c r="G53" s="484" t="n"/>
      <c r="H53" s="35" t="n"/>
      <c r="I53" s="484" t="n"/>
      <c r="J53" s="35" t="n"/>
      <c r="K53" s="484" t="n"/>
      <c r="L53" s="35" t="n"/>
      <c r="M53" s="484" t="n"/>
      <c r="N53" s="35" t="n"/>
      <c r="O53" s="484" t="n"/>
      <c r="P53" s="35" t="n"/>
      <c r="Q53" s="484" t="n"/>
      <c r="R53" s="35" t="n"/>
      <c r="S53" s="484" t="n"/>
      <c r="T53" s="35" t="n"/>
      <c r="U53" s="484" t="n"/>
      <c r="V53" s="35" t="n"/>
      <c r="W53" s="484" t="n"/>
      <c r="X53" s="35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>
      <c r="B54" s="6" t="inlineStr">
        <is>
          <t>Feline 2</t>
        </is>
      </c>
      <c r="C54" s="8" t="inlineStr">
        <is>
          <t>機台序號3</t>
        </is>
      </c>
      <c r="D54" s="1" t="n"/>
      <c r="E54" s="484" t="n"/>
      <c r="F54" s="35" t="n"/>
      <c r="G54" s="484" t="n"/>
      <c r="H54" s="35" t="n"/>
      <c r="I54" s="484" t="n"/>
      <c r="J54" s="35" t="n"/>
      <c r="K54" s="484" t="n"/>
      <c r="L54" s="35" t="n"/>
      <c r="M54" s="484" t="n"/>
      <c r="N54" s="35" t="n"/>
      <c r="O54" s="484" t="n"/>
      <c r="P54" s="35" t="n"/>
      <c r="Q54" s="484" t="n"/>
      <c r="R54" s="35" t="n"/>
      <c r="S54" s="484" t="n"/>
      <c r="T54" s="35" t="n"/>
      <c r="U54" s="484" t="n"/>
      <c r="V54" s="35" t="n"/>
      <c r="W54" s="484" t="n"/>
      <c r="X54" s="35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>
      <c r="B55" s="6" t="inlineStr">
        <is>
          <t>Feline 2</t>
        </is>
      </c>
      <c r="C55" s="8" t="inlineStr">
        <is>
          <t>機台序號3</t>
        </is>
      </c>
      <c r="D55" s="1" t="n"/>
      <c r="E55" s="484" t="n"/>
      <c r="F55" s="35" t="n"/>
      <c r="G55" s="484" t="n"/>
      <c r="H55" s="35" t="n"/>
      <c r="I55" s="484" t="n"/>
      <c r="J55" s="35" t="n"/>
      <c r="K55" s="484" t="n"/>
      <c r="L55" s="35" t="n"/>
      <c r="M55" s="484" t="n"/>
      <c r="N55" s="35" t="n"/>
      <c r="O55" s="484" t="n"/>
      <c r="P55" s="35" t="n"/>
      <c r="Q55" s="484" t="n"/>
      <c r="R55" s="35" t="n"/>
      <c r="S55" s="484" t="n"/>
      <c r="T55" s="35" t="n"/>
      <c r="U55" s="484" t="n"/>
      <c r="V55" s="35" t="n"/>
      <c r="W55" s="484" t="n"/>
      <c r="X55" s="35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>
      <c r="B56" t="inlineStr">
        <is>
          <t>Feline 3</t>
        </is>
      </c>
      <c r="C56" s="1" t="inlineStr">
        <is>
          <t>機台序號3</t>
        </is>
      </c>
      <c r="D56" s="1" t="n"/>
      <c r="E56" s="484" t="n"/>
      <c r="F56" s="35" t="n"/>
      <c r="G56" s="484" t="n"/>
      <c r="H56" s="35" t="n"/>
      <c r="I56" s="484" t="n"/>
      <c r="J56" s="35" t="n"/>
      <c r="K56" s="484" t="n"/>
      <c r="L56" s="35" t="n"/>
      <c r="M56" s="484" t="n"/>
      <c r="N56" s="35" t="n"/>
      <c r="O56" s="484" t="n"/>
      <c r="P56" s="35" t="n"/>
      <c r="Q56" s="484" t="n"/>
      <c r="R56" s="35" t="n"/>
      <c r="S56" s="484" t="n"/>
      <c r="T56" s="35" t="n"/>
      <c r="U56" s="484" t="n"/>
      <c r="V56" s="35" t="n"/>
      <c r="W56" s="484" t="n"/>
      <c r="X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>
      <c r="B57" t="inlineStr">
        <is>
          <t>Feline 3</t>
        </is>
      </c>
      <c r="C57" s="1" t="inlineStr">
        <is>
          <t>機台序號3</t>
        </is>
      </c>
      <c r="D57" s="1" t="n"/>
      <c r="E57" s="484" t="n"/>
      <c r="F57" s="35" t="n"/>
      <c r="G57" s="484" t="n"/>
      <c r="H57" s="35" t="n"/>
      <c r="I57" s="484" t="n"/>
      <c r="J57" s="35" t="n"/>
      <c r="K57" s="484" t="n"/>
      <c r="L57" s="35" t="n"/>
      <c r="M57" s="484" t="n"/>
      <c r="N57" s="35" t="n"/>
      <c r="O57" s="484" t="n"/>
      <c r="P57" s="35" t="n"/>
      <c r="Q57" s="484" t="n"/>
      <c r="R57" s="35" t="n"/>
      <c r="S57" s="484" t="n"/>
      <c r="T57" s="35" t="n"/>
      <c r="U57" s="484" t="n"/>
      <c r="V57" s="35" t="n"/>
      <c r="W57" s="484" t="n"/>
      <c r="X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>
      <c r="B58" t="inlineStr">
        <is>
          <t>Feline 3</t>
        </is>
      </c>
      <c r="C58" s="1" t="inlineStr">
        <is>
          <t>機台序號3</t>
        </is>
      </c>
      <c r="D58" s="1" t="n"/>
      <c r="E58" s="484" t="n"/>
      <c r="F58" s="35" t="n"/>
      <c r="G58" s="484" t="n"/>
      <c r="H58" s="35" t="n"/>
      <c r="I58" s="484" t="n"/>
      <c r="J58" s="35" t="n"/>
      <c r="K58" s="484" t="n"/>
      <c r="L58" s="35" t="n"/>
      <c r="M58" s="484" t="n"/>
      <c r="N58" s="35" t="n"/>
      <c r="O58" s="484" t="n"/>
      <c r="P58" s="35" t="n"/>
      <c r="Q58" s="484" t="n"/>
      <c r="R58" s="35" t="n"/>
      <c r="S58" s="484" t="n"/>
      <c r="T58" s="35" t="n"/>
      <c r="U58" s="484" t="n"/>
      <c r="V58" s="35" t="n"/>
      <c r="W58" s="484" t="n"/>
      <c r="X58" s="35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>
      <c r="B59" t="inlineStr">
        <is>
          <t>Feline 3</t>
        </is>
      </c>
      <c r="C59" s="1" t="inlineStr">
        <is>
          <t>機台序號3</t>
        </is>
      </c>
      <c r="D59" s="1" t="n"/>
      <c r="E59" s="484" t="n"/>
      <c r="F59" s="35" t="n"/>
      <c r="G59" s="484" t="n"/>
      <c r="H59" s="35" t="n"/>
      <c r="I59" s="484" t="n"/>
      <c r="J59" s="35" t="n"/>
      <c r="K59" s="484" t="n"/>
      <c r="L59" s="35" t="n"/>
      <c r="M59" s="484" t="n"/>
      <c r="N59" s="35" t="n"/>
      <c r="O59" s="484" t="n"/>
      <c r="P59" s="35" t="n"/>
      <c r="Q59" s="484" t="n"/>
      <c r="R59" s="35" t="n"/>
      <c r="S59" s="484" t="n"/>
      <c r="T59" s="35" t="n"/>
      <c r="U59" s="484" t="n"/>
      <c r="V59" s="35" t="n"/>
      <c r="W59" s="484" t="n"/>
      <c r="X59" s="35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>
      <c r="B60" t="inlineStr">
        <is>
          <t>Feline 3</t>
        </is>
      </c>
      <c r="C60" s="1" t="inlineStr">
        <is>
          <t>機台序號3</t>
        </is>
      </c>
      <c r="D60" s="1" t="n"/>
      <c r="E60" s="484" t="n"/>
      <c r="F60" s="35" t="n"/>
      <c r="G60" s="484" t="n"/>
      <c r="H60" s="35" t="n"/>
      <c r="I60" s="484" t="n"/>
      <c r="J60" s="35" t="n"/>
      <c r="K60" s="484" t="n"/>
      <c r="L60" s="35" t="n"/>
      <c r="M60" s="484" t="n"/>
      <c r="N60" s="35" t="n"/>
      <c r="O60" s="484" t="n"/>
      <c r="P60" s="35" t="n"/>
      <c r="Q60" s="484" t="n"/>
      <c r="R60" s="35" t="n"/>
      <c r="S60" s="484" t="n"/>
      <c r="T60" s="35" t="n"/>
      <c r="U60" s="484" t="n"/>
      <c r="V60" s="35" t="n"/>
      <c r="W60" s="484" t="n"/>
      <c r="X60" s="35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>
      <c r="B61" t="inlineStr">
        <is>
          <t>Feline 3</t>
        </is>
      </c>
      <c r="C61" s="1" t="inlineStr">
        <is>
          <t>機台序號3</t>
        </is>
      </c>
      <c r="D61" s="1" t="n"/>
      <c r="E61" s="484" t="n"/>
      <c r="F61" s="35" t="n"/>
      <c r="G61" s="484" t="n"/>
      <c r="H61" s="35" t="n"/>
      <c r="I61" s="484" t="n"/>
      <c r="J61" s="35" t="n"/>
      <c r="K61" s="484" t="n"/>
      <c r="L61" s="35" t="n"/>
      <c r="M61" s="484" t="n"/>
      <c r="N61" s="35" t="n"/>
      <c r="O61" s="484" t="n"/>
      <c r="P61" s="35" t="n"/>
      <c r="Q61" s="484" t="n"/>
      <c r="R61" s="35" t="n"/>
      <c r="S61" s="484" t="n"/>
      <c r="T61" s="35" t="n"/>
      <c r="U61" s="484" t="n"/>
      <c r="V61" s="35" t="n"/>
      <c r="W61" s="484" t="n"/>
      <c r="X61" s="35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>
      <c r="B62" t="inlineStr">
        <is>
          <t>Feline 3</t>
        </is>
      </c>
      <c r="C62" s="1" t="inlineStr">
        <is>
          <t>機台序號3</t>
        </is>
      </c>
      <c r="D62" s="1" t="n"/>
      <c r="E62" s="484" t="n"/>
      <c r="F62" s="35" t="n"/>
      <c r="G62" s="484" t="n"/>
      <c r="H62" s="35" t="n"/>
      <c r="I62" s="484" t="n"/>
      <c r="J62" s="35" t="n"/>
      <c r="K62" s="484" t="n"/>
      <c r="L62" s="35" t="n"/>
      <c r="M62" s="484" t="n"/>
      <c r="N62" s="35" t="n"/>
      <c r="O62" s="484" t="n"/>
      <c r="P62" s="35" t="n"/>
      <c r="Q62" s="484" t="n"/>
      <c r="R62" s="35" t="n"/>
      <c r="S62" s="484" t="n"/>
      <c r="T62" s="35" t="n"/>
      <c r="U62" s="484" t="n"/>
      <c r="V62" s="35" t="n"/>
      <c r="W62" s="484" t="n"/>
      <c r="X62" s="35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>
      <c r="B63" t="inlineStr">
        <is>
          <t>Feline 3</t>
        </is>
      </c>
      <c r="C63" s="1" t="inlineStr">
        <is>
          <t>機台序號3</t>
        </is>
      </c>
      <c r="D63" s="1" t="n"/>
      <c r="E63" s="484" t="n"/>
      <c r="F63" s="35" t="n"/>
      <c r="G63" s="484" t="n"/>
      <c r="H63" s="35" t="n"/>
      <c r="I63" s="484" t="n"/>
      <c r="J63" s="35" t="n"/>
      <c r="K63" s="484" t="n"/>
      <c r="L63" s="35" t="n"/>
      <c r="M63" s="484" t="n"/>
      <c r="N63" s="35" t="n"/>
      <c r="O63" s="484" t="n"/>
      <c r="P63" s="35" t="n"/>
      <c r="Q63" s="484" t="n"/>
      <c r="R63" s="35" t="n"/>
      <c r="S63" s="484" t="n"/>
      <c r="T63" s="35" t="n"/>
      <c r="U63" s="484" t="n"/>
      <c r="V63" s="35" t="n"/>
      <c r="W63" s="484" t="n"/>
      <c r="X63" s="35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>
      <c r="B64" t="inlineStr">
        <is>
          <t>Feline 3</t>
        </is>
      </c>
      <c r="C64" s="1" t="inlineStr">
        <is>
          <t>機台序號3</t>
        </is>
      </c>
      <c r="D64" s="1" t="n"/>
      <c r="E64" s="484" t="n"/>
      <c r="F64" s="35" t="n"/>
      <c r="G64" s="484" t="n"/>
      <c r="H64" s="35" t="n"/>
      <c r="I64" s="484" t="n"/>
      <c r="J64" s="35" t="n"/>
      <c r="K64" s="484" t="n"/>
      <c r="L64" s="35" t="n"/>
      <c r="M64" s="484" t="n"/>
      <c r="N64" s="35" t="n"/>
      <c r="O64" s="484" t="n"/>
      <c r="P64" s="35" t="n"/>
      <c r="Q64" s="484" t="n"/>
      <c r="R64" s="35" t="n"/>
      <c r="S64" s="484" t="n"/>
      <c r="T64" s="35" t="n"/>
      <c r="U64" s="484" t="n"/>
      <c r="V64" s="35" t="n"/>
      <c r="W64" s="484" t="n"/>
      <c r="X64" s="35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>
      <c r="B65" t="inlineStr">
        <is>
          <t>Feline 3</t>
        </is>
      </c>
      <c r="C65" s="1" t="inlineStr">
        <is>
          <t>機台序號3</t>
        </is>
      </c>
      <c r="D65" s="1" t="n"/>
      <c r="E65" s="484" t="n"/>
      <c r="F65" s="35" t="n"/>
      <c r="G65" s="484" t="n"/>
      <c r="H65" s="35" t="n"/>
      <c r="I65" s="484" t="n"/>
      <c r="J65" s="35" t="n"/>
      <c r="K65" s="484" t="n"/>
      <c r="L65" s="35" t="n"/>
      <c r="M65" s="484" t="n"/>
      <c r="N65" s="35" t="n"/>
      <c r="O65" s="484" t="n"/>
      <c r="P65" s="35" t="n"/>
      <c r="Q65" s="484" t="n"/>
      <c r="R65" s="35" t="n"/>
      <c r="S65" s="484" t="n"/>
      <c r="T65" s="35" t="n"/>
      <c r="U65" s="484" t="n"/>
      <c r="V65" s="35" t="n"/>
      <c r="W65" s="484" t="n"/>
      <c r="X65" s="35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>
      <c r="B66" s="6" t="inlineStr">
        <is>
          <t>Feline 4</t>
        </is>
      </c>
      <c r="C66" s="8" t="inlineStr">
        <is>
          <t>機台序號3</t>
        </is>
      </c>
      <c r="D66" s="1" t="n"/>
      <c r="E66" s="484" t="n"/>
      <c r="F66" s="35" t="n"/>
      <c r="G66" s="484" t="n"/>
      <c r="H66" s="35" t="n"/>
      <c r="I66" s="484" t="n"/>
      <c r="J66" s="35" t="n"/>
      <c r="K66" s="484" t="n"/>
      <c r="L66" s="35" t="n"/>
      <c r="M66" s="484" t="n"/>
      <c r="N66" s="35" t="n"/>
      <c r="O66" s="484" t="n"/>
      <c r="P66" s="35" t="n"/>
      <c r="Q66" s="484" t="n"/>
      <c r="R66" s="35" t="n"/>
      <c r="S66" s="484" t="n"/>
      <c r="T66" s="35" t="n"/>
      <c r="U66" s="484" t="n"/>
      <c r="V66" s="35" t="n"/>
      <c r="W66" s="484" t="n"/>
      <c r="X66" s="35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>
      <c r="B67" s="6" t="inlineStr">
        <is>
          <t>Feline 4</t>
        </is>
      </c>
      <c r="C67" s="8" t="inlineStr">
        <is>
          <t>機台序號3</t>
        </is>
      </c>
      <c r="D67" s="1" t="n"/>
      <c r="E67" s="484" t="n"/>
      <c r="F67" s="35" t="n"/>
      <c r="G67" s="484" t="n"/>
      <c r="H67" s="35" t="n"/>
      <c r="I67" s="484" t="n"/>
      <c r="J67" s="35" t="n"/>
      <c r="K67" s="484" t="n"/>
      <c r="L67" s="35" t="n"/>
      <c r="M67" s="484" t="n"/>
      <c r="N67" s="35" t="n"/>
      <c r="O67" s="484" t="n"/>
      <c r="P67" s="35" t="n"/>
      <c r="Q67" s="484" t="n"/>
      <c r="R67" s="35" t="n"/>
      <c r="S67" s="484" t="n"/>
      <c r="T67" s="35" t="n"/>
      <c r="U67" s="484" t="n"/>
      <c r="V67" s="35" t="n"/>
      <c r="W67" s="484" t="n"/>
      <c r="X67" s="35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>
      <c r="B68" s="6" t="inlineStr">
        <is>
          <t>Feline 4</t>
        </is>
      </c>
      <c r="C68" s="8" t="inlineStr">
        <is>
          <t>機台序號3</t>
        </is>
      </c>
      <c r="D68" s="1" t="n"/>
      <c r="E68" s="484" t="n"/>
      <c r="F68" s="35" t="n"/>
      <c r="G68" s="484" t="n"/>
      <c r="H68" s="35" t="n"/>
      <c r="I68" s="484" t="n"/>
      <c r="J68" s="35" t="n"/>
      <c r="K68" s="484" t="n"/>
      <c r="L68" s="35" t="n"/>
      <c r="M68" s="484" t="n"/>
      <c r="N68" s="35" t="n"/>
      <c r="O68" s="484" t="n"/>
      <c r="P68" s="35" t="n"/>
      <c r="Q68" s="484" t="n"/>
      <c r="R68" s="35" t="n"/>
      <c r="S68" s="484" t="n"/>
      <c r="T68" s="35" t="n"/>
      <c r="U68" s="484" t="n"/>
      <c r="V68" s="35" t="n"/>
      <c r="W68" s="484" t="n"/>
      <c r="X68" s="35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>
      <c r="B69" s="6" t="inlineStr">
        <is>
          <t>Feline 4</t>
        </is>
      </c>
      <c r="C69" s="8" t="inlineStr">
        <is>
          <t>機台序號3</t>
        </is>
      </c>
      <c r="D69" s="1" t="n"/>
      <c r="E69" s="484" t="n"/>
      <c r="F69" s="35" t="n"/>
      <c r="G69" s="484" t="n"/>
      <c r="H69" s="35" t="n"/>
      <c r="I69" s="484" t="n"/>
      <c r="J69" s="35" t="n"/>
      <c r="K69" s="484" t="n"/>
      <c r="L69" s="35" t="n"/>
      <c r="M69" s="484" t="n"/>
      <c r="N69" s="35" t="n"/>
      <c r="O69" s="484" t="n"/>
      <c r="P69" s="35" t="n"/>
      <c r="Q69" s="484" t="n"/>
      <c r="R69" s="35" t="n"/>
      <c r="S69" s="484" t="n"/>
      <c r="T69" s="35" t="n"/>
      <c r="U69" s="484" t="n"/>
      <c r="V69" s="35" t="n"/>
      <c r="W69" s="484" t="n"/>
      <c r="X69" s="35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>
      <c r="B70" s="6" t="inlineStr">
        <is>
          <t>Feline 4</t>
        </is>
      </c>
      <c r="C70" s="8" t="inlineStr">
        <is>
          <t>機台序號3</t>
        </is>
      </c>
      <c r="D70" s="1" t="n"/>
      <c r="E70" s="484" t="n"/>
      <c r="F70" s="35" t="n"/>
      <c r="G70" s="484" t="n"/>
      <c r="H70" s="35" t="n"/>
      <c r="I70" s="484" t="n"/>
      <c r="J70" s="35" t="n"/>
      <c r="K70" s="484" t="n"/>
      <c r="L70" s="35" t="n"/>
      <c r="M70" s="484" t="n"/>
      <c r="N70" s="35" t="n"/>
      <c r="O70" s="484" t="n"/>
      <c r="P70" s="35" t="n"/>
      <c r="Q70" s="484" t="n"/>
      <c r="R70" s="35" t="n"/>
      <c r="S70" s="484" t="n"/>
      <c r="T70" s="35" t="n"/>
      <c r="U70" s="484" t="n"/>
      <c r="V70" s="35" t="n"/>
      <c r="W70" s="484" t="n"/>
      <c r="X70" s="35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>
      <c r="B71" s="6" t="inlineStr">
        <is>
          <t>Feline 4</t>
        </is>
      </c>
      <c r="C71" s="8" t="inlineStr">
        <is>
          <t>機台序號3</t>
        </is>
      </c>
      <c r="D71" s="1" t="n"/>
      <c r="E71" s="484" t="n"/>
      <c r="F71" s="35" t="n"/>
      <c r="G71" s="484" t="n"/>
      <c r="H71" s="35" t="n"/>
      <c r="I71" s="484" t="n"/>
      <c r="J71" s="35" t="n"/>
      <c r="K71" s="484" t="n"/>
      <c r="L71" s="35" t="n"/>
      <c r="M71" s="484" t="n"/>
      <c r="N71" s="35" t="n"/>
      <c r="O71" s="484" t="n"/>
      <c r="P71" s="35" t="n"/>
      <c r="Q71" s="484" t="n"/>
      <c r="R71" s="35" t="n"/>
      <c r="S71" s="484" t="n"/>
      <c r="T71" s="35" t="n"/>
      <c r="U71" s="484" t="n"/>
      <c r="V71" s="35" t="n"/>
      <c r="W71" s="484" t="n"/>
      <c r="X71" s="35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>
      <c r="B72" s="6" t="inlineStr">
        <is>
          <t>Feline 4</t>
        </is>
      </c>
      <c r="C72" s="8" t="inlineStr">
        <is>
          <t>機台序號3</t>
        </is>
      </c>
      <c r="D72" s="1" t="n"/>
      <c r="E72" s="484" t="n"/>
      <c r="F72" s="35" t="n"/>
      <c r="G72" s="484" t="n"/>
      <c r="H72" s="35" t="n"/>
      <c r="I72" s="484" t="n"/>
      <c r="J72" s="35" t="n"/>
      <c r="K72" s="484" t="n"/>
      <c r="L72" s="35" t="n"/>
      <c r="M72" s="484" t="n"/>
      <c r="N72" s="35" t="n"/>
      <c r="O72" s="484" t="n"/>
      <c r="P72" s="35" t="n"/>
      <c r="Q72" s="484" t="n"/>
      <c r="R72" s="35" t="n"/>
      <c r="S72" s="484" t="n"/>
      <c r="T72" s="35" t="n"/>
      <c r="U72" s="484" t="n"/>
      <c r="V72" s="35" t="n"/>
      <c r="W72" s="484" t="n"/>
      <c r="X72" s="35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>
      <c r="B73" s="6" t="inlineStr">
        <is>
          <t>Feline 4</t>
        </is>
      </c>
      <c r="C73" s="8" t="inlineStr">
        <is>
          <t>機台序號3</t>
        </is>
      </c>
      <c r="D73" s="1" t="n"/>
      <c r="E73" s="484" t="n"/>
      <c r="F73" s="35" t="n"/>
      <c r="G73" s="484" t="n"/>
      <c r="H73" s="35" t="n"/>
      <c r="I73" s="484" t="n"/>
      <c r="J73" s="35" t="n"/>
      <c r="K73" s="484" t="n"/>
      <c r="L73" s="35" t="n"/>
      <c r="M73" s="484" t="n"/>
      <c r="N73" s="35" t="n"/>
      <c r="O73" s="484" t="n"/>
      <c r="P73" s="35" t="n"/>
      <c r="Q73" s="484" t="n"/>
      <c r="R73" s="35" t="n"/>
      <c r="S73" s="484" t="n"/>
      <c r="T73" s="35" t="n"/>
      <c r="U73" s="484" t="n"/>
      <c r="V73" s="35" t="n"/>
      <c r="W73" s="484" t="n"/>
      <c r="X73" s="35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>
      <c r="B74" s="6" t="inlineStr">
        <is>
          <t>Feline 4</t>
        </is>
      </c>
      <c r="C74" s="8" t="inlineStr">
        <is>
          <t>機台序號3</t>
        </is>
      </c>
      <c r="D74" s="1" t="n"/>
      <c r="E74" s="484" t="n"/>
      <c r="F74" s="35" t="n"/>
      <c r="G74" s="484" t="n"/>
      <c r="H74" s="35" t="n"/>
      <c r="I74" s="484" t="n"/>
      <c r="J74" s="35" t="n"/>
      <c r="K74" s="484" t="n"/>
      <c r="L74" s="35" t="n"/>
      <c r="M74" s="484" t="n"/>
      <c r="N74" s="35" t="n"/>
      <c r="O74" s="484" t="n"/>
      <c r="P74" s="35" t="n"/>
      <c r="Q74" s="484" t="n"/>
      <c r="R74" s="35" t="n"/>
      <c r="S74" s="484" t="n"/>
      <c r="T74" s="35" t="n"/>
      <c r="U74" s="484" t="n"/>
      <c r="V74" s="35" t="n"/>
      <c r="W74" s="484" t="n"/>
      <c r="X74" s="35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>
      <c r="B75" s="6" t="inlineStr">
        <is>
          <t>Feline 4</t>
        </is>
      </c>
      <c r="C75" s="8" t="inlineStr">
        <is>
          <t>機台序號3</t>
        </is>
      </c>
      <c r="D75" s="1" t="n"/>
      <c r="E75" s="484" t="n"/>
      <c r="F75" s="35" t="n"/>
      <c r="G75" s="484" t="n"/>
      <c r="H75" s="35" t="n"/>
      <c r="I75" s="484" t="n"/>
      <c r="J75" s="35" t="n"/>
      <c r="K75" s="484" t="n"/>
      <c r="L75" s="35" t="n"/>
      <c r="M75" s="484" t="n"/>
      <c r="N75" s="35" t="n"/>
      <c r="O75" s="484" t="n"/>
      <c r="P75" s="35" t="n"/>
      <c r="Q75" s="484" t="n"/>
      <c r="R75" s="35" t="n"/>
      <c r="S75" s="484" t="n"/>
      <c r="T75" s="35" t="n"/>
      <c r="U75" s="484" t="n"/>
      <c r="V75" s="35" t="n"/>
      <c r="W75" s="484" t="n"/>
      <c r="X75" s="35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>
      <c r="B76" t="inlineStr">
        <is>
          <t>Feline 5</t>
        </is>
      </c>
      <c r="C76" s="1" t="inlineStr">
        <is>
          <t>機台序號3</t>
        </is>
      </c>
      <c r="D76" s="1" t="n"/>
      <c r="E76" s="484" t="n"/>
      <c r="F76" s="35" t="n"/>
      <c r="G76" s="484" t="n"/>
      <c r="H76" s="35" t="n"/>
      <c r="I76" s="484" t="n"/>
      <c r="J76" s="35" t="n"/>
      <c r="K76" s="484" t="n"/>
      <c r="L76" s="35" t="n"/>
      <c r="M76" s="484" t="n"/>
      <c r="N76" s="35" t="n"/>
      <c r="O76" s="484" t="n"/>
      <c r="P76" s="35" t="n"/>
      <c r="Q76" s="484" t="n"/>
      <c r="R76" s="35" t="n"/>
      <c r="S76" s="484" t="n"/>
      <c r="T76" s="35" t="n"/>
      <c r="U76" s="484" t="n"/>
      <c r="V76" s="35" t="n"/>
      <c r="W76" s="484" t="n"/>
      <c r="X76" s="35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>
      <c r="B77" t="inlineStr">
        <is>
          <t>Feline 5</t>
        </is>
      </c>
      <c r="C77" s="1" t="inlineStr">
        <is>
          <t>機台序號3</t>
        </is>
      </c>
      <c r="D77" s="1" t="n"/>
      <c r="E77" s="484" t="n"/>
      <c r="F77" s="35" t="n"/>
      <c r="G77" s="484" t="n"/>
      <c r="H77" s="35" t="n"/>
      <c r="I77" s="484" t="n"/>
      <c r="J77" s="35" t="n"/>
      <c r="K77" s="484" t="n"/>
      <c r="L77" s="35" t="n"/>
      <c r="M77" s="484" t="n"/>
      <c r="N77" s="35" t="n"/>
      <c r="O77" s="484" t="n"/>
      <c r="P77" s="35" t="n"/>
      <c r="Q77" s="484" t="n"/>
      <c r="R77" s="35" t="n"/>
      <c r="S77" s="484" t="n"/>
      <c r="T77" s="35" t="n"/>
      <c r="U77" s="484" t="n"/>
      <c r="V77" s="35" t="n"/>
      <c r="W77" s="484" t="n"/>
      <c r="X77" s="35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>
      <c r="B78" t="inlineStr">
        <is>
          <t>Feline 5</t>
        </is>
      </c>
      <c r="C78" s="1" t="inlineStr">
        <is>
          <t>機台序號3</t>
        </is>
      </c>
      <c r="D78" s="1" t="n"/>
      <c r="E78" s="484" t="n"/>
      <c r="F78" s="35" t="n"/>
      <c r="G78" s="484" t="n"/>
      <c r="H78" s="35" t="n"/>
      <c r="I78" s="484" t="n"/>
      <c r="J78" s="35" t="n"/>
      <c r="K78" s="484" t="n"/>
      <c r="L78" s="35" t="n"/>
      <c r="M78" s="484" t="n"/>
      <c r="N78" s="35" t="n"/>
      <c r="O78" s="484" t="n"/>
      <c r="P78" s="35" t="n"/>
      <c r="Q78" s="484" t="n"/>
      <c r="R78" s="35" t="n"/>
      <c r="S78" s="484" t="n"/>
      <c r="T78" s="35" t="n"/>
      <c r="U78" s="484" t="n"/>
      <c r="V78" s="35" t="n"/>
      <c r="W78" s="484" t="n"/>
      <c r="X78" s="35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>
      <c r="B79" t="inlineStr">
        <is>
          <t>Feline 5</t>
        </is>
      </c>
      <c r="C79" s="1" t="inlineStr">
        <is>
          <t>機台序號3</t>
        </is>
      </c>
      <c r="D79" s="1" t="n"/>
      <c r="E79" s="484" t="n"/>
      <c r="F79" s="35" t="n"/>
      <c r="G79" s="484" t="n"/>
      <c r="H79" s="35" t="n"/>
      <c r="I79" s="484" t="n"/>
      <c r="J79" s="35" t="n"/>
      <c r="K79" s="484" t="n"/>
      <c r="L79" s="35" t="n"/>
      <c r="M79" s="484" t="n"/>
      <c r="N79" s="35" t="n"/>
      <c r="O79" s="484" t="n"/>
      <c r="P79" s="35" t="n"/>
      <c r="Q79" s="484" t="n"/>
      <c r="R79" s="35" t="n"/>
      <c r="S79" s="484" t="n"/>
      <c r="T79" s="35" t="n"/>
      <c r="U79" s="484" t="n"/>
      <c r="V79" s="35" t="n"/>
      <c r="W79" s="484" t="n"/>
      <c r="X79" s="3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>
      <c r="B80" t="inlineStr">
        <is>
          <t>Feline 5</t>
        </is>
      </c>
      <c r="C80" s="1" t="inlineStr">
        <is>
          <t>機台序號3</t>
        </is>
      </c>
      <c r="D80" s="1" t="n"/>
      <c r="E80" s="484" t="n"/>
      <c r="F80" s="35" t="n"/>
      <c r="G80" s="484" t="n"/>
      <c r="H80" s="35" t="n"/>
      <c r="I80" s="484" t="n"/>
      <c r="J80" s="35" t="n"/>
      <c r="K80" s="484" t="n"/>
      <c r="L80" s="35" t="n"/>
      <c r="M80" s="484" t="n"/>
      <c r="N80" s="35" t="n"/>
      <c r="O80" s="484" t="n"/>
      <c r="P80" s="35" t="n"/>
      <c r="Q80" s="484" t="n"/>
      <c r="R80" s="35" t="n"/>
      <c r="S80" s="484" t="n"/>
      <c r="T80" s="35" t="n"/>
      <c r="U80" s="484" t="n"/>
      <c r="V80" s="35" t="n"/>
      <c r="W80" s="484" t="n"/>
      <c r="X80" s="35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>
      <c r="B81" t="inlineStr">
        <is>
          <t>Feline 5</t>
        </is>
      </c>
      <c r="C81" s="1" t="inlineStr">
        <is>
          <t>機台序號3</t>
        </is>
      </c>
      <c r="D81" s="1" t="n"/>
      <c r="E81" s="484" t="n"/>
      <c r="F81" s="35" t="n"/>
      <c r="G81" s="484" t="n"/>
      <c r="H81" s="35" t="n"/>
      <c r="I81" s="484" t="n"/>
      <c r="J81" s="35" t="n"/>
      <c r="K81" s="484" t="n"/>
      <c r="L81" s="35" t="n"/>
      <c r="M81" s="484" t="n"/>
      <c r="N81" s="35" t="n"/>
      <c r="O81" s="484" t="n"/>
      <c r="P81" s="35" t="n"/>
      <c r="Q81" s="484" t="n"/>
      <c r="R81" s="35" t="n"/>
      <c r="S81" s="484" t="n"/>
      <c r="T81" s="35" t="n"/>
      <c r="U81" s="484" t="n"/>
      <c r="V81" s="35" t="n"/>
      <c r="W81" s="484" t="n"/>
      <c r="X81" s="35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>
      <c r="B82" t="inlineStr">
        <is>
          <t>Feline 5</t>
        </is>
      </c>
      <c r="C82" s="1" t="inlineStr">
        <is>
          <t>機台序號3</t>
        </is>
      </c>
      <c r="D82" s="1" t="n"/>
      <c r="E82" s="484" t="n"/>
      <c r="F82" s="35" t="n"/>
      <c r="G82" s="484" t="n"/>
      <c r="H82" s="35" t="n"/>
      <c r="I82" s="484" t="n"/>
      <c r="J82" s="35" t="n"/>
      <c r="K82" s="484" t="n"/>
      <c r="L82" s="35" t="n"/>
      <c r="M82" s="484" t="n"/>
      <c r="N82" s="35" t="n"/>
      <c r="O82" s="484" t="n"/>
      <c r="P82" s="35" t="n"/>
      <c r="Q82" s="484" t="n"/>
      <c r="R82" s="35" t="n"/>
      <c r="S82" s="484" t="n"/>
      <c r="T82" s="35" t="n"/>
      <c r="U82" s="484" t="n"/>
      <c r="V82" s="35" t="n"/>
      <c r="W82" s="484" t="n"/>
      <c r="X82" s="35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>
      <c r="B83" t="inlineStr">
        <is>
          <t>Feline 5</t>
        </is>
      </c>
      <c r="C83" s="1" t="inlineStr">
        <is>
          <t>機台序號3</t>
        </is>
      </c>
      <c r="D83" s="1" t="n"/>
      <c r="E83" s="484" t="n"/>
      <c r="F83" s="35" t="n"/>
      <c r="G83" s="484" t="n"/>
      <c r="H83" s="35" t="n"/>
      <c r="I83" s="484" t="n"/>
      <c r="J83" s="35" t="n"/>
      <c r="K83" s="484" t="n"/>
      <c r="L83" s="35" t="n"/>
      <c r="M83" s="484" t="n"/>
      <c r="N83" s="35" t="n"/>
      <c r="O83" s="484" t="n"/>
      <c r="P83" s="35" t="n"/>
      <c r="Q83" s="484" t="n"/>
      <c r="R83" s="35" t="n"/>
      <c r="S83" s="484" t="n"/>
      <c r="T83" s="35" t="n"/>
      <c r="U83" s="484" t="n"/>
      <c r="V83" s="35" t="n"/>
      <c r="W83" s="484" t="n"/>
      <c r="X83" s="35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>
      <c r="B84" t="inlineStr">
        <is>
          <t>Feline 5</t>
        </is>
      </c>
      <c r="C84" s="1" t="inlineStr">
        <is>
          <t>機台序號3</t>
        </is>
      </c>
      <c r="D84" s="1" t="n"/>
      <c r="E84" s="484" t="n"/>
      <c r="F84" s="35" t="n"/>
      <c r="G84" s="484" t="n"/>
      <c r="H84" s="35" t="n"/>
      <c r="I84" s="484" t="n"/>
      <c r="J84" s="35" t="n"/>
      <c r="K84" s="484" t="n"/>
      <c r="L84" s="35" t="n"/>
      <c r="M84" s="484" t="n"/>
      <c r="N84" s="35" t="n"/>
      <c r="O84" s="484" t="n"/>
      <c r="P84" s="35" t="n"/>
      <c r="Q84" s="484" t="n"/>
      <c r="R84" s="35" t="n"/>
      <c r="S84" s="484" t="n"/>
      <c r="T84" s="35" t="n"/>
      <c r="U84" s="484" t="n"/>
      <c r="V84" s="35" t="n"/>
      <c r="W84" s="484" t="n"/>
      <c r="X84" s="35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>
      <c r="B85" t="inlineStr">
        <is>
          <t>Feline 5</t>
        </is>
      </c>
      <c r="C85" s="1" t="inlineStr">
        <is>
          <t>機台序號3</t>
        </is>
      </c>
      <c r="D85" s="1" t="n"/>
      <c r="E85" s="484" t="n"/>
      <c r="F85" s="35" t="n"/>
      <c r="G85" s="484" t="n"/>
      <c r="H85" s="35" t="n"/>
      <c r="I85" s="484" t="n"/>
      <c r="J85" s="35" t="n"/>
      <c r="K85" s="484" t="n"/>
      <c r="L85" s="35" t="n"/>
      <c r="M85" s="484" t="n"/>
      <c r="N85" s="35" t="n"/>
      <c r="O85" s="484" t="n"/>
      <c r="P85" s="35" t="n"/>
      <c r="Q85" s="484" t="n"/>
      <c r="R85" s="35" t="n"/>
      <c r="S85" s="484" t="n"/>
      <c r="T85" s="35" t="n"/>
      <c r="U85" s="484" t="n"/>
      <c r="V85" s="35" t="n"/>
      <c r="W85" s="484" t="n"/>
      <c r="X85" s="35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>
      <c r="B86" s="6" t="inlineStr">
        <is>
          <t>Feline 6</t>
        </is>
      </c>
      <c r="C86" s="8" t="inlineStr">
        <is>
          <t>機台序號3</t>
        </is>
      </c>
      <c r="D86" s="1" t="n"/>
      <c r="E86" s="484" t="n"/>
      <c r="F86" s="35" t="n"/>
      <c r="G86" s="484" t="n"/>
      <c r="H86" s="35" t="n"/>
      <c r="I86" s="484" t="n"/>
      <c r="J86" s="35" t="n"/>
      <c r="K86" s="484" t="n"/>
      <c r="L86" s="35" t="n"/>
      <c r="M86" s="484" t="n"/>
      <c r="N86" s="35" t="n"/>
      <c r="O86" s="484" t="n"/>
      <c r="P86" s="35" t="n"/>
      <c r="Q86" s="484" t="n"/>
      <c r="R86" s="35" t="n"/>
      <c r="S86" s="484" t="n"/>
      <c r="T86" s="35" t="n"/>
      <c r="U86" s="484" t="n"/>
      <c r="V86" s="35" t="n"/>
      <c r="W86" s="484" t="n"/>
      <c r="X86" s="35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>
      <c r="B87" s="6" t="inlineStr">
        <is>
          <t>Feline 6</t>
        </is>
      </c>
      <c r="C87" s="8" t="inlineStr">
        <is>
          <t>機台序號3</t>
        </is>
      </c>
      <c r="D87" s="1" t="n"/>
      <c r="E87" s="484" t="n"/>
      <c r="F87" s="35" t="n"/>
      <c r="G87" s="484" t="n"/>
      <c r="H87" s="35" t="n"/>
      <c r="I87" s="484" t="n"/>
      <c r="J87" s="35" t="n"/>
      <c r="K87" s="484" t="n"/>
      <c r="L87" s="35" t="n"/>
      <c r="M87" s="484" t="n"/>
      <c r="N87" s="35" t="n"/>
      <c r="O87" s="484" t="n"/>
      <c r="P87" s="35" t="n"/>
      <c r="Q87" s="484" t="n"/>
      <c r="R87" s="35" t="n"/>
      <c r="S87" s="484" t="n"/>
      <c r="T87" s="35" t="n"/>
      <c r="U87" s="484" t="n"/>
      <c r="V87" s="35" t="n"/>
      <c r="W87" s="484" t="n"/>
      <c r="X87" s="35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>
      <c r="B88" s="6" t="inlineStr">
        <is>
          <t>Feline 6</t>
        </is>
      </c>
      <c r="C88" s="8" t="inlineStr">
        <is>
          <t>機台序號3</t>
        </is>
      </c>
      <c r="D88" s="1" t="n"/>
      <c r="E88" s="484" t="n"/>
      <c r="F88" s="35" t="n"/>
      <c r="G88" s="484" t="n"/>
      <c r="H88" s="35" t="n"/>
      <c r="I88" s="484" t="n"/>
      <c r="J88" s="35" t="n"/>
      <c r="K88" s="484" t="n"/>
      <c r="L88" s="35" t="n"/>
      <c r="M88" s="484" t="n"/>
      <c r="N88" s="35" t="n"/>
      <c r="O88" s="484" t="n"/>
      <c r="P88" s="35" t="n"/>
      <c r="Q88" s="484" t="n"/>
      <c r="R88" s="35" t="n"/>
      <c r="S88" s="484" t="n"/>
      <c r="T88" s="35" t="n"/>
      <c r="U88" s="484" t="n"/>
      <c r="V88" s="35" t="n"/>
      <c r="W88" s="484" t="n"/>
      <c r="X88" s="35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>
      <c r="B89" s="6" t="inlineStr">
        <is>
          <t>Feline 6</t>
        </is>
      </c>
      <c r="C89" s="8" t="inlineStr">
        <is>
          <t>機台序號3</t>
        </is>
      </c>
      <c r="D89" s="1" t="n"/>
      <c r="E89" s="484" t="n"/>
      <c r="F89" s="35" t="n"/>
      <c r="G89" s="484" t="n"/>
      <c r="H89" s="35" t="n"/>
      <c r="I89" s="484" t="n"/>
      <c r="J89" s="35" t="n"/>
      <c r="K89" s="484" t="n"/>
      <c r="L89" s="35" t="n"/>
      <c r="M89" s="484" t="n"/>
      <c r="N89" s="35" t="n"/>
      <c r="O89" s="484" t="n"/>
      <c r="P89" s="35" t="n"/>
      <c r="Q89" s="484" t="n"/>
      <c r="R89" s="35" t="n"/>
      <c r="S89" s="484" t="n"/>
      <c r="T89" s="35" t="n"/>
      <c r="U89" s="484" t="n"/>
      <c r="V89" s="35" t="n"/>
      <c r="W89" s="484" t="n"/>
      <c r="X89" s="35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>
      <c r="B90" s="6" t="inlineStr">
        <is>
          <t>Feline 6</t>
        </is>
      </c>
      <c r="C90" s="8" t="inlineStr">
        <is>
          <t>機台序號3</t>
        </is>
      </c>
      <c r="D90" s="1" t="n"/>
      <c r="E90" s="484" t="n"/>
      <c r="F90" s="35" t="n"/>
      <c r="G90" s="484" t="n"/>
      <c r="H90" s="35" t="n"/>
      <c r="I90" s="484" t="n"/>
      <c r="J90" s="35" t="n"/>
      <c r="K90" s="484" t="n"/>
      <c r="L90" s="35" t="n"/>
      <c r="M90" s="484" t="n"/>
      <c r="N90" s="35" t="n"/>
      <c r="O90" s="484" t="n"/>
      <c r="P90" s="35" t="n"/>
      <c r="Q90" s="484" t="n"/>
      <c r="R90" s="35" t="n"/>
      <c r="S90" s="484" t="n"/>
      <c r="T90" s="35" t="n"/>
      <c r="U90" s="484" t="n"/>
      <c r="V90" s="35" t="n"/>
      <c r="W90" s="484" t="n"/>
      <c r="X90" s="35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>
      <c r="B91" s="6" t="inlineStr">
        <is>
          <t>Feline 6</t>
        </is>
      </c>
      <c r="C91" s="8" t="inlineStr">
        <is>
          <t>機台序號3</t>
        </is>
      </c>
      <c r="D91" s="1" t="n"/>
      <c r="E91" s="484" t="n"/>
      <c r="F91" s="35" t="n"/>
      <c r="G91" s="484" t="n"/>
      <c r="H91" s="35" t="n"/>
      <c r="I91" s="484" t="n"/>
      <c r="J91" s="35" t="n"/>
      <c r="K91" s="484" t="n"/>
      <c r="L91" s="35" t="n"/>
      <c r="M91" s="484" t="n"/>
      <c r="N91" s="35" t="n"/>
      <c r="O91" s="484" t="n"/>
      <c r="P91" s="35" t="n"/>
      <c r="Q91" s="484" t="n"/>
      <c r="R91" s="35" t="n"/>
      <c r="S91" s="484" t="n"/>
      <c r="T91" s="35" t="n"/>
      <c r="U91" s="484" t="n"/>
      <c r="V91" s="35" t="n"/>
      <c r="W91" s="484" t="n"/>
      <c r="X91" s="35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>
      <c r="B92" s="6" t="inlineStr">
        <is>
          <t>Feline 6</t>
        </is>
      </c>
      <c r="C92" s="8" t="inlineStr">
        <is>
          <t>機台序號3</t>
        </is>
      </c>
      <c r="D92" s="1" t="n"/>
      <c r="E92" s="484" t="n"/>
      <c r="F92" s="35" t="n"/>
      <c r="G92" s="484" t="n"/>
      <c r="H92" s="35" t="n"/>
      <c r="I92" s="484" t="n"/>
      <c r="J92" s="35" t="n"/>
      <c r="K92" s="484" t="n"/>
      <c r="L92" s="35" t="n"/>
      <c r="M92" s="484" t="n"/>
      <c r="N92" s="35" t="n"/>
      <c r="O92" s="484" t="n"/>
      <c r="P92" s="35" t="n"/>
      <c r="Q92" s="484" t="n"/>
      <c r="R92" s="35" t="n"/>
      <c r="S92" s="484" t="n"/>
      <c r="T92" s="35" t="n"/>
      <c r="U92" s="484" t="n"/>
      <c r="V92" s="35" t="n"/>
      <c r="W92" s="484" t="n"/>
      <c r="X92" s="35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>
      <c r="B93" s="6" t="inlineStr">
        <is>
          <t>Feline 6</t>
        </is>
      </c>
      <c r="C93" s="8" t="inlineStr">
        <is>
          <t>機台序號3</t>
        </is>
      </c>
      <c r="D93" s="1" t="n"/>
      <c r="E93" s="484" t="n"/>
      <c r="F93" s="35" t="n"/>
      <c r="G93" s="484" t="n"/>
      <c r="H93" s="35" t="n"/>
      <c r="I93" s="484" t="n"/>
      <c r="J93" s="35" t="n"/>
      <c r="K93" s="484" t="n"/>
      <c r="L93" s="35" t="n"/>
      <c r="M93" s="484" t="n"/>
      <c r="N93" s="35" t="n"/>
      <c r="O93" s="484" t="n"/>
      <c r="P93" s="35" t="n"/>
      <c r="Q93" s="484" t="n"/>
      <c r="R93" s="35" t="n"/>
      <c r="S93" s="484" t="n"/>
      <c r="T93" s="35" t="n"/>
      <c r="U93" s="484" t="n"/>
      <c r="V93" s="35" t="n"/>
      <c r="W93" s="484" t="n"/>
      <c r="X93" s="35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>
      <c r="B94" s="6" t="inlineStr">
        <is>
          <t>Feline 6</t>
        </is>
      </c>
      <c r="C94" s="8" t="inlineStr">
        <is>
          <t>機台序號3</t>
        </is>
      </c>
      <c r="D94" s="1" t="n"/>
      <c r="E94" s="484" t="n"/>
      <c r="F94" s="35" t="n"/>
      <c r="G94" s="484" t="n"/>
      <c r="H94" s="35" t="n"/>
      <c r="I94" s="484" t="n"/>
      <c r="J94" s="35" t="n"/>
      <c r="K94" s="484" t="n"/>
      <c r="L94" s="35" t="n"/>
      <c r="M94" s="484" t="n"/>
      <c r="N94" s="35" t="n"/>
      <c r="O94" s="484" t="n"/>
      <c r="P94" s="35" t="n"/>
      <c r="Q94" s="484" t="n"/>
      <c r="R94" s="35" t="n"/>
      <c r="S94" s="484" t="n"/>
      <c r="T94" s="35" t="n"/>
      <c r="U94" s="484" t="n"/>
      <c r="V94" s="35" t="n"/>
      <c r="W94" s="484" t="n"/>
      <c r="X94" s="35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>
      <c r="B95" s="6" t="inlineStr">
        <is>
          <t>Feline 6</t>
        </is>
      </c>
      <c r="C95" s="8" t="inlineStr">
        <is>
          <t>機台序號3</t>
        </is>
      </c>
      <c r="D95" s="1" t="n"/>
      <c r="E95" s="484" t="n"/>
      <c r="F95" s="35" t="n"/>
      <c r="G95" s="484" t="n"/>
      <c r="H95" s="35" t="n"/>
      <c r="I95" s="484" t="n"/>
      <c r="J95" s="35" t="n"/>
      <c r="K95" s="484" t="n"/>
      <c r="L95" s="35" t="n"/>
      <c r="M95" s="484" t="n"/>
      <c r="N95" s="35" t="n"/>
      <c r="O95" s="484" t="n"/>
      <c r="P95" s="35" t="n"/>
      <c r="Q95" s="484" t="n"/>
      <c r="R95" s="35" t="n"/>
      <c r="S95" s="484" t="n"/>
      <c r="T95" s="35" t="n"/>
      <c r="U95" s="484" t="n"/>
      <c r="V95" s="35" t="n"/>
      <c r="W95" s="484" t="n"/>
      <c r="X95" s="35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>
      <c r="E96" s="20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  <c r="V96" s="20" t="n"/>
      <c r="W96" s="20" t="n"/>
      <c r="X96" s="20" t="n"/>
    </row>
    <row r="97"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</row>
    <row r="98"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 t="n"/>
    </row>
    <row r="99"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</row>
    <row r="100"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20" t="n"/>
      <c r="R100" s="20" t="n"/>
      <c r="S100" s="20" t="n"/>
      <c r="T100" s="20" t="n"/>
      <c r="U100" s="20" t="n"/>
      <c r="V100" s="20" t="n"/>
      <c r="W100" s="20" t="n"/>
      <c r="X100" s="20" t="n"/>
    </row>
    <row r="101"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</row>
    <row r="102">
      <c r="E102" s="20" t="n"/>
      <c r="F102" s="20" t="n"/>
      <c r="G102" s="20" t="n"/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20" t="n"/>
      <c r="R102" s="20" t="n"/>
      <c r="S102" s="20" t="n"/>
      <c r="T102" s="20" t="n"/>
      <c r="U102" s="20" t="n"/>
      <c r="V102" s="20" t="n"/>
      <c r="W102" s="20" t="n"/>
      <c r="X102" s="20" t="n"/>
    </row>
    <row r="103"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  <c r="X103" s="20" t="n"/>
    </row>
    <row r="104">
      <c r="E104" s="20" t="n"/>
      <c r="F104" s="20" t="n"/>
      <c r="G104" s="20" t="n"/>
      <c r="H104" s="20" t="n"/>
      <c r="I104" s="20" t="n"/>
      <c r="J104" s="20" t="n"/>
      <c r="K104" s="20" t="n"/>
      <c r="L104" s="20" t="n"/>
      <c r="M104" s="20" t="n"/>
      <c r="N104" s="20" t="n"/>
      <c r="O104" s="20" t="n"/>
      <c r="P104" s="20" t="n"/>
      <c r="Q104" s="20" t="n"/>
      <c r="R104" s="20" t="n"/>
      <c r="S104" s="20" t="n"/>
      <c r="T104" s="20" t="n"/>
      <c r="U104" s="20" t="n"/>
      <c r="V104" s="20" t="n"/>
      <c r="W104" s="20" t="n"/>
      <c r="X104" s="20" t="n"/>
    </row>
    <row r="105"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</row>
    <row r="106">
      <c r="E106" s="20" t="n"/>
      <c r="F106" s="20" t="n"/>
      <c r="G106" s="20" t="n"/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20" t="n"/>
      <c r="Q106" s="20" t="n"/>
      <c r="R106" s="20" t="n"/>
      <c r="S106" s="20" t="n"/>
      <c r="T106" s="20" t="n"/>
      <c r="U106" s="20" t="n"/>
      <c r="V106" s="20" t="n"/>
      <c r="W106" s="20" t="n"/>
      <c r="X106" s="20" t="n"/>
    </row>
    <row r="107"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</row>
    <row r="108">
      <c r="E108" s="20" t="n"/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n"/>
      <c r="P108" s="20" t="n"/>
      <c r="Q108" s="20" t="n"/>
      <c r="R108" s="20" t="n"/>
      <c r="S108" s="20" t="n"/>
      <c r="T108" s="20" t="n"/>
      <c r="U108" s="20" t="n"/>
      <c r="V108" s="20" t="n"/>
      <c r="W108" s="20" t="n"/>
      <c r="X108" s="20" t="n"/>
    </row>
    <row r="109"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  <c r="X109" s="20" t="n"/>
    </row>
    <row r="110">
      <c r="E110" s="20" t="n"/>
      <c r="F110" s="20" t="n"/>
      <c r="G110" s="20" t="n"/>
      <c r="H110" s="20" t="n"/>
      <c r="I110" s="20" t="n"/>
      <c r="J110" s="20" t="n"/>
      <c r="K110" s="20" t="n"/>
      <c r="L110" s="20" t="n"/>
      <c r="M110" s="20" t="n"/>
      <c r="N110" s="20" t="n"/>
      <c r="O110" s="20" t="n"/>
      <c r="P110" s="20" t="n"/>
      <c r="Q110" s="20" t="n"/>
      <c r="R110" s="20" t="n"/>
      <c r="S110" s="20" t="n"/>
      <c r="T110" s="20" t="n"/>
      <c r="U110" s="20" t="n"/>
      <c r="V110" s="20" t="n"/>
      <c r="W110" s="20" t="n"/>
      <c r="X110" s="20" t="n"/>
    </row>
    <row r="111"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</row>
    <row r="112">
      <c r="E112" s="20" t="n"/>
      <c r="F112" s="20" t="n"/>
      <c r="G112" s="20" t="n"/>
      <c r="H112" s="20" t="n"/>
      <c r="I112" s="20" t="n"/>
      <c r="J112" s="20" t="n"/>
      <c r="K112" s="20" t="n"/>
      <c r="L112" s="20" t="n"/>
      <c r="M112" s="20" t="n"/>
      <c r="N112" s="20" t="n"/>
      <c r="O112" s="20" t="n"/>
      <c r="P112" s="20" t="n"/>
      <c r="Q112" s="20" t="n"/>
      <c r="R112" s="20" t="n"/>
      <c r="S112" s="20" t="n"/>
      <c r="T112" s="20" t="n"/>
      <c r="U112" s="20" t="n"/>
      <c r="V112" s="20" t="n"/>
      <c r="W112" s="20" t="n"/>
      <c r="X112" s="20" t="n"/>
    </row>
    <row r="113"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</row>
    <row r="114">
      <c r="E114" s="20" t="n"/>
      <c r="F114" s="20" t="n"/>
      <c r="G114" s="20" t="n"/>
      <c r="H114" s="20" t="n"/>
      <c r="I114" s="20" t="n"/>
      <c r="J114" s="20" t="n"/>
      <c r="K114" s="20" t="n"/>
      <c r="L114" s="20" t="n"/>
      <c r="M114" s="20" t="n"/>
      <c r="N114" s="20" t="n"/>
      <c r="O114" s="20" t="n"/>
      <c r="P114" s="20" t="n"/>
      <c r="Q114" s="20" t="n"/>
      <c r="R114" s="20" t="n"/>
      <c r="S114" s="20" t="n"/>
      <c r="T114" s="20" t="n"/>
      <c r="U114" s="20" t="n"/>
      <c r="V114" s="20" t="n"/>
      <c r="W114" s="20" t="n"/>
      <c r="X114" s="20" t="n"/>
    </row>
    <row r="115"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  <c r="X115" s="20" t="n"/>
    </row>
    <row r="116">
      <c r="E116" s="20" t="n"/>
      <c r="F116" s="20" t="n"/>
      <c r="G116" s="20" t="n"/>
      <c r="H116" s="20" t="n"/>
      <c r="I116" s="20" t="n"/>
      <c r="J116" s="20" t="n"/>
      <c r="K116" s="20" t="n"/>
      <c r="L116" s="20" t="n"/>
      <c r="M116" s="20" t="n"/>
      <c r="N116" s="20" t="n"/>
      <c r="O116" s="20" t="n"/>
      <c r="P116" s="20" t="n"/>
      <c r="Q116" s="20" t="n"/>
      <c r="R116" s="20" t="n"/>
      <c r="S116" s="20" t="n"/>
      <c r="T116" s="20" t="n"/>
      <c r="U116" s="20" t="n"/>
      <c r="V116" s="20" t="n"/>
      <c r="W116" s="20" t="n"/>
      <c r="X116" s="20" t="n"/>
    </row>
    <row r="117">
      <c r="E117" s="20" t="n"/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</row>
    <row r="118">
      <c r="E118" s="20" t="n"/>
      <c r="F118" s="20" t="n"/>
      <c r="G118" s="20" t="n"/>
      <c r="H118" s="20" t="n"/>
      <c r="I118" s="20" t="n"/>
      <c r="J118" s="20" t="n"/>
      <c r="K118" s="20" t="n"/>
      <c r="L118" s="20" t="n"/>
      <c r="M118" s="20" t="n"/>
      <c r="N118" s="20" t="n"/>
      <c r="O118" s="20" t="n"/>
      <c r="P118" s="20" t="n"/>
      <c r="Q118" s="20" t="n"/>
      <c r="R118" s="20" t="n"/>
      <c r="S118" s="20" t="n"/>
      <c r="T118" s="20" t="n"/>
      <c r="U118" s="20" t="n"/>
      <c r="V118" s="20" t="n"/>
      <c r="W118" s="20" t="n"/>
      <c r="X118" s="20" t="n"/>
    </row>
    <row r="119"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</row>
    <row r="120">
      <c r="E120" s="20" t="n"/>
      <c r="F120" s="20" t="n"/>
      <c r="G120" s="20" t="n"/>
      <c r="H120" s="20" t="n"/>
      <c r="I120" s="20" t="n"/>
      <c r="J120" s="20" t="n"/>
      <c r="K120" s="20" t="n"/>
      <c r="L120" s="20" t="n"/>
      <c r="M120" s="20" t="n"/>
      <c r="N120" s="20" t="n"/>
      <c r="O120" s="20" t="n"/>
      <c r="P120" s="20" t="n"/>
      <c r="Q120" s="20" t="n"/>
      <c r="R120" s="20" t="n"/>
      <c r="S120" s="20" t="n"/>
      <c r="T120" s="20" t="n"/>
      <c r="U120" s="20" t="n"/>
      <c r="V120" s="20" t="n"/>
      <c r="W120" s="20" t="n"/>
      <c r="X120" s="20" t="n"/>
    </row>
    <row r="121"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</row>
    <row r="122">
      <c r="E122" s="20" t="n"/>
      <c r="F122" s="20" t="n"/>
      <c r="G122" s="20" t="n"/>
      <c r="H122" s="20" t="n"/>
      <c r="I122" s="20" t="n"/>
      <c r="J122" s="20" t="n"/>
      <c r="K122" s="20" t="n"/>
      <c r="L122" s="20" t="n"/>
      <c r="M122" s="20" t="n"/>
      <c r="N122" s="20" t="n"/>
      <c r="O122" s="20" t="n"/>
      <c r="P122" s="20" t="n"/>
      <c r="Q122" s="20" t="n"/>
      <c r="R122" s="20" t="n"/>
      <c r="S122" s="20" t="n"/>
      <c r="T122" s="20" t="n"/>
      <c r="U122" s="20" t="n"/>
      <c r="V122" s="20" t="n"/>
      <c r="W122" s="20" t="n"/>
      <c r="X122" s="20" t="n"/>
    </row>
    <row r="123"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</row>
    <row r="124"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  <c r="X124" s="20" t="n"/>
    </row>
    <row r="125"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</row>
    <row r="126"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0" t="n"/>
      <c r="X126" s="20" t="n"/>
    </row>
    <row r="127"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</row>
    <row r="128">
      <c r="E128" s="20" t="n"/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0" t="n"/>
      <c r="X128" s="20" t="n"/>
    </row>
    <row r="129"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</row>
    <row r="130">
      <c r="E130" s="20" t="n"/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  <c r="W130" s="20" t="n"/>
      <c r="X130" s="20" t="n"/>
    </row>
    <row r="131"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</row>
    <row r="132">
      <c r="E132" s="20" t="n"/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  <c r="W132" s="20" t="n"/>
      <c r="X132" s="20" t="n"/>
    </row>
    <row r="133"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</row>
    <row r="134">
      <c r="E134" s="20" t="n"/>
      <c r="F134" s="20" t="n"/>
      <c r="G134" s="20" t="n"/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  <c r="W134" s="20" t="n"/>
      <c r="X134" s="20" t="n"/>
    </row>
    <row r="135"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</row>
    <row r="136">
      <c r="E136" s="20" t="n"/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  <c r="X136" s="20" t="n"/>
    </row>
    <row r="137"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</row>
    <row r="138">
      <c r="E138" s="20" t="n"/>
      <c r="F138" s="20" t="n"/>
      <c r="G138" s="20" t="n"/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n"/>
      <c r="W138" s="20" t="n"/>
      <c r="X138" s="20" t="n"/>
    </row>
    <row r="139"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</row>
    <row r="140">
      <c r="E140" s="20" t="n"/>
      <c r="F140" s="20" t="n"/>
      <c r="G140" s="20" t="n"/>
      <c r="H140" s="20" t="n"/>
      <c r="I140" s="20" t="n"/>
      <c r="J140" s="20" t="n"/>
      <c r="K140" s="20" t="n"/>
      <c r="L140" s="20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n"/>
      <c r="W140" s="20" t="n"/>
      <c r="X140" s="20" t="n"/>
    </row>
    <row r="141">
      <c r="E141" s="20" t="n"/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  <c r="X141" s="20" t="n"/>
    </row>
    <row r="142">
      <c r="E142" s="20" t="n"/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20" t="n"/>
      <c r="P142" s="20" t="n"/>
      <c r="Q142" s="20" t="n"/>
      <c r="R142" s="20" t="n"/>
      <c r="S142" s="20" t="n"/>
      <c r="T142" s="20" t="n"/>
      <c r="U142" s="20" t="n"/>
      <c r="V142" s="20" t="n"/>
      <c r="W142" s="20" t="n"/>
      <c r="X142" s="20" t="n"/>
    </row>
    <row r="143"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</row>
    <row r="144">
      <c r="E144" s="20" t="n"/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n"/>
      <c r="W144" s="20" t="n"/>
      <c r="X144" s="20" t="n"/>
    </row>
    <row r="145"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</row>
    <row r="146">
      <c r="E146" s="20" t="n"/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n"/>
      <c r="O146" s="20" t="n"/>
      <c r="P146" s="20" t="n"/>
      <c r="Q146" s="20" t="n"/>
      <c r="R146" s="20" t="n"/>
      <c r="S146" s="20" t="n"/>
      <c r="T146" s="20" t="n"/>
      <c r="U146" s="20" t="n"/>
      <c r="V146" s="20" t="n"/>
      <c r="W146" s="20" t="n"/>
      <c r="X146" s="20" t="n"/>
    </row>
    <row r="147"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  <c r="X147" s="20" t="n"/>
    </row>
  </sheetData>
  <mergeCells count="26">
    <mergeCell ref="I34:J34"/>
    <mergeCell ref="O3:P3"/>
    <mergeCell ref="U34:V34"/>
    <mergeCell ref="K34:L34"/>
    <mergeCell ref="Q3:R3"/>
    <mergeCell ref="W34:X34"/>
    <mergeCell ref="M34:N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AK147"/>
  <sheetViews>
    <sheetView workbookViewId="0">
      <selection activeCell="D6" sqref="D6"/>
    </sheetView>
  </sheetViews>
  <sheetFormatPr baseColWidth="8" defaultRowHeight="16.5"/>
  <cols>
    <col width="13" customWidth="1" min="4" max="4"/>
  </cols>
  <sheetData>
    <row r="1"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</row>
    <row r="2">
      <c r="C2" t="inlineStr">
        <is>
          <t>Conc.</t>
        </is>
      </c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Z2" t="inlineStr">
        <is>
          <t>OD</t>
        </is>
      </c>
    </row>
    <row r="3">
      <c r="B3" s="17" t="inlineStr">
        <is>
          <t>Equine Type</t>
        </is>
      </c>
      <c r="C3" s="18" t="n"/>
      <c r="D3" s="3" t="n"/>
      <c r="E3" s="484" t="inlineStr">
        <is>
          <t>marker 1</t>
        </is>
      </c>
      <c r="F3" s="3" t="n"/>
      <c r="G3" s="484" t="inlineStr">
        <is>
          <t>marker 2</t>
        </is>
      </c>
      <c r="H3" s="3" t="n"/>
      <c r="I3" s="484" t="inlineStr">
        <is>
          <t>marker 3</t>
        </is>
      </c>
      <c r="J3" s="3" t="n"/>
      <c r="K3" s="484" t="inlineStr">
        <is>
          <t>marker 4</t>
        </is>
      </c>
      <c r="L3" s="3" t="n"/>
      <c r="M3" s="484" t="inlineStr">
        <is>
          <t>marker 5</t>
        </is>
      </c>
      <c r="N3" s="3" t="n"/>
      <c r="O3" s="484" t="inlineStr">
        <is>
          <t>marker 6</t>
        </is>
      </c>
      <c r="P3" s="3" t="n"/>
      <c r="Q3" s="484" t="inlineStr">
        <is>
          <t>marker 7</t>
        </is>
      </c>
      <c r="R3" s="3" t="n"/>
      <c r="S3" s="484" t="inlineStr">
        <is>
          <t>marker 8</t>
        </is>
      </c>
      <c r="T3" s="3" t="n"/>
      <c r="U3" s="484" t="inlineStr">
        <is>
          <t>marker 9</t>
        </is>
      </c>
      <c r="V3" s="3" t="n"/>
      <c r="W3" s="484" t="inlineStr">
        <is>
          <t>marker 10</t>
        </is>
      </c>
      <c r="X3" s="3" t="n"/>
      <c r="Z3" s="1" t="n"/>
      <c r="AA3" s="1" t="inlineStr">
        <is>
          <t>marker 1</t>
        </is>
      </c>
      <c r="AB3" s="1" t="inlineStr">
        <is>
          <t>marker 2</t>
        </is>
      </c>
      <c r="AC3" s="1" t="inlineStr">
        <is>
          <t>marker 3</t>
        </is>
      </c>
      <c r="AD3" s="1" t="inlineStr">
        <is>
          <t>marker 4</t>
        </is>
      </c>
      <c r="AE3" s="1" t="inlineStr">
        <is>
          <t>marker 5</t>
        </is>
      </c>
      <c r="AF3" s="1" t="inlineStr">
        <is>
          <t>marker 6</t>
        </is>
      </c>
      <c r="AG3" s="1" t="inlineStr">
        <is>
          <t>marker 7</t>
        </is>
      </c>
      <c r="AH3" s="1" t="inlineStr">
        <is>
          <t>marker 8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7" t="n"/>
      <c r="C4" s="18" t="n"/>
      <c r="D4" s="30" t="n"/>
      <c r="E4" s="478" t="inlineStr">
        <is>
          <t>marker 1(原線)</t>
        </is>
      </c>
      <c r="F4" s="31" t="inlineStr">
        <is>
          <t>marker 1
換線後</t>
        </is>
      </c>
      <c r="G4" s="478" t="inlineStr">
        <is>
          <t>marker 2(原線)</t>
        </is>
      </c>
      <c r="H4" s="31" t="inlineStr">
        <is>
          <t>marker 2
換線後</t>
        </is>
      </c>
      <c r="I4" s="478" t="inlineStr">
        <is>
          <t>marker 3(原線)</t>
        </is>
      </c>
      <c r="J4" s="31" t="inlineStr">
        <is>
          <t>marker 3
換線後</t>
        </is>
      </c>
      <c r="K4" s="478" t="inlineStr">
        <is>
          <t>marker 4(原線)</t>
        </is>
      </c>
      <c r="L4" s="31" t="inlineStr">
        <is>
          <t>marker 4
換線後</t>
        </is>
      </c>
      <c r="M4" s="478" t="inlineStr">
        <is>
          <t>marker 5(原線)</t>
        </is>
      </c>
      <c r="N4" s="31" t="inlineStr">
        <is>
          <t>marker 5
換線後</t>
        </is>
      </c>
      <c r="O4" s="478" t="inlineStr">
        <is>
          <t>marker 6(原線)</t>
        </is>
      </c>
      <c r="P4" s="31" t="inlineStr">
        <is>
          <t>marker 6
換線後</t>
        </is>
      </c>
      <c r="Q4" s="478" t="inlineStr">
        <is>
          <t>marker 7(原線)</t>
        </is>
      </c>
      <c r="R4" s="31" t="inlineStr">
        <is>
          <t>marker 7
換線後</t>
        </is>
      </c>
      <c r="S4" s="478" t="inlineStr">
        <is>
          <t>marker 8(原線)</t>
        </is>
      </c>
      <c r="T4" s="31" t="inlineStr">
        <is>
          <t>marker 8
換線後</t>
        </is>
      </c>
      <c r="U4" s="478" t="inlineStr">
        <is>
          <t>marker 9(原線)</t>
        </is>
      </c>
      <c r="V4" s="31" t="inlineStr">
        <is>
          <t>marker 9
換線後</t>
        </is>
      </c>
      <c r="W4" s="478" t="inlineStr">
        <is>
          <t>marker 10(原線)</t>
        </is>
      </c>
      <c r="X4" s="31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B5" s="2" t="n"/>
      <c r="C5" s="1" t="n"/>
      <c r="D5" s="15" t="n"/>
      <c r="E5" s="484" t="n"/>
      <c r="F5" s="33" t="n"/>
      <c r="G5" s="484" t="n"/>
      <c r="H5" s="33" t="n"/>
      <c r="I5" s="484" t="n"/>
      <c r="J5" s="33" t="n"/>
      <c r="K5" s="484" t="n"/>
      <c r="L5" s="33" t="n"/>
      <c r="M5" s="484" t="n"/>
      <c r="N5" s="33" t="n"/>
      <c r="O5" s="484" t="n"/>
      <c r="P5" s="33" t="n"/>
      <c r="Q5" s="484" t="n"/>
      <c r="R5" s="33" t="n"/>
      <c r="S5" s="484" t="n"/>
      <c r="T5" s="33" t="n"/>
      <c r="U5" s="484" t="n"/>
      <c r="V5" s="33" t="n"/>
      <c r="W5" s="484" t="n"/>
      <c r="X5" s="33" t="n"/>
      <c r="Z5" s="15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3" t="n"/>
    </row>
    <row r="6">
      <c r="B6" s="2" t="n"/>
      <c r="C6" s="1" t="n"/>
      <c r="D6" s="16" t="n"/>
      <c r="E6" s="32" t="n"/>
      <c r="F6" s="34" t="n"/>
      <c r="G6" s="32" t="n"/>
      <c r="H6" s="34" t="n"/>
      <c r="I6" s="32" t="n"/>
      <c r="J6" s="34" t="n"/>
      <c r="K6" s="32" t="n"/>
      <c r="L6" s="34" t="n"/>
      <c r="M6" s="32" t="n"/>
      <c r="N6" s="34" t="n"/>
      <c r="O6" s="32" t="n"/>
      <c r="P6" s="34" t="n"/>
      <c r="Q6" s="32" t="n"/>
      <c r="R6" s="34" t="n"/>
      <c r="S6" s="32" t="n"/>
      <c r="T6" s="34" t="n"/>
      <c r="U6" s="32" t="n"/>
      <c r="V6" s="34" t="n"/>
      <c r="W6" s="32" t="n"/>
      <c r="X6" s="34" t="n"/>
      <c r="Z6" s="16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3" t="n"/>
    </row>
    <row r="7">
      <c r="B7" s="2" t="n"/>
      <c r="C7" s="1" t="n"/>
      <c r="D7" s="16" t="n"/>
      <c r="E7" s="484" t="n"/>
      <c r="F7" s="33" t="n"/>
      <c r="G7" s="484" t="n"/>
      <c r="H7" s="33" t="n"/>
      <c r="I7" s="484" t="n"/>
      <c r="J7" s="33" t="n"/>
      <c r="K7" s="484" t="n"/>
      <c r="L7" s="33" t="n"/>
      <c r="M7" s="484" t="n"/>
      <c r="N7" s="33" t="n"/>
      <c r="O7" s="484" t="n"/>
      <c r="P7" s="33" t="n"/>
      <c r="Q7" s="484" t="n"/>
      <c r="R7" s="33" t="n"/>
      <c r="S7" s="484" t="n"/>
      <c r="T7" s="33" t="n"/>
      <c r="U7" s="484" t="n"/>
      <c r="V7" s="33" t="n"/>
      <c r="W7" s="484" t="n"/>
      <c r="X7" s="33" t="n"/>
      <c r="Z7" s="16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3" t="n"/>
    </row>
    <row r="8">
      <c r="B8" s="17" t="n"/>
      <c r="C8" s="1" t="n"/>
      <c r="D8" s="16" t="n"/>
      <c r="E8" s="484" t="n"/>
      <c r="F8" s="33" t="n"/>
      <c r="G8" s="484" t="n"/>
      <c r="H8" s="33" t="n"/>
      <c r="I8" s="484" t="n"/>
      <c r="J8" s="33" t="n"/>
      <c r="K8" s="484" t="n"/>
      <c r="L8" s="33" t="n"/>
      <c r="M8" s="484" t="n"/>
      <c r="N8" s="33" t="n"/>
      <c r="O8" s="484" t="n"/>
      <c r="P8" s="33" t="n"/>
      <c r="Q8" s="484" t="n"/>
      <c r="R8" s="33" t="n"/>
      <c r="S8" s="484" t="n"/>
      <c r="T8" s="33" t="n"/>
      <c r="U8" s="484" t="n"/>
      <c r="V8" s="33" t="n"/>
      <c r="W8" s="484" t="n"/>
      <c r="X8" s="33" t="n"/>
      <c r="Z8" s="16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3" t="n"/>
    </row>
    <row r="9">
      <c r="B9" s="484" t="inlineStr">
        <is>
          <t>Equine 1</t>
        </is>
      </c>
      <c r="C9" s="19" t="inlineStr">
        <is>
          <t>Mean</t>
        </is>
      </c>
      <c r="D9" s="3" t="n"/>
      <c r="E9" s="484" t="n"/>
      <c r="F9" s="35" t="n"/>
      <c r="G9" s="484" t="n"/>
      <c r="H9" s="35" t="n"/>
      <c r="I9" s="484" t="n"/>
      <c r="J9" s="35" t="n"/>
      <c r="K9" s="484" t="n"/>
      <c r="L9" s="35" t="n"/>
      <c r="M9" s="484" t="n"/>
      <c r="N9" s="35" t="n"/>
      <c r="O9" s="484" t="n"/>
      <c r="P9" s="35" t="n"/>
      <c r="Q9" s="484" t="n"/>
      <c r="R9" s="35" t="n"/>
      <c r="S9" s="484" t="n"/>
      <c r="T9" s="35" t="n"/>
      <c r="U9" s="484" t="n"/>
      <c r="V9" s="35" t="n"/>
      <c r="W9" s="484" t="n"/>
      <c r="X9" s="35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3" t="n"/>
    </row>
    <row r="10">
      <c r="B10" s="567" t="n"/>
      <c r="C10" s="3" t="inlineStr">
        <is>
          <t>Bias</t>
        </is>
      </c>
      <c r="D10" s="3" t="n"/>
      <c r="E10" s="484" t="n"/>
      <c r="F10" s="35" t="n"/>
      <c r="G10" s="484" t="n"/>
      <c r="H10" s="35" t="n"/>
      <c r="I10" s="484" t="n"/>
      <c r="J10" s="35" t="n"/>
      <c r="K10" s="484" t="n"/>
      <c r="L10" s="35" t="n"/>
      <c r="M10" s="484" t="n"/>
      <c r="N10" s="35" t="n"/>
      <c r="O10" s="484" t="n"/>
      <c r="P10" s="35" t="n"/>
      <c r="Q10" s="484" t="n"/>
      <c r="R10" s="35" t="n"/>
      <c r="S10" s="484" t="n"/>
      <c r="T10" s="35" t="n"/>
      <c r="U10" s="484" t="n"/>
      <c r="V10" s="35" t="n"/>
      <c r="W10" s="484" t="n"/>
      <c r="X10" s="35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3" t="n"/>
    </row>
    <row r="11">
      <c r="B11" s="568" t="n"/>
      <c r="C11" s="3" t="inlineStr">
        <is>
          <t>CV%</t>
        </is>
      </c>
      <c r="D11" s="3" t="n"/>
      <c r="E11" s="484" t="n"/>
      <c r="F11" s="35" t="n"/>
      <c r="G11" s="484" t="n"/>
      <c r="H11" s="35" t="n"/>
      <c r="I11" s="484" t="n"/>
      <c r="J11" s="35" t="n"/>
      <c r="K11" s="484" t="n"/>
      <c r="L11" s="35" t="n"/>
      <c r="M11" s="484" t="n"/>
      <c r="N11" s="35" t="n"/>
      <c r="O11" s="484" t="n"/>
      <c r="P11" s="35" t="n"/>
      <c r="Q11" s="484" t="n"/>
      <c r="R11" s="35" t="n"/>
      <c r="S11" s="484" t="n"/>
      <c r="T11" s="35" t="n"/>
      <c r="U11" s="484" t="n"/>
      <c r="V11" s="35" t="n"/>
      <c r="W11" s="484" t="n"/>
      <c r="X11" s="35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3" t="n"/>
    </row>
    <row r="12">
      <c r="B12" s="483" t="inlineStr">
        <is>
          <t>Equine 2</t>
        </is>
      </c>
      <c r="C12" s="3" t="inlineStr">
        <is>
          <t>Mean</t>
        </is>
      </c>
      <c r="D12" s="3" t="n"/>
      <c r="E12" s="484" t="n"/>
      <c r="F12" s="35" t="n"/>
      <c r="G12" s="484" t="n"/>
      <c r="H12" s="35" t="n"/>
      <c r="I12" s="484" t="n"/>
      <c r="J12" s="35" t="n"/>
      <c r="K12" s="484" t="n"/>
      <c r="L12" s="35" t="n"/>
      <c r="M12" s="484" t="n"/>
      <c r="N12" s="35" t="n"/>
      <c r="O12" s="484" t="n"/>
      <c r="P12" s="35" t="n"/>
      <c r="Q12" s="484" t="n"/>
      <c r="R12" s="35" t="n"/>
      <c r="S12" s="484" t="n"/>
      <c r="T12" s="35" t="n"/>
      <c r="U12" s="484" t="n"/>
      <c r="V12" s="35" t="n"/>
      <c r="W12" s="484" t="n"/>
      <c r="X12" s="35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3" t="n"/>
    </row>
    <row r="13">
      <c r="B13" s="567" t="n"/>
      <c r="C13" s="3" t="inlineStr">
        <is>
          <t>Bias</t>
        </is>
      </c>
      <c r="D13" s="3" t="n"/>
      <c r="E13" s="484" t="n"/>
      <c r="F13" s="35" t="n"/>
      <c r="G13" s="484" t="n"/>
      <c r="H13" s="35" t="n"/>
      <c r="I13" s="484" t="n"/>
      <c r="J13" s="35" t="n"/>
      <c r="K13" s="484" t="n"/>
      <c r="L13" s="35" t="n"/>
      <c r="M13" s="484" t="n"/>
      <c r="N13" s="35" t="n"/>
      <c r="O13" s="484" t="n"/>
      <c r="P13" s="35" t="n"/>
      <c r="Q13" s="484" t="n"/>
      <c r="R13" s="35" t="n"/>
      <c r="S13" s="484" t="n"/>
      <c r="T13" s="35" t="n"/>
      <c r="U13" s="484" t="n"/>
      <c r="V13" s="35" t="n"/>
      <c r="W13" s="484" t="n"/>
      <c r="X13" s="35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3" t="n"/>
    </row>
    <row r="14">
      <c r="B14" s="567" t="n"/>
      <c r="C14" s="3" t="inlineStr">
        <is>
          <t>CV%</t>
        </is>
      </c>
      <c r="D14" s="3" t="n"/>
      <c r="E14" s="484" t="n"/>
      <c r="F14" s="35" t="n"/>
      <c r="G14" s="484" t="n"/>
      <c r="H14" s="35" t="n"/>
      <c r="I14" s="484" t="n"/>
      <c r="J14" s="35" t="n"/>
      <c r="K14" s="484" t="n"/>
      <c r="L14" s="35" t="n"/>
      <c r="M14" s="484" t="n"/>
      <c r="N14" s="35" t="n"/>
      <c r="O14" s="484" t="n"/>
      <c r="P14" s="35" t="n"/>
      <c r="Q14" s="484" t="n"/>
      <c r="R14" s="35" t="n"/>
      <c r="S14" s="484" t="n"/>
      <c r="T14" s="35" t="n"/>
      <c r="U14" s="484" t="n"/>
      <c r="V14" s="35" t="n"/>
      <c r="W14" s="484" t="n"/>
      <c r="X14" s="35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3" t="n"/>
    </row>
    <row r="15">
      <c r="B15" s="568" t="n"/>
      <c r="C15" s="3" t="inlineStr">
        <is>
          <t>Mean</t>
        </is>
      </c>
      <c r="D15" s="3" t="n"/>
      <c r="E15" s="484" t="n"/>
      <c r="F15" s="35" t="n"/>
      <c r="G15" s="484" t="n"/>
      <c r="H15" s="35" t="n"/>
      <c r="I15" s="484" t="n"/>
      <c r="J15" s="35" t="n"/>
      <c r="K15" s="484" t="n"/>
      <c r="L15" s="35" t="n"/>
      <c r="M15" s="484" t="n"/>
      <c r="N15" s="35" t="n"/>
      <c r="O15" s="484" t="n"/>
      <c r="P15" s="35" t="n"/>
      <c r="Q15" s="484" t="n"/>
      <c r="R15" s="35" t="n"/>
      <c r="S15" s="484" t="n"/>
      <c r="T15" s="35" t="n"/>
      <c r="U15" s="484" t="n"/>
      <c r="V15" s="35" t="n"/>
      <c r="W15" s="484" t="n"/>
      <c r="X15" s="35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3" t="n"/>
    </row>
    <row r="16">
      <c r="B16" s="484" t="inlineStr">
        <is>
          <t>Equine 3</t>
        </is>
      </c>
      <c r="C16" s="3" t="inlineStr">
        <is>
          <t>Bias</t>
        </is>
      </c>
      <c r="D16" s="3" t="n"/>
      <c r="E16" s="484" t="n"/>
      <c r="F16" s="35" t="n"/>
      <c r="G16" s="484" t="n"/>
      <c r="H16" s="35" t="n"/>
      <c r="I16" s="484" t="n"/>
      <c r="J16" s="35" t="n"/>
      <c r="K16" s="484" t="n"/>
      <c r="L16" s="35" t="n"/>
      <c r="M16" s="484" t="n"/>
      <c r="N16" s="35" t="n"/>
      <c r="O16" s="484" t="n"/>
      <c r="P16" s="35" t="n"/>
      <c r="Q16" s="484" t="n"/>
      <c r="R16" s="35" t="n"/>
      <c r="S16" s="484" t="n"/>
      <c r="T16" s="35" t="n"/>
      <c r="U16" s="484" t="n"/>
      <c r="V16" s="35" t="n"/>
      <c r="W16" s="484" t="n"/>
      <c r="X16" s="35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3" t="n"/>
    </row>
    <row r="17">
      <c r="B17" s="567" t="n"/>
      <c r="C17" s="3" t="inlineStr">
        <is>
          <t>CV%</t>
        </is>
      </c>
      <c r="D17" s="3" t="n"/>
      <c r="E17" s="484" t="n"/>
      <c r="F17" s="35" t="n"/>
      <c r="G17" s="484" t="n"/>
      <c r="H17" s="35" t="n"/>
      <c r="I17" s="484" t="n"/>
      <c r="J17" s="35" t="n"/>
      <c r="K17" s="484" t="n"/>
      <c r="L17" s="35" t="n"/>
      <c r="M17" s="484" t="n"/>
      <c r="N17" s="35" t="n"/>
      <c r="O17" s="484" t="n"/>
      <c r="P17" s="35" t="n"/>
      <c r="Q17" s="484" t="n"/>
      <c r="R17" s="35" t="n"/>
      <c r="S17" s="484" t="n"/>
      <c r="T17" s="35" t="n"/>
      <c r="U17" s="484" t="n"/>
      <c r="V17" s="35" t="n"/>
      <c r="W17" s="484" t="n"/>
      <c r="X17" s="35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3" t="n"/>
    </row>
    <row r="18">
      <c r="B18" s="568" t="n"/>
      <c r="C18" s="3" t="inlineStr">
        <is>
          <t>Mean</t>
        </is>
      </c>
      <c r="D18" s="3" t="n"/>
      <c r="E18" s="484" t="n"/>
      <c r="F18" s="35" t="n"/>
      <c r="G18" s="484" t="n"/>
      <c r="H18" s="35" t="n"/>
      <c r="I18" s="484" t="n"/>
      <c r="J18" s="35" t="n"/>
      <c r="K18" s="484" t="n"/>
      <c r="L18" s="35" t="n"/>
      <c r="M18" s="484" t="n"/>
      <c r="N18" s="35" t="n"/>
      <c r="O18" s="484" t="n"/>
      <c r="P18" s="35" t="n"/>
      <c r="Q18" s="484" t="n"/>
      <c r="R18" s="35" t="n"/>
      <c r="S18" s="484" t="n"/>
      <c r="T18" s="35" t="n"/>
      <c r="U18" s="484" t="n"/>
      <c r="V18" s="35" t="n"/>
      <c r="W18" s="484" t="n"/>
      <c r="X18" s="35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3" t="n"/>
    </row>
    <row r="19">
      <c r="B19" s="483" t="inlineStr">
        <is>
          <t>Equine 4</t>
        </is>
      </c>
      <c r="C19" s="3" t="inlineStr">
        <is>
          <t>Bias</t>
        </is>
      </c>
      <c r="D19" s="3" t="n"/>
      <c r="E19" s="484" t="n"/>
      <c r="F19" s="35" t="n"/>
      <c r="G19" s="484" t="n"/>
      <c r="H19" s="35" t="n"/>
      <c r="I19" s="484" t="n"/>
      <c r="J19" s="35" t="n"/>
      <c r="K19" s="484" t="n"/>
      <c r="L19" s="35" t="n"/>
      <c r="M19" s="484" t="n"/>
      <c r="N19" s="35" t="n"/>
      <c r="O19" s="484" t="n"/>
      <c r="P19" s="35" t="n"/>
      <c r="Q19" s="484" t="n"/>
      <c r="R19" s="35" t="n"/>
      <c r="S19" s="484" t="n"/>
      <c r="T19" s="35" t="n"/>
      <c r="U19" s="484" t="n"/>
      <c r="V19" s="35" t="n"/>
      <c r="W19" s="484" t="n"/>
      <c r="X19" s="35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3" t="n"/>
    </row>
    <row r="20">
      <c r="B20" s="567" t="n"/>
      <c r="C20" s="3" t="inlineStr">
        <is>
          <t>CV%</t>
        </is>
      </c>
      <c r="D20" s="3" t="n"/>
      <c r="E20" s="484" t="n"/>
      <c r="F20" s="35" t="n"/>
      <c r="G20" s="484" t="n"/>
      <c r="H20" s="35" t="n"/>
      <c r="I20" s="484" t="n"/>
      <c r="J20" s="35" t="n"/>
      <c r="K20" s="484" t="n"/>
      <c r="L20" s="35" t="n"/>
      <c r="M20" s="484" t="n"/>
      <c r="N20" s="35" t="n"/>
      <c r="O20" s="484" t="n"/>
      <c r="P20" s="35" t="n"/>
      <c r="Q20" s="484" t="n"/>
      <c r="R20" s="35" t="n"/>
      <c r="S20" s="484" t="n"/>
      <c r="T20" s="35" t="n"/>
      <c r="U20" s="484" t="n"/>
      <c r="V20" s="35" t="n"/>
      <c r="W20" s="484" t="n"/>
      <c r="X20" s="35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3" t="n"/>
    </row>
    <row r="21">
      <c r="B21" s="567" t="n"/>
      <c r="C21" s="3" t="inlineStr">
        <is>
          <t>Mean</t>
        </is>
      </c>
      <c r="D21" s="3" t="n"/>
      <c r="E21" s="484" t="n"/>
      <c r="F21" s="35" t="n"/>
      <c r="G21" s="484" t="n"/>
      <c r="H21" s="35" t="n"/>
      <c r="I21" s="484" t="n"/>
      <c r="J21" s="35" t="n"/>
      <c r="K21" s="484" t="n"/>
      <c r="L21" s="35" t="n"/>
      <c r="M21" s="484" t="n"/>
      <c r="N21" s="35" t="n"/>
      <c r="O21" s="484" t="n"/>
      <c r="P21" s="35" t="n"/>
      <c r="Q21" s="484" t="n"/>
      <c r="R21" s="35" t="n"/>
      <c r="S21" s="484" t="n"/>
      <c r="T21" s="35" t="n"/>
      <c r="U21" s="484" t="n"/>
      <c r="V21" s="35" t="n"/>
      <c r="W21" s="484" t="n"/>
      <c r="X21" s="35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3" t="n"/>
    </row>
    <row r="22">
      <c r="B22" s="568" t="n"/>
      <c r="C22" s="3" t="inlineStr">
        <is>
          <t>Bias</t>
        </is>
      </c>
      <c r="D22" s="3" t="n"/>
      <c r="E22" s="484" t="n"/>
      <c r="F22" s="35" t="n"/>
      <c r="G22" s="484" t="n"/>
      <c r="H22" s="35" t="n"/>
      <c r="I22" s="484" t="n"/>
      <c r="J22" s="35" t="n"/>
      <c r="K22" s="484" t="n"/>
      <c r="L22" s="35" t="n"/>
      <c r="M22" s="484" t="n"/>
      <c r="N22" s="35" t="n"/>
      <c r="O22" s="484" t="n"/>
      <c r="P22" s="35" t="n"/>
      <c r="Q22" s="484" t="n"/>
      <c r="R22" s="35" t="n"/>
      <c r="S22" s="484" t="n"/>
      <c r="T22" s="35" t="n"/>
      <c r="U22" s="484" t="n"/>
      <c r="V22" s="35" t="n"/>
      <c r="W22" s="484" t="n"/>
      <c r="X22" s="35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3" t="n"/>
    </row>
    <row r="23">
      <c r="B23" s="484" t="inlineStr">
        <is>
          <t>Equine 5</t>
        </is>
      </c>
      <c r="C23" s="3" t="inlineStr">
        <is>
          <t>CV%</t>
        </is>
      </c>
      <c r="D23" s="3" t="n"/>
      <c r="E23" s="484" t="n"/>
      <c r="F23" s="35" t="n"/>
      <c r="G23" s="484" t="n"/>
      <c r="H23" s="35" t="n"/>
      <c r="I23" s="484" t="n"/>
      <c r="J23" s="35" t="n"/>
      <c r="K23" s="484" t="n"/>
      <c r="L23" s="35" t="n"/>
      <c r="M23" s="484" t="n"/>
      <c r="N23" s="35" t="n"/>
      <c r="O23" s="484" t="n"/>
      <c r="P23" s="35" t="n"/>
      <c r="Q23" s="484" t="n"/>
      <c r="R23" s="35" t="n"/>
      <c r="S23" s="484" t="n"/>
      <c r="T23" s="35" t="n"/>
      <c r="U23" s="484" t="n"/>
      <c r="V23" s="35" t="n"/>
      <c r="W23" s="484" t="n"/>
      <c r="X23" s="35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3" t="n"/>
    </row>
    <row r="24">
      <c r="B24" s="567" t="n"/>
      <c r="C24" s="3" t="inlineStr">
        <is>
          <t>Mean</t>
        </is>
      </c>
      <c r="D24" s="3" t="n"/>
      <c r="E24" s="484" t="n"/>
      <c r="F24" s="35" t="n"/>
      <c r="G24" s="484" t="n"/>
      <c r="H24" s="35" t="n"/>
      <c r="I24" s="484" t="n"/>
      <c r="J24" s="35" t="n"/>
      <c r="K24" s="484" t="n"/>
      <c r="L24" s="35" t="n"/>
      <c r="M24" s="484" t="n"/>
      <c r="N24" s="35" t="n"/>
      <c r="O24" s="484" t="n"/>
      <c r="P24" s="35" t="n"/>
      <c r="Q24" s="484" t="n"/>
      <c r="R24" s="35" t="n"/>
      <c r="S24" s="484" t="n"/>
      <c r="T24" s="35" t="n"/>
      <c r="U24" s="484" t="n"/>
      <c r="V24" s="35" t="n"/>
      <c r="W24" s="484" t="n"/>
      <c r="X24" s="35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3" t="n"/>
    </row>
    <row r="25">
      <c r="B25" s="568" t="n"/>
      <c r="C25" s="3" t="inlineStr">
        <is>
          <t>Bias</t>
        </is>
      </c>
      <c r="D25" s="3" t="n"/>
      <c r="E25" s="484" t="n"/>
      <c r="F25" s="35" t="n"/>
      <c r="G25" s="484" t="n"/>
      <c r="H25" s="35" t="n"/>
      <c r="I25" s="484" t="n"/>
      <c r="J25" s="35" t="n"/>
      <c r="K25" s="484" t="n"/>
      <c r="L25" s="35" t="n"/>
      <c r="M25" s="484" t="n"/>
      <c r="N25" s="35" t="n"/>
      <c r="O25" s="484" t="n"/>
      <c r="P25" s="35" t="n"/>
      <c r="Q25" s="484" t="n"/>
      <c r="R25" s="35" t="n"/>
      <c r="S25" s="484" t="n"/>
      <c r="T25" s="35" t="n"/>
      <c r="U25" s="484" t="n"/>
      <c r="V25" s="35" t="n"/>
      <c r="W25" s="484" t="n"/>
      <c r="X25" s="35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3" t="n"/>
    </row>
    <row r="26">
      <c r="B26" s="483" t="inlineStr">
        <is>
          <t>Equine 6</t>
        </is>
      </c>
      <c r="C26" s="3" t="inlineStr">
        <is>
          <t>CV%</t>
        </is>
      </c>
      <c r="D26" s="3" t="n"/>
      <c r="E26" s="484" t="n"/>
      <c r="F26" s="35" t="n"/>
      <c r="G26" s="484" t="n"/>
      <c r="H26" s="35" t="n"/>
      <c r="I26" s="484" t="n"/>
      <c r="J26" s="35" t="n"/>
      <c r="K26" s="484" t="n"/>
      <c r="L26" s="35" t="n"/>
      <c r="M26" s="484" t="n"/>
      <c r="N26" s="35" t="n"/>
      <c r="O26" s="484" t="n"/>
      <c r="P26" s="35" t="n"/>
      <c r="Q26" s="484" t="n"/>
      <c r="R26" s="35" t="n"/>
      <c r="S26" s="484" t="n"/>
      <c r="T26" s="35" t="n"/>
      <c r="U26" s="484" t="n"/>
      <c r="V26" s="35" t="n"/>
      <c r="W26" s="484" t="n"/>
      <c r="X26" s="35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3" t="n"/>
    </row>
    <row r="27">
      <c r="B27" s="567" t="n"/>
      <c r="C27" s="3" t="inlineStr">
        <is>
          <t>Mean</t>
        </is>
      </c>
      <c r="D27" s="3" t="n"/>
      <c r="E27" s="484" t="n"/>
      <c r="F27" s="35" t="n"/>
      <c r="G27" s="484" t="n"/>
      <c r="H27" s="35" t="n"/>
      <c r="I27" s="484" t="n"/>
      <c r="J27" s="35" t="n"/>
      <c r="K27" s="484" t="n"/>
      <c r="L27" s="35" t="n"/>
      <c r="M27" s="484" t="n"/>
      <c r="N27" s="35" t="n"/>
      <c r="O27" s="484" t="n"/>
      <c r="P27" s="35" t="n"/>
      <c r="Q27" s="484" t="n"/>
      <c r="R27" s="35" t="n"/>
      <c r="S27" s="484" t="n"/>
      <c r="T27" s="35" t="n"/>
      <c r="U27" s="484" t="n"/>
      <c r="V27" s="35" t="n"/>
      <c r="W27" s="484" t="n"/>
      <c r="X27" s="35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3" t="n"/>
    </row>
    <row r="28">
      <c r="B28" s="567" t="n"/>
      <c r="C28" s="3" t="inlineStr">
        <is>
          <t>Bias</t>
        </is>
      </c>
      <c r="D28" s="3" t="n"/>
      <c r="E28" s="484" t="n"/>
      <c r="F28" s="35" t="n"/>
      <c r="G28" s="484" t="n"/>
      <c r="H28" s="35" t="n"/>
      <c r="I28" s="484" t="n"/>
      <c r="J28" s="35" t="n"/>
      <c r="K28" s="484" t="n"/>
      <c r="L28" s="35" t="n"/>
      <c r="M28" s="484" t="n"/>
      <c r="N28" s="35" t="n"/>
      <c r="O28" s="484" t="n"/>
      <c r="P28" s="35" t="n"/>
      <c r="Q28" s="484" t="n"/>
      <c r="R28" s="35" t="n"/>
      <c r="S28" s="484" t="n"/>
      <c r="T28" s="35" t="n"/>
      <c r="U28" s="484" t="n"/>
      <c r="V28" s="35" t="n"/>
      <c r="W28" s="484" t="n"/>
      <c r="X28" s="35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3" t="n"/>
    </row>
    <row r="29">
      <c r="B29" s="568" t="n"/>
      <c r="C29" s="3" t="inlineStr">
        <is>
          <t>CV%</t>
        </is>
      </c>
      <c r="D29" s="3" t="n"/>
      <c r="E29" s="484" t="n"/>
      <c r="F29" s="35" t="n"/>
      <c r="G29" s="484" t="n"/>
      <c r="H29" s="35" t="n"/>
      <c r="I29" s="484" t="n"/>
      <c r="J29" s="35" t="n"/>
      <c r="K29" s="484" t="n"/>
      <c r="L29" s="35" t="n"/>
      <c r="M29" s="484" t="n"/>
      <c r="N29" s="35" t="n"/>
      <c r="O29" s="484" t="n"/>
      <c r="P29" s="35" t="n"/>
      <c r="Q29" s="484" t="n"/>
      <c r="R29" s="35" t="n"/>
      <c r="S29" s="484" t="n"/>
      <c r="T29" s="35" t="n"/>
      <c r="U29" s="484" t="n"/>
      <c r="V29" s="35" t="n"/>
      <c r="W29" s="484" t="n"/>
      <c r="X29" s="35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3" t="n"/>
    </row>
    <row r="30"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</row>
    <row r="31"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</row>
    <row r="32"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</row>
    <row r="33">
      <c r="C33" t="inlineStr">
        <is>
          <t>Conc.</t>
        </is>
      </c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</row>
    <row r="34" ht="33" customHeight="1">
      <c r="C34" s="12" t="inlineStr">
        <is>
          <t>Serial Number</t>
        </is>
      </c>
      <c r="D34" s="1" t="n"/>
      <c r="E34" s="484" t="n"/>
      <c r="F34" s="3" t="n"/>
      <c r="G34" s="484" t="n"/>
      <c r="H34" s="3" t="n"/>
      <c r="I34" s="484" t="n"/>
      <c r="J34" s="3" t="n"/>
      <c r="K34" s="484" t="n"/>
      <c r="L34" s="3" t="n"/>
      <c r="M34" s="484" t="n"/>
      <c r="N34" s="3" t="n"/>
      <c r="O34" s="484" t="n"/>
      <c r="P34" s="3" t="n"/>
      <c r="Q34" s="484" t="n"/>
      <c r="R34" s="3" t="n"/>
      <c r="S34" s="484" t="n"/>
      <c r="T34" s="3" t="n"/>
      <c r="U34" s="484" t="n"/>
      <c r="V34" s="3" t="n"/>
      <c r="W34" s="484" t="n"/>
      <c r="X34" s="3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4" t="inlineStr">
        <is>
          <t>Serial Number</t>
        </is>
      </c>
    </row>
    <row r="35" ht="33" customHeight="1">
      <c r="C35" s="12" t="n"/>
      <c r="D35" s="1" t="n"/>
      <c r="E35" s="478" t="n"/>
      <c r="F35" s="31" t="n"/>
      <c r="G35" s="478" t="n"/>
      <c r="H35" s="31" t="n"/>
      <c r="I35" s="478" t="n"/>
      <c r="J35" s="31" t="n"/>
      <c r="K35" s="478" t="n"/>
      <c r="L35" s="31" t="n"/>
      <c r="M35" s="478" t="n"/>
      <c r="N35" s="31" t="n"/>
      <c r="O35" s="478" t="n"/>
      <c r="P35" s="31" t="n"/>
      <c r="Q35" s="478" t="n"/>
      <c r="R35" s="31" t="n"/>
      <c r="S35" s="478" t="n"/>
      <c r="T35" s="31" t="n"/>
      <c r="U35" s="478" t="n"/>
      <c r="V35" s="31" t="n"/>
      <c r="W35" s="478" t="n"/>
      <c r="X35" s="3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4" t="n"/>
    </row>
    <row r="36">
      <c r="B36" t="inlineStr">
        <is>
          <t>Equine 1</t>
        </is>
      </c>
      <c r="C36" s="1" t="inlineStr">
        <is>
          <t>機台序號3</t>
        </is>
      </c>
      <c r="D36" s="1" t="n"/>
      <c r="E36" s="484" t="n"/>
      <c r="F36" s="35" t="n"/>
      <c r="G36" s="484" t="n"/>
      <c r="H36" s="35" t="n"/>
      <c r="I36" s="484" t="n"/>
      <c r="J36" s="35" t="n"/>
      <c r="K36" s="484" t="n"/>
      <c r="L36" s="35" t="n"/>
      <c r="M36" s="484" t="n"/>
      <c r="N36" s="35" t="n"/>
      <c r="O36" s="484" t="n"/>
      <c r="P36" s="35" t="n"/>
      <c r="Q36" s="484" t="n"/>
      <c r="R36" s="35" t="n"/>
      <c r="S36" s="484" t="n"/>
      <c r="T36" s="35" t="n"/>
      <c r="U36" s="484" t="n"/>
      <c r="V36" s="35" t="n"/>
      <c r="W36" s="484" t="n"/>
      <c r="X36" s="35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>
      <c r="B37" t="inlineStr">
        <is>
          <t>Equine 1</t>
        </is>
      </c>
      <c r="C37" s="1" t="inlineStr">
        <is>
          <t>機台序號3</t>
        </is>
      </c>
      <c r="D37" s="1" t="n"/>
      <c r="E37" s="484" t="n"/>
      <c r="F37" s="35" t="n"/>
      <c r="G37" s="484" t="n"/>
      <c r="H37" s="35" t="n"/>
      <c r="I37" s="484" t="n"/>
      <c r="J37" s="35" t="n"/>
      <c r="K37" s="484" t="n"/>
      <c r="L37" s="35" t="n"/>
      <c r="M37" s="484" t="n"/>
      <c r="N37" s="35" t="n"/>
      <c r="O37" s="484" t="n"/>
      <c r="P37" s="35" t="n"/>
      <c r="Q37" s="484" t="n"/>
      <c r="R37" s="35" t="n"/>
      <c r="S37" s="484" t="n"/>
      <c r="T37" s="35" t="n"/>
      <c r="U37" s="484" t="n"/>
      <c r="V37" s="35" t="n"/>
      <c r="W37" s="484" t="n"/>
      <c r="X37" s="35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>
      <c r="B38" t="inlineStr">
        <is>
          <t>Equine 1</t>
        </is>
      </c>
      <c r="C38" s="1" t="inlineStr">
        <is>
          <t>機台序號3</t>
        </is>
      </c>
      <c r="D38" s="1" t="n"/>
      <c r="E38" s="484" t="n"/>
      <c r="F38" s="35" t="n"/>
      <c r="G38" s="484" t="n"/>
      <c r="H38" s="35" t="n"/>
      <c r="I38" s="484" t="n"/>
      <c r="J38" s="35" t="n"/>
      <c r="K38" s="484" t="n"/>
      <c r="L38" s="35" t="n"/>
      <c r="M38" s="484" t="n"/>
      <c r="N38" s="35" t="n"/>
      <c r="O38" s="484" t="n"/>
      <c r="P38" s="35" t="n"/>
      <c r="Q38" s="484" t="n"/>
      <c r="R38" s="35" t="n"/>
      <c r="S38" s="484" t="n"/>
      <c r="T38" s="35" t="n"/>
      <c r="U38" s="484" t="n"/>
      <c r="V38" s="35" t="n"/>
      <c r="W38" s="484" t="n"/>
      <c r="X38" s="35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>
      <c r="B39" t="inlineStr">
        <is>
          <t>Equine 1</t>
        </is>
      </c>
      <c r="C39" s="1" t="inlineStr">
        <is>
          <t>機台序號3</t>
        </is>
      </c>
      <c r="D39" s="1" t="n"/>
      <c r="E39" s="484" t="n"/>
      <c r="F39" s="35" t="n"/>
      <c r="G39" s="484" t="n"/>
      <c r="H39" s="35" t="n"/>
      <c r="I39" s="484" t="n"/>
      <c r="J39" s="35" t="n"/>
      <c r="K39" s="484" t="n"/>
      <c r="L39" s="35" t="n"/>
      <c r="M39" s="484" t="n"/>
      <c r="N39" s="35" t="n"/>
      <c r="O39" s="484" t="n"/>
      <c r="P39" s="35" t="n"/>
      <c r="Q39" s="484" t="n"/>
      <c r="R39" s="35" t="n"/>
      <c r="S39" s="484" t="n"/>
      <c r="T39" s="35" t="n"/>
      <c r="U39" s="484" t="n"/>
      <c r="V39" s="35" t="n"/>
      <c r="W39" s="484" t="n"/>
      <c r="X39" s="35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>
      <c r="B40" t="inlineStr">
        <is>
          <t>Equine 1</t>
        </is>
      </c>
      <c r="C40" s="1" t="inlineStr">
        <is>
          <t>機台序號3</t>
        </is>
      </c>
      <c r="D40" s="1" t="n"/>
      <c r="E40" s="484" t="n"/>
      <c r="F40" s="35" t="n"/>
      <c r="G40" s="484" t="n"/>
      <c r="H40" s="35" t="n"/>
      <c r="I40" s="484" t="n"/>
      <c r="J40" s="35" t="n"/>
      <c r="K40" s="484" t="n"/>
      <c r="L40" s="35" t="n"/>
      <c r="M40" s="484" t="n"/>
      <c r="N40" s="35" t="n"/>
      <c r="O40" s="484" t="n"/>
      <c r="P40" s="35" t="n"/>
      <c r="Q40" s="484" t="n"/>
      <c r="R40" s="35" t="n"/>
      <c r="S40" s="484" t="n"/>
      <c r="T40" s="35" t="n"/>
      <c r="U40" s="484" t="n"/>
      <c r="V40" s="35" t="n"/>
      <c r="W40" s="484" t="n"/>
      <c r="X40" s="35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>
      <c r="B41" t="inlineStr">
        <is>
          <t>Equine 1</t>
        </is>
      </c>
      <c r="C41" s="1" t="inlineStr">
        <is>
          <t>機台序號3</t>
        </is>
      </c>
      <c r="D41" s="1" t="n"/>
      <c r="E41" s="484" t="n"/>
      <c r="F41" s="35" t="n"/>
      <c r="G41" s="484" t="n"/>
      <c r="H41" s="35" t="n"/>
      <c r="I41" s="484" t="n"/>
      <c r="J41" s="35" t="n"/>
      <c r="K41" s="484" t="n"/>
      <c r="L41" s="35" t="n"/>
      <c r="M41" s="484" t="n"/>
      <c r="N41" s="35" t="n"/>
      <c r="O41" s="484" t="n"/>
      <c r="P41" s="35" t="n"/>
      <c r="Q41" s="484" t="n"/>
      <c r="R41" s="35" t="n"/>
      <c r="S41" s="484" t="n"/>
      <c r="T41" s="35" t="n"/>
      <c r="U41" s="484" t="n"/>
      <c r="V41" s="35" t="n"/>
      <c r="W41" s="484" t="n"/>
      <c r="X41" s="35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>
      <c r="B42" t="inlineStr">
        <is>
          <t>Equine 1</t>
        </is>
      </c>
      <c r="C42" s="1" t="inlineStr">
        <is>
          <t>機台序號3</t>
        </is>
      </c>
      <c r="D42" s="1" t="n"/>
      <c r="E42" s="484" t="n"/>
      <c r="F42" s="35" t="n"/>
      <c r="G42" s="484" t="n"/>
      <c r="H42" s="35" t="n"/>
      <c r="I42" s="484" t="n"/>
      <c r="J42" s="35" t="n"/>
      <c r="K42" s="484" t="n"/>
      <c r="L42" s="35" t="n"/>
      <c r="M42" s="484" t="n"/>
      <c r="N42" s="35" t="n"/>
      <c r="O42" s="484" t="n"/>
      <c r="P42" s="35" t="n"/>
      <c r="Q42" s="484" t="n"/>
      <c r="R42" s="35" t="n"/>
      <c r="S42" s="484" t="n"/>
      <c r="T42" s="35" t="n"/>
      <c r="U42" s="484" t="n"/>
      <c r="V42" s="35" t="n"/>
      <c r="W42" s="484" t="n"/>
      <c r="X42" s="35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>
      <c r="B43" t="inlineStr">
        <is>
          <t>Equine 1</t>
        </is>
      </c>
      <c r="C43" s="1" t="inlineStr">
        <is>
          <t>機台序號3</t>
        </is>
      </c>
      <c r="D43" s="1" t="n"/>
      <c r="E43" s="484" t="n"/>
      <c r="F43" s="35" t="n"/>
      <c r="G43" s="484" t="n"/>
      <c r="H43" s="35" t="n"/>
      <c r="I43" s="484" t="n"/>
      <c r="J43" s="35" t="n"/>
      <c r="K43" s="484" t="n"/>
      <c r="L43" s="35" t="n"/>
      <c r="M43" s="484" t="n"/>
      <c r="N43" s="35" t="n"/>
      <c r="O43" s="484" t="n"/>
      <c r="P43" s="35" t="n"/>
      <c r="Q43" s="484" t="n"/>
      <c r="R43" s="35" t="n"/>
      <c r="S43" s="484" t="n"/>
      <c r="T43" s="35" t="n"/>
      <c r="U43" s="484" t="n"/>
      <c r="V43" s="35" t="n"/>
      <c r="W43" s="484" t="n"/>
      <c r="X43" s="35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>
      <c r="B44" t="inlineStr">
        <is>
          <t>Equine 1</t>
        </is>
      </c>
      <c r="C44" s="1" t="inlineStr">
        <is>
          <t>機台序號3</t>
        </is>
      </c>
      <c r="D44" s="1" t="n"/>
      <c r="E44" s="484" t="n"/>
      <c r="F44" s="35" t="n"/>
      <c r="G44" s="484" t="n"/>
      <c r="H44" s="35" t="n"/>
      <c r="I44" s="484" t="n"/>
      <c r="J44" s="35" t="n"/>
      <c r="K44" s="484" t="n"/>
      <c r="L44" s="35" t="n"/>
      <c r="M44" s="484" t="n"/>
      <c r="N44" s="35" t="n"/>
      <c r="O44" s="484" t="n"/>
      <c r="P44" s="35" t="n"/>
      <c r="Q44" s="484" t="n"/>
      <c r="R44" s="35" t="n"/>
      <c r="S44" s="484" t="n"/>
      <c r="T44" s="35" t="n"/>
      <c r="U44" s="484" t="n"/>
      <c r="V44" s="35" t="n"/>
      <c r="W44" s="484" t="n"/>
      <c r="X44" s="35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>
      <c r="B45" t="inlineStr">
        <is>
          <t>Equine 1</t>
        </is>
      </c>
      <c r="C45" s="1" t="inlineStr">
        <is>
          <t>機台序號3</t>
        </is>
      </c>
      <c r="D45" s="1" t="n"/>
      <c r="E45" s="484" t="n"/>
      <c r="F45" s="35" t="n"/>
      <c r="G45" s="484" t="n"/>
      <c r="H45" s="35" t="n"/>
      <c r="I45" s="484" t="n"/>
      <c r="J45" s="35" t="n"/>
      <c r="K45" s="484" t="n"/>
      <c r="L45" s="35" t="n"/>
      <c r="M45" s="484" t="n"/>
      <c r="N45" s="35" t="n"/>
      <c r="O45" s="484" t="n"/>
      <c r="P45" s="35" t="n"/>
      <c r="Q45" s="484" t="n"/>
      <c r="R45" s="35" t="n"/>
      <c r="S45" s="484" t="n"/>
      <c r="T45" s="35" t="n"/>
      <c r="U45" s="484" t="n"/>
      <c r="V45" s="35" t="n"/>
      <c r="W45" s="484" t="n"/>
      <c r="X45" s="35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>
      <c r="B46" s="6" t="inlineStr">
        <is>
          <t>Equine 2</t>
        </is>
      </c>
      <c r="C46" s="8" t="inlineStr">
        <is>
          <t>機台序號3</t>
        </is>
      </c>
      <c r="D46" s="1" t="n"/>
      <c r="E46" s="484" t="n"/>
      <c r="F46" s="35" t="n"/>
      <c r="G46" s="484" t="n"/>
      <c r="H46" s="35" t="n"/>
      <c r="I46" s="484" t="n"/>
      <c r="J46" s="35" t="n"/>
      <c r="K46" s="484" t="n"/>
      <c r="L46" s="35" t="n"/>
      <c r="M46" s="484" t="n"/>
      <c r="N46" s="35" t="n"/>
      <c r="O46" s="484" t="n"/>
      <c r="P46" s="35" t="n"/>
      <c r="Q46" s="484" t="n"/>
      <c r="R46" s="35" t="n"/>
      <c r="S46" s="484" t="n"/>
      <c r="T46" s="35" t="n"/>
      <c r="U46" s="484" t="n"/>
      <c r="V46" s="35" t="n"/>
      <c r="W46" s="484" t="n"/>
      <c r="X46" s="35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>
      <c r="B47" s="6" t="inlineStr">
        <is>
          <t>Equine 2</t>
        </is>
      </c>
      <c r="C47" s="8" t="inlineStr">
        <is>
          <t>機台序號3</t>
        </is>
      </c>
      <c r="D47" s="1" t="n"/>
      <c r="E47" s="484" t="n"/>
      <c r="F47" s="35" t="n"/>
      <c r="G47" s="484" t="n"/>
      <c r="H47" s="35" t="n"/>
      <c r="I47" s="484" t="n"/>
      <c r="J47" s="35" t="n"/>
      <c r="K47" s="484" t="n"/>
      <c r="L47" s="35" t="n"/>
      <c r="M47" s="484" t="n"/>
      <c r="N47" s="35" t="n"/>
      <c r="O47" s="484" t="n"/>
      <c r="P47" s="35" t="n"/>
      <c r="Q47" s="484" t="n"/>
      <c r="R47" s="35" t="n"/>
      <c r="S47" s="484" t="n"/>
      <c r="T47" s="35" t="n"/>
      <c r="U47" s="484" t="n"/>
      <c r="V47" s="35" t="n"/>
      <c r="W47" s="484" t="n"/>
      <c r="X47" s="35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>
      <c r="B48" s="6" t="inlineStr">
        <is>
          <t>Equine 2</t>
        </is>
      </c>
      <c r="C48" s="8" t="inlineStr">
        <is>
          <t>機台序號3</t>
        </is>
      </c>
      <c r="D48" s="1" t="n"/>
      <c r="E48" s="484" t="n"/>
      <c r="F48" s="35" t="n"/>
      <c r="G48" s="484" t="n"/>
      <c r="H48" s="35" t="n"/>
      <c r="I48" s="484" t="n"/>
      <c r="J48" s="35" t="n"/>
      <c r="K48" s="484" t="n"/>
      <c r="L48" s="35" t="n"/>
      <c r="M48" s="484" t="n"/>
      <c r="N48" s="35" t="n"/>
      <c r="O48" s="484" t="n"/>
      <c r="P48" s="35" t="n"/>
      <c r="Q48" s="484" t="n"/>
      <c r="R48" s="35" t="n"/>
      <c r="S48" s="484" t="n"/>
      <c r="T48" s="35" t="n"/>
      <c r="U48" s="484" t="n"/>
      <c r="V48" s="35" t="n"/>
      <c r="W48" s="484" t="n"/>
      <c r="X48" s="35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>
      <c r="B49" s="6" t="inlineStr">
        <is>
          <t>Equine 2</t>
        </is>
      </c>
      <c r="C49" s="8" t="inlineStr">
        <is>
          <t>機台序號3</t>
        </is>
      </c>
      <c r="D49" s="1" t="n"/>
      <c r="E49" s="484" t="n"/>
      <c r="F49" s="35" t="n"/>
      <c r="G49" s="484" t="n"/>
      <c r="H49" s="35" t="n"/>
      <c r="I49" s="484" t="n"/>
      <c r="J49" s="35" t="n"/>
      <c r="K49" s="484" t="n"/>
      <c r="L49" s="35" t="n"/>
      <c r="M49" s="484" t="n"/>
      <c r="N49" s="35" t="n"/>
      <c r="O49" s="484" t="n"/>
      <c r="P49" s="35" t="n"/>
      <c r="Q49" s="484" t="n"/>
      <c r="R49" s="35" t="n"/>
      <c r="S49" s="484" t="n"/>
      <c r="T49" s="35" t="n"/>
      <c r="U49" s="484" t="n"/>
      <c r="V49" s="35" t="n"/>
      <c r="W49" s="484" t="n"/>
      <c r="X49" s="35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>
      <c r="B50" s="6" t="inlineStr">
        <is>
          <t>Equine 2</t>
        </is>
      </c>
      <c r="C50" s="8" t="inlineStr">
        <is>
          <t>機台序號3</t>
        </is>
      </c>
      <c r="D50" s="1" t="n"/>
      <c r="E50" s="484" t="n"/>
      <c r="F50" s="35" t="n"/>
      <c r="G50" s="484" t="n"/>
      <c r="H50" s="35" t="n"/>
      <c r="I50" s="484" t="n"/>
      <c r="J50" s="35" t="n"/>
      <c r="K50" s="484" t="n"/>
      <c r="L50" s="35" t="n"/>
      <c r="M50" s="484" t="n"/>
      <c r="N50" s="35" t="n"/>
      <c r="O50" s="484" t="n"/>
      <c r="P50" s="35" t="n"/>
      <c r="Q50" s="484" t="n"/>
      <c r="R50" s="35" t="n"/>
      <c r="S50" s="484" t="n"/>
      <c r="T50" s="35" t="n"/>
      <c r="U50" s="484" t="n"/>
      <c r="V50" s="35" t="n"/>
      <c r="W50" s="484" t="n"/>
      <c r="X50" s="35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>
      <c r="B51" s="6" t="inlineStr">
        <is>
          <t>Equine 2</t>
        </is>
      </c>
      <c r="C51" s="8" t="inlineStr">
        <is>
          <t>機台序號3</t>
        </is>
      </c>
      <c r="D51" s="1" t="n"/>
      <c r="E51" s="484" t="n"/>
      <c r="F51" s="35" t="n"/>
      <c r="G51" s="484" t="n"/>
      <c r="H51" s="35" t="n"/>
      <c r="I51" s="484" t="n"/>
      <c r="J51" s="35" t="n"/>
      <c r="K51" s="484" t="n"/>
      <c r="L51" s="35" t="n"/>
      <c r="M51" s="484" t="n"/>
      <c r="N51" s="35" t="n"/>
      <c r="O51" s="484" t="n"/>
      <c r="P51" s="35" t="n"/>
      <c r="Q51" s="484" t="n"/>
      <c r="R51" s="35" t="n"/>
      <c r="S51" s="484" t="n"/>
      <c r="T51" s="35" t="n"/>
      <c r="U51" s="484" t="n"/>
      <c r="V51" s="35" t="n"/>
      <c r="W51" s="484" t="n"/>
      <c r="X51" s="35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>
      <c r="B52" s="6" t="inlineStr">
        <is>
          <t>Equine 2</t>
        </is>
      </c>
      <c r="C52" s="8" t="inlineStr">
        <is>
          <t>機台序號3</t>
        </is>
      </c>
      <c r="D52" s="1" t="n"/>
      <c r="E52" s="484" t="n"/>
      <c r="F52" s="35" t="n"/>
      <c r="G52" s="484" t="n"/>
      <c r="H52" s="35" t="n"/>
      <c r="I52" s="484" t="n"/>
      <c r="J52" s="35" t="n"/>
      <c r="K52" s="484" t="n"/>
      <c r="L52" s="35" t="n"/>
      <c r="M52" s="484" t="n"/>
      <c r="N52" s="35" t="n"/>
      <c r="O52" s="484" t="n"/>
      <c r="P52" s="35" t="n"/>
      <c r="Q52" s="484" t="n"/>
      <c r="R52" s="35" t="n"/>
      <c r="S52" s="484" t="n"/>
      <c r="T52" s="35" t="n"/>
      <c r="U52" s="484" t="n"/>
      <c r="V52" s="35" t="n"/>
      <c r="W52" s="484" t="n"/>
      <c r="X52" s="35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>
      <c r="B53" s="6" t="inlineStr">
        <is>
          <t>Equine 2</t>
        </is>
      </c>
      <c r="C53" s="8" t="inlineStr">
        <is>
          <t>機台序號3</t>
        </is>
      </c>
      <c r="D53" s="1" t="n"/>
      <c r="E53" s="484" t="n"/>
      <c r="F53" s="35" t="n"/>
      <c r="G53" s="484" t="n"/>
      <c r="H53" s="35" t="n"/>
      <c r="I53" s="484" t="n"/>
      <c r="J53" s="35" t="n"/>
      <c r="K53" s="484" t="n"/>
      <c r="L53" s="35" t="n"/>
      <c r="M53" s="484" t="n"/>
      <c r="N53" s="35" t="n"/>
      <c r="O53" s="484" t="n"/>
      <c r="P53" s="35" t="n"/>
      <c r="Q53" s="484" t="n"/>
      <c r="R53" s="35" t="n"/>
      <c r="S53" s="484" t="n"/>
      <c r="T53" s="35" t="n"/>
      <c r="U53" s="484" t="n"/>
      <c r="V53" s="35" t="n"/>
      <c r="W53" s="484" t="n"/>
      <c r="X53" s="35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>
      <c r="B54" s="6" t="inlineStr">
        <is>
          <t>Equine 2</t>
        </is>
      </c>
      <c r="C54" s="8" t="inlineStr">
        <is>
          <t>機台序號3</t>
        </is>
      </c>
      <c r="D54" s="1" t="n"/>
      <c r="E54" s="484" t="n"/>
      <c r="F54" s="35" t="n"/>
      <c r="G54" s="484" t="n"/>
      <c r="H54" s="35" t="n"/>
      <c r="I54" s="484" t="n"/>
      <c r="J54" s="35" t="n"/>
      <c r="K54" s="484" t="n"/>
      <c r="L54" s="35" t="n"/>
      <c r="M54" s="484" t="n"/>
      <c r="N54" s="35" t="n"/>
      <c r="O54" s="484" t="n"/>
      <c r="P54" s="35" t="n"/>
      <c r="Q54" s="484" t="n"/>
      <c r="R54" s="35" t="n"/>
      <c r="S54" s="484" t="n"/>
      <c r="T54" s="35" t="n"/>
      <c r="U54" s="484" t="n"/>
      <c r="V54" s="35" t="n"/>
      <c r="W54" s="484" t="n"/>
      <c r="X54" s="35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>
      <c r="B55" s="6" t="inlineStr">
        <is>
          <t>Equine 2</t>
        </is>
      </c>
      <c r="C55" s="8" t="inlineStr">
        <is>
          <t>機台序號3</t>
        </is>
      </c>
      <c r="D55" s="1" t="n"/>
      <c r="E55" s="484" t="n"/>
      <c r="F55" s="35" t="n"/>
      <c r="G55" s="484" t="n"/>
      <c r="H55" s="35" t="n"/>
      <c r="I55" s="484" t="n"/>
      <c r="J55" s="35" t="n"/>
      <c r="K55" s="484" t="n"/>
      <c r="L55" s="35" t="n"/>
      <c r="M55" s="484" t="n"/>
      <c r="N55" s="35" t="n"/>
      <c r="O55" s="484" t="n"/>
      <c r="P55" s="35" t="n"/>
      <c r="Q55" s="484" t="n"/>
      <c r="R55" s="35" t="n"/>
      <c r="S55" s="484" t="n"/>
      <c r="T55" s="35" t="n"/>
      <c r="U55" s="484" t="n"/>
      <c r="V55" s="35" t="n"/>
      <c r="W55" s="484" t="n"/>
      <c r="X55" s="35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>
      <c r="B56" t="inlineStr">
        <is>
          <t>Equine 3</t>
        </is>
      </c>
      <c r="C56" s="1" t="inlineStr">
        <is>
          <t>機台序號3</t>
        </is>
      </c>
      <c r="D56" s="1" t="n"/>
      <c r="E56" s="484" t="n"/>
      <c r="F56" s="35" t="n"/>
      <c r="G56" s="484" t="n"/>
      <c r="H56" s="35" t="n"/>
      <c r="I56" s="484" t="n"/>
      <c r="J56" s="35" t="n"/>
      <c r="K56" s="484" t="n"/>
      <c r="L56" s="35" t="n"/>
      <c r="M56" s="484" t="n"/>
      <c r="N56" s="35" t="n"/>
      <c r="O56" s="484" t="n"/>
      <c r="P56" s="35" t="n"/>
      <c r="Q56" s="484" t="n"/>
      <c r="R56" s="35" t="n"/>
      <c r="S56" s="484" t="n"/>
      <c r="T56" s="35" t="n"/>
      <c r="U56" s="484" t="n"/>
      <c r="V56" s="35" t="n"/>
      <c r="W56" s="484" t="n"/>
      <c r="X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>
      <c r="B57" t="inlineStr">
        <is>
          <t>Equine 3</t>
        </is>
      </c>
      <c r="C57" s="1" t="inlineStr">
        <is>
          <t>機台序號3</t>
        </is>
      </c>
      <c r="D57" s="1" t="n"/>
      <c r="E57" s="484" t="n"/>
      <c r="F57" s="35" t="n"/>
      <c r="G57" s="484" t="n"/>
      <c r="H57" s="35" t="n"/>
      <c r="I57" s="484" t="n"/>
      <c r="J57" s="35" t="n"/>
      <c r="K57" s="484" t="n"/>
      <c r="L57" s="35" t="n"/>
      <c r="M57" s="484" t="n"/>
      <c r="N57" s="35" t="n"/>
      <c r="O57" s="484" t="n"/>
      <c r="P57" s="35" t="n"/>
      <c r="Q57" s="484" t="n"/>
      <c r="R57" s="35" t="n"/>
      <c r="S57" s="484" t="n"/>
      <c r="T57" s="35" t="n"/>
      <c r="U57" s="484" t="n"/>
      <c r="V57" s="35" t="n"/>
      <c r="W57" s="484" t="n"/>
      <c r="X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>
      <c r="B58" t="inlineStr">
        <is>
          <t>Equine 3</t>
        </is>
      </c>
      <c r="C58" s="1" t="inlineStr">
        <is>
          <t>機台序號3</t>
        </is>
      </c>
      <c r="D58" s="1" t="n"/>
      <c r="E58" s="484" t="n"/>
      <c r="F58" s="35" t="n"/>
      <c r="G58" s="484" t="n"/>
      <c r="H58" s="35" t="n"/>
      <c r="I58" s="484" t="n"/>
      <c r="J58" s="35" t="n"/>
      <c r="K58" s="484" t="n"/>
      <c r="L58" s="35" t="n"/>
      <c r="M58" s="484" t="n"/>
      <c r="N58" s="35" t="n"/>
      <c r="O58" s="484" t="n"/>
      <c r="P58" s="35" t="n"/>
      <c r="Q58" s="484" t="n"/>
      <c r="R58" s="35" t="n"/>
      <c r="S58" s="484" t="n"/>
      <c r="T58" s="35" t="n"/>
      <c r="U58" s="484" t="n"/>
      <c r="V58" s="35" t="n"/>
      <c r="W58" s="484" t="n"/>
      <c r="X58" s="35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>
      <c r="B59" t="inlineStr">
        <is>
          <t>Equine 3</t>
        </is>
      </c>
      <c r="C59" s="1" t="inlineStr">
        <is>
          <t>機台序號3</t>
        </is>
      </c>
      <c r="D59" s="1" t="n"/>
      <c r="E59" s="484" t="n"/>
      <c r="F59" s="35" t="n"/>
      <c r="G59" s="484" t="n"/>
      <c r="H59" s="35" t="n"/>
      <c r="I59" s="484" t="n"/>
      <c r="J59" s="35" t="n"/>
      <c r="K59" s="484" t="n"/>
      <c r="L59" s="35" t="n"/>
      <c r="M59" s="484" t="n"/>
      <c r="N59" s="35" t="n"/>
      <c r="O59" s="484" t="n"/>
      <c r="P59" s="35" t="n"/>
      <c r="Q59" s="484" t="n"/>
      <c r="R59" s="35" t="n"/>
      <c r="S59" s="484" t="n"/>
      <c r="T59" s="35" t="n"/>
      <c r="U59" s="484" t="n"/>
      <c r="V59" s="35" t="n"/>
      <c r="W59" s="484" t="n"/>
      <c r="X59" s="35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>
      <c r="B60" t="inlineStr">
        <is>
          <t>Equine 3</t>
        </is>
      </c>
      <c r="C60" s="1" t="inlineStr">
        <is>
          <t>機台序號3</t>
        </is>
      </c>
      <c r="D60" s="1" t="n"/>
      <c r="E60" s="484" t="n"/>
      <c r="F60" s="35" t="n"/>
      <c r="G60" s="484" t="n"/>
      <c r="H60" s="35" t="n"/>
      <c r="I60" s="484" t="n"/>
      <c r="J60" s="35" t="n"/>
      <c r="K60" s="484" t="n"/>
      <c r="L60" s="35" t="n"/>
      <c r="M60" s="484" t="n"/>
      <c r="N60" s="35" t="n"/>
      <c r="O60" s="484" t="n"/>
      <c r="P60" s="35" t="n"/>
      <c r="Q60" s="484" t="n"/>
      <c r="R60" s="35" t="n"/>
      <c r="S60" s="484" t="n"/>
      <c r="T60" s="35" t="n"/>
      <c r="U60" s="484" t="n"/>
      <c r="V60" s="35" t="n"/>
      <c r="W60" s="484" t="n"/>
      <c r="X60" s="35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>
      <c r="B61" t="inlineStr">
        <is>
          <t>Equine 3</t>
        </is>
      </c>
      <c r="C61" s="1" t="inlineStr">
        <is>
          <t>機台序號3</t>
        </is>
      </c>
      <c r="D61" s="1" t="n"/>
      <c r="E61" s="484" t="n"/>
      <c r="F61" s="35" t="n"/>
      <c r="G61" s="484" t="n"/>
      <c r="H61" s="35" t="n"/>
      <c r="I61" s="484" t="n"/>
      <c r="J61" s="35" t="n"/>
      <c r="K61" s="484" t="n"/>
      <c r="L61" s="35" t="n"/>
      <c r="M61" s="484" t="n"/>
      <c r="N61" s="35" t="n"/>
      <c r="O61" s="484" t="n"/>
      <c r="P61" s="35" t="n"/>
      <c r="Q61" s="484" t="n"/>
      <c r="R61" s="35" t="n"/>
      <c r="S61" s="484" t="n"/>
      <c r="T61" s="35" t="n"/>
      <c r="U61" s="484" t="n"/>
      <c r="V61" s="35" t="n"/>
      <c r="W61" s="484" t="n"/>
      <c r="X61" s="35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>
      <c r="B62" t="inlineStr">
        <is>
          <t>Equine 3</t>
        </is>
      </c>
      <c r="C62" s="1" t="inlineStr">
        <is>
          <t>機台序號3</t>
        </is>
      </c>
      <c r="D62" s="1" t="n"/>
      <c r="E62" s="484" t="n"/>
      <c r="F62" s="35" t="n"/>
      <c r="G62" s="484" t="n"/>
      <c r="H62" s="35" t="n"/>
      <c r="I62" s="484" t="n"/>
      <c r="J62" s="35" t="n"/>
      <c r="K62" s="484" t="n"/>
      <c r="L62" s="35" t="n"/>
      <c r="M62" s="484" t="n"/>
      <c r="N62" s="35" t="n"/>
      <c r="O62" s="484" t="n"/>
      <c r="P62" s="35" t="n"/>
      <c r="Q62" s="484" t="n"/>
      <c r="R62" s="35" t="n"/>
      <c r="S62" s="484" t="n"/>
      <c r="T62" s="35" t="n"/>
      <c r="U62" s="484" t="n"/>
      <c r="V62" s="35" t="n"/>
      <c r="W62" s="484" t="n"/>
      <c r="X62" s="35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>
      <c r="B63" t="inlineStr">
        <is>
          <t>Equine 3</t>
        </is>
      </c>
      <c r="C63" s="1" t="inlineStr">
        <is>
          <t>機台序號3</t>
        </is>
      </c>
      <c r="D63" s="1" t="n"/>
      <c r="E63" s="484" t="n"/>
      <c r="F63" s="35" t="n"/>
      <c r="G63" s="484" t="n"/>
      <c r="H63" s="35" t="n"/>
      <c r="I63" s="484" t="n"/>
      <c r="J63" s="35" t="n"/>
      <c r="K63" s="484" t="n"/>
      <c r="L63" s="35" t="n"/>
      <c r="M63" s="484" t="n"/>
      <c r="N63" s="35" t="n"/>
      <c r="O63" s="484" t="n"/>
      <c r="P63" s="35" t="n"/>
      <c r="Q63" s="484" t="n"/>
      <c r="R63" s="35" t="n"/>
      <c r="S63" s="484" t="n"/>
      <c r="T63" s="35" t="n"/>
      <c r="U63" s="484" t="n"/>
      <c r="V63" s="35" t="n"/>
      <c r="W63" s="484" t="n"/>
      <c r="X63" s="35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>
      <c r="B64" t="inlineStr">
        <is>
          <t>Equine 3</t>
        </is>
      </c>
      <c r="C64" s="1" t="inlineStr">
        <is>
          <t>機台序號3</t>
        </is>
      </c>
      <c r="D64" s="1" t="n"/>
      <c r="E64" s="484" t="n"/>
      <c r="F64" s="35" t="n"/>
      <c r="G64" s="484" t="n"/>
      <c r="H64" s="35" t="n"/>
      <c r="I64" s="484" t="n"/>
      <c r="J64" s="35" t="n"/>
      <c r="K64" s="484" t="n"/>
      <c r="L64" s="35" t="n"/>
      <c r="M64" s="484" t="n"/>
      <c r="N64" s="35" t="n"/>
      <c r="O64" s="484" t="n"/>
      <c r="P64" s="35" t="n"/>
      <c r="Q64" s="484" t="n"/>
      <c r="R64" s="35" t="n"/>
      <c r="S64" s="484" t="n"/>
      <c r="T64" s="35" t="n"/>
      <c r="U64" s="484" t="n"/>
      <c r="V64" s="35" t="n"/>
      <c r="W64" s="484" t="n"/>
      <c r="X64" s="35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>
      <c r="B65" t="inlineStr">
        <is>
          <t>Equine 3</t>
        </is>
      </c>
      <c r="C65" s="1" t="inlineStr">
        <is>
          <t>機台序號3</t>
        </is>
      </c>
      <c r="D65" s="1" t="n"/>
      <c r="E65" s="484" t="n"/>
      <c r="F65" s="35" t="n"/>
      <c r="G65" s="484" t="n"/>
      <c r="H65" s="35" t="n"/>
      <c r="I65" s="484" t="n"/>
      <c r="J65" s="35" t="n"/>
      <c r="K65" s="484" t="n"/>
      <c r="L65" s="35" t="n"/>
      <c r="M65" s="484" t="n"/>
      <c r="N65" s="35" t="n"/>
      <c r="O65" s="484" t="n"/>
      <c r="P65" s="35" t="n"/>
      <c r="Q65" s="484" t="n"/>
      <c r="R65" s="35" t="n"/>
      <c r="S65" s="484" t="n"/>
      <c r="T65" s="35" t="n"/>
      <c r="U65" s="484" t="n"/>
      <c r="V65" s="35" t="n"/>
      <c r="W65" s="484" t="n"/>
      <c r="X65" s="35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>
      <c r="B66" s="6" t="inlineStr">
        <is>
          <t>Equine 4</t>
        </is>
      </c>
      <c r="C66" s="8" t="inlineStr">
        <is>
          <t>機台序號3</t>
        </is>
      </c>
      <c r="D66" s="1" t="n"/>
      <c r="E66" s="484" t="n"/>
      <c r="F66" s="35" t="n"/>
      <c r="G66" s="484" t="n"/>
      <c r="H66" s="35" t="n"/>
      <c r="I66" s="484" t="n"/>
      <c r="J66" s="35" t="n"/>
      <c r="K66" s="484" t="n"/>
      <c r="L66" s="35" t="n"/>
      <c r="M66" s="484" t="n"/>
      <c r="N66" s="35" t="n"/>
      <c r="O66" s="484" t="n"/>
      <c r="P66" s="35" t="n"/>
      <c r="Q66" s="484" t="n"/>
      <c r="R66" s="35" t="n"/>
      <c r="S66" s="484" t="n"/>
      <c r="T66" s="35" t="n"/>
      <c r="U66" s="484" t="n"/>
      <c r="V66" s="35" t="n"/>
      <c r="W66" s="484" t="n"/>
      <c r="X66" s="35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>
      <c r="B67" s="6" t="inlineStr">
        <is>
          <t>Equine 4</t>
        </is>
      </c>
      <c r="C67" s="8" t="inlineStr">
        <is>
          <t>機台序號3</t>
        </is>
      </c>
      <c r="D67" s="1" t="n"/>
      <c r="E67" s="484" t="n"/>
      <c r="F67" s="35" t="n"/>
      <c r="G67" s="484" t="n"/>
      <c r="H67" s="35" t="n"/>
      <c r="I67" s="484" t="n"/>
      <c r="J67" s="35" t="n"/>
      <c r="K67" s="484" t="n"/>
      <c r="L67" s="35" t="n"/>
      <c r="M67" s="484" t="n"/>
      <c r="N67" s="35" t="n"/>
      <c r="O67" s="484" t="n"/>
      <c r="P67" s="35" t="n"/>
      <c r="Q67" s="484" t="n"/>
      <c r="R67" s="35" t="n"/>
      <c r="S67" s="484" t="n"/>
      <c r="T67" s="35" t="n"/>
      <c r="U67" s="484" t="n"/>
      <c r="V67" s="35" t="n"/>
      <c r="W67" s="484" t="n"/>
      <c r="X67" s="35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>
      <c r="B68" s="6" t="inlineStr">
        <is>
          <t>Equine 4</t>
        </is>
      </c>
      <c r="C68" s="8" t="inlineStr">
        <is>
          <t>機台序號3</t>
        </is>
      </c>
      <c r="D68" s="1" t="n"/>
      <c r="E68" s="484" t="n"/>
      <c r="F68" s="35" t="n"/>
      <c r="G68" s="484" t="n"/>
      <c r="H68" s="35" t="n"/>
      <c r="I68" s="484" t="n"/>
      <c r="J68" s="35" t="n"/>
      <c r="K68" s="484" t="n"/>
      <c r="L68" s="35" t="n"/>
      <c r="M68" s="484" t="n"/>
      <c r="N68" s="35" t="n"/>
      <c r="O68" s="484" t="n"/>
      <c r="P68" s="35" t="n"/>
      <c r="Q68" s="484" t="n"/>
      <c r="R68" s="35" t="n"/>
      <c r="S68" s="484" t="n"/>
      <c r="T68" s="35" t="n"/>
      <c r="U68" s="484" t="n"/>
      <c r="V68" s="35" t="n"/>
      <c r="W68" s="484" t="n"/>
      <c r="X68" s="35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>
      <c r="B69" s="6" t="inlineStr">
        <is>
          <t>Equine 4</t>
        </is>
      </c>
      <c r="C69" s="8" t="inlineStr">
        <is>
          <t>機台序號3</t>
        </is>
      </c>
      <c r="D69" s="1" t="n"/>
      <c r="E69" s="484" t="n"/>
      <c r="F69" s="35" t="n"/>
      <c r="G69" s="484" t="n"/>
      <c r="H69" s="35" t="n"/>
      <c r="I69" s="484" t="n"/>
      <c r="J69" s="35" t="n"/>
      <c r="K69" s="484" t="n"/>
      <c r="L69" s="35" t="n"/>
      <c r="M69" s="484" t="n"/>
      <c r="N69" s="35" t="n"/>
      <c r="O69" s="484" t="n"/>
      <c r="P69" s="35" t="n"/>
      <c r="Q69" s="484" t="n"/>
      <c r="R69" s="35" t="n"/>
      <c r="S69" s="484" t="n"/>
      <c r="T69" s="35" t="n"/>
      <c r="U69" s="484" t="n"/>
      <c r="V69" s="35" t="n"/>
      <c r="W69" s="484" t="n"/>
      <c r="X69" s="35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>
      <c r="B70" s="6" t="inlineStr">
        <is>
          <t>Equine 4</t>
        </is>
      </c>
      <c r="C70" s="8" t="inlineStr">
        <is>
          <t>機台序號3</t>
        </is>
      </c>
      <c r="D70" s="1" t="n"/>
      <c r="E70" s="484" t="n"/>
      <c r="F70" s="35" t="n"/>
      <c r="G70" s="484" t="n"/>
      <c r="H70" s="35" t="n"/>
      <c r="I70" s="484" t="n"/>
      <c r="J70" s="35" t="n"/>
      <c r="K70" s="484" t="n"/>
      <c r="L70" s="35" t="n"/>
      <c r="M70" s="484" t="n"/>
      <c r="N70" s="35" t="n"/>
      <c r="O70" s="484" t="n"/>
      <c r="P70" s="35" t="n"/>
      <c r="Q70" s="484" t="n"/>
      <c r="R70" s="35" t="n"/>
      <c r="S70" s="484" t="n"/>
      <c r="T70" s="35" t="n"/>
      <c r="U70" s="484" t="n"/>
      <c r="V70" s="35" t="n"/>
      <c r="W70" s="484" t="n"/>
      <c r="X70" s="35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>
      <c r="B71" s="6" t="inlineStr">
        <is>
          <t>Equine 4</t>
        </is>
      </c>
      <c r="C71" s="8" t="inlineStr">
        <is>
          <t>機台序號3</t>
        </is>
      </c>
      <c r="D71" s="1" t="n"/>
      <c r="E71" s="484" t="n"/>
      <c r="F71" s="35" t="n"/>
      <c r="G71" s="484" t="n"/>
      <c r="H71" s="35" t="n"/>
      <c r="I71" s="484" t="n"/>
      <c r="J71" s="35" t="n"/>
      <c r="K71" s="484" t="n"/>
      <c r="L71" s="35" t="n"/>
      <c r="M71" s="484" t="n"/>
      <c r="N71" s="35" t="n"/>
      <c r="O71" s="484" t="n"/>
      <c r="P71" s="35" t="n"/>
      <c r="Q71" s="484" t="n"/>
      <c r="R71" s="35" t="n"/>
      <c r="S71" s="484" t="n"/>
      <c r="T71" s="35" t="n"/>
      <c r="U71" s="484" t="n"/>
      <c r="V71" s="35" t="n"/>
      <c r="W71" s="484" t="n"/>
      <c r="X71" s="35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>
      <c r="B72" s="6" t="inlineStr">
        <is>
          <t>Equine 4</t>
        </is>
      </c>
      <c r="C72" s="8" t="inlineStr">
        <is>
          <t>機台序號3</t>
        </is>
      </c>
      <c r="D72" s="1" t="n"/>
      <c r="E72" s="484" t="n"/>
      <c r="F72" s="35" t="n"/>
      <c r="G72" s="484" t="n"/>
      <c r="H72" s="35" t="n"/>
      <c r="I72" s="484" t="n"/>
      <c r="J72" s="35" t="n"/>
      <c r="K72" s="484" t="n"/>
      <c r="L72" s="35" t="n"/>
      <c r="M72" s="484" t="n"/>
      <c r="N72" s="35" t="n"/>
      <c r="O72" s="484" t="n"/>
      <c r="P72" s="35" t="n"/>
      <c r="Q72" s="484" t="n"/>
      <c r="R72" s="35" t="n"/>
      <c r="S72" s="484" t="n"/>
      <c r="T72" s="35" t="n"/>
      <c r="U72" s="484" t="n"/>
      <c r="V72" s="35" t="n"/>
      <c r="W72" s="484" t="n"/>
      <c r="X72" s="35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>
      <c r="B73" s="6" t="inlineStr">
        <is>
          <t>Equine 4</t>
        </is>
      </c>
      <c r="C73" s="8" t="inlineStr">
        <is>
          <t>機台序號3</t>
        </is>
      </c>
      <c r="D73" s="1" t="n"/>
      <c r="E73" s="484" t="n"/>
      <c r="F73" s="35" t="n"/>
      <c r="G73" s="484" t="n"/>
      <c r="H73" s="35" t="n"/>
      <c r="I73" s="484" t="n"/>
      <c r="J73" s="35" t="n"/>
      <c r="K73" s="484" t="n"/>
      <c r="L73" s="35" t="n"/>
      <c r="M73" s="484" t="n"/>
      <c r="N73" s="35" t="n"/>
      <c r="O73" s="484" t="n"/>
      <c r="P73" s="35" t="n"/>
      <c r="Q73" s="484" t="n"/>
      <c r="R73" s="35" t="n"/>
      <c r="S73" s="484" t="n"/>
      <c r="T73" s="35" t="n"/>
      <c r="U73" s="484" t="n"/>
      <c r="V73" s="35" t="n"/>
      <c r="W73" s="484" t="n"/>
      <c r="X73" s="35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>
      <c r="B74" s="6" t="inlineStr">
        <is>
          <t>Equine 4</t>
        </is>
      </c>
      <c r="C74" s="8" t="inlineStr">
        <is>
          <t>機台序號3</t>
        </is>
      </c>
      <c r="D74" s="1" t="n"/>
      <c r="E74" s="484" t="n"/>
      <c r="F74" s="35" t="n"/>
      <c r="G74" s="484" t="n"/>
      <c r="H74" s="35" t="n"/>
      <c r="I74" s="484" t="n"/>
      <c r="J74" s="35" t="n"/>
      <c r="K74" s="484" t="n"/>
      <c r="L74" s="35" t="n"/>
      <c r="M74" s="484" t="n"/>
      <c r="N74" s="35" t="n"/>
      <c r="O74" s="484" t="n"/>
      <c r="P74" s="35" t="n"/>
      <c r="Q74" s="484" t="n"/>
      <c r="R74" s="35" t="n"/>
      <c r="S74" s="484" t="n"/>
      <c r="T74" s="35" t="n"/>
      <c r="U74" s="484" t="n"/>
      <c r="V74" s="35" t="n"/>
      <c r="W74" s="484" t="n"/>
      <c r="X74" s="35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>
      <c r="B75" s="6" t="inlineStr">
        <is>
          <t>Equine 4</t>
        </is>
      </c>
      <c r="C75" s="8" t="inlineStr">
        <is>
          <t>機台序號3</t>
        </is>
      </c>
      <c r="D75" s="1" t="n"/>
      <c r="E75" s="484" t="n"/>
      <c r="F75" s="35" t="n"/>
      <c r="G75" s="484" t="n"/>
      <c r="H75" s="35" t="n"/>
      <c r="I75" s="484" t="n"/>
      <c r="J75" s="35" t="n"/>
      <c r="K75" s="484" t="n"/>
      <c r="L75" s="35" t="n"/>
      <c r="M75" s="484" t="n"/>
      <c r="N75" s="35" t="n"/>
      <c r="O75" s="484" t="n"/>
      <c r="P75" s="35" t="n"/>
      <c r="Q75" s="484" t="n"/>
      <c r="R75" s="35" t="n"/>
      <c r="S75" s="484" t="n"/>
      <c r="T75" s="35" t="n"/>
      <c r="U75" s="484" t="n"/>
      <c r="V75" s="35" t="n"/>
      <c r="W75" s="484" t="n"/>
      <c r="X75" s="35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>
      <c r="B76" t="inlineStr">
        <is>
          <t>Equine 5</t>
        </is>
      </c>
      <c r="C76" s="1" t="inlineStr">
        <is>
          <t>機台序號3</t>
        </is>
      </c>
      <c r="D76" s="1" t="n"/>
      <c r="E76" s="484" t="n"/>
      <c r="F76" s="35" t="n"/>
      <c r="G76" s="484" t="n"/>
      <c r="H76" s="35" t="n"/>
      <c r="I76" s="484" t="n"/>
      <c r="J76" s="35" t="n"/>
      <c r="K76" s="484" t="n"/>
      <c r="L76" s="35" t="n"/>
      <c r="M76" s="484" t="n"/>
      <c r="N76" s="35" t="n"/>
      <c r="O76" s="484" t="n"/>
      <c r="P76" s="35" t="n"/>
      <c r="Q76" s="484" t="n"/>
      <c r="R76" s="35" t="n"/>
      <c r="S76" s="484" t="n"/>
      <c r="T76" s="35" t="n"/>
      <c r="U76" s="484" t="n"/>
      <c r="V76" s="35" t="n"/>
      <c r="W76" s="484" t="n"/>
      <c r="X76" s="35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>
      <c r="B77" t="inlineStr">
        <is>
          <t>Equine 5</t>
        </is>
      </c>
      <c r="C77" s="1" t="inlineStr">
        <is>
          <t>機台序號3</t>
        </is>
      </c>
      <c r="D77" s="1" t="n"/>
      <c r="E77" s="484" t="n"/>
      <c r="F77" s="35" t="n"/>
      <c r="G77" s="484" t="n"/>
      <c r="H77" s="35" t="n"/>
      <c r="I77" s="484" t="n"/>
      <c r="J77" s="35" t="n"/>
      <c r="K77" s="484" t="n"/>
      <c r="L77" s="35" t="n"/>
      <c r="M77" s="484" t="n"/>
      <c r="N77" s="35" t="n"/>
      <c r="O77" s="484" t="n"/>
      <c r="P77" s="35" t="n"/>
      <c r="Q77" s="484" t="n"/>
      <c r="R77" s="35" t="n"/>
      <c r="S77" s="484" t="n"/>
      <c r="T77" s="35" t="n"/>
      <c r="U77" s="484" t="n"/>
      <c r="V77" s="35" t="n"/>
      <c r="W77" s="484" t="n"/>
      <c r="X77" s="35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>
      <c r="B78" t="inlineStr">
        <is>
          <t>Equine 5</t>
        </is>
      </c>
      <c r="C78" s="1" t="inlineStr">
        <is>
          <t>機台序號3</t>
        </is>
      </c>
      <c r="D78" s="1" t="n"/>
      <c r="E78" s="484" t="n"/>
      <c r="F78" s="35" t="n"/>
      <c r="G78" s="484" t="n"/>
      <c r="H78" s="35" t="n"/>
      <c r="I78" s="484" t="n"/>
      <c r="J78" s="35" t="n"/>
      <c r="K78" s="484" t="n"/>
      <c r="L78" s="35" t="n"/>
      <c r="M78" s="484" t="n"/>
      <c r="N78" s="35" t="n"/>
      <c r="O78" s="484" t="n"/>
      <c r="P78" s="35" t="n"/>
      <c r="Q78" s="484" t="n"/>
      <c r="R78" s="35" t="n"/>
      <c r="S78" s="484" t="n"/>
      <c r="T78" s="35" t="n"/>
      <c r="U78" s="484" t="n"/>
      <c r="V78" s="35" t="n"/>
      <c r="W78" s="484" t="n"/>
      <c r="X78" s="35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>
      <c r="B79" t="inlineStr">
        <is>
          <t>Equine 5</t>
        </is>
      </c>
      <c r="C79" s="1" t="inlineStr">
        <is>
          <t>機台序號3</t>
        </is>
      </c>
      <c r="D79" s="1" t="n"/>
      <c r="E79" s="484" t="n"/>
      <c r="F79" s="35" t="n"/>
      <c r="G79" s="484" t="n"/>
      <c r="H79" s="35" t="n"/>
      <c r="I79" s="484" t="n"/>
      <c r="J79" s="35" t="n"/>
      <c r="K79" s="484" t="n"/>
      <c r="L79" s="35" t="n"/>
      <c r="M79" s="484" t="n"/>
      <c r="N79" s="35" t="n"/>
      <c r="O79" s="484" t="n"/>
      <c r="P79" s="35" t="n"/>
      <c r="Q79" s="484" t="n"/>
      <c r="R79" s="35" t="n"/>
      <c r="S79" s="484" t="n"/>
      <c r="T79" s="35" t="n"/>
      <c r="U79" s="484" t="n"/>
      <c r="V79" s="35" t="n"/>
      <c r="W79" s="484" t="n"/>
      <c r="X79" s="35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>
      <c r="B80" t="inlineStr">
        <is>
          <t>Equine 5</t>
        </is>
      </c>
      <c r="C80" s="1" t="inlineStr">
        <is>
          <t>機台序號3</t>
        </is>
      </c>
      <c r="D80" s="1" t="n"/>
      <c r="E80" s="484" t="n"/>
      <c r="F80" s="35" t="n"/>
      <c r="G80" s="484" t="n"/>
      <c r="H80" s="35" t="n"/>
      <c r="I80" s="484" t="n"/>
      <c r="J80" s="35" t="n"/>
      <c r="K80" s="484" t="n"/>
      <c r="L80" s="35" t="n"/>
      <c r="M80" s="484" t="n"/>
      <c r="N80" s="35" t="n"/>
      <c r="O80" s="484" t="n"/>
      <c r="P80" s="35" t="n"/>
      <c r="Q80" s="484" t="n"/>
      <c r="R80" s="35" t="n"/>
      <c r="S80" s="484" t="n"/>
      <c r="T80" s="35" t="n"/>
      <c r="U80" s="484" t="n"/>
      <c r="V80" s="35" t="n"/>
      <c r="W80" s="484" t="n"/>
      <c r="X80" s="35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>
      <c r="B81" t="inlineStr">
        <is>
          <t>Equine 5</t>
        </is>
      </c>
      <c r="C81" s="1" t="inlineStr">
        <is>
          <t>機台序號3</t>
        </is>
      </c>
      <c r="D81" s="1" t="n"/>
      <c r="E81" s="484" t="n"/>
      <c r="F81" s="35" t="n"/>
      <c r="G81" s="484" t="n"/>
      <c r="H81" s="35" t="n"/>
      <c r="I81" s="484" t="n"/>
      <c r="J81" s="35" t="n"/>
      <c r="K81" s="484" t="n"/>
      <c r="L81" s="35" t="n"/>
      <c r="M81" s="484" t="n"/>
      <c r="N81" s="35" t="n"/>
      <c r="O81" s="484" t="n"/>
      <c r="P81" s="35" t="n"/>
      <c r="Q81" s="484" t="n"/>
      <c r="R81" s="35" t="n"/>
      <c r="S81" s="484" t="n"/>
      <c r="T81" s="35" t="n"/>
      <c r="U81" s="484" t="n"/>
      <c r="V81" s="35" t="n"/>
      <c r="W81" s="484" t="n"/>
      <c r="X81" s="35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>
      <c r="B82" t="inlineStr">
        <is>
          <t>Equine 5</t>
        </is>
      </c>
      <c r="C82" s="1" t="inlineStr">
        <is>
          <t>機台序號3</t>
        </is>
      </c>
      <c r="D82" s="1" t="n"/>
      <c r="E82" s="484" t="n"/>
      <c r="F82" s="35" t="n"/>
      <c r="G82" s="484" t="n"/>
      <c r="H82" s="35" t="n"/>
      <c r="I82" s="484" t="n"/>
      <c r="J82" s="35" t="n"/>
      <c r="K82" s="484" t="n"/>
      <c r="L82" s="35" t="n"/>
      <c r="M82" s="484" t="n"/>
      <c r="N82" s="35" t="n"/>
      <c r="O82" s="484" t="n"/>
      <c r="P82" s="35" t="n"/>
      <c r="Q82" s="484" t="n"/>
      <c r="R82" s="35" t="n"/>
      <c r="S82" s="484" t="n"/>
      <c r="T82" s="35" t="n"/>
      <c r="U82" s="484" t="n"/>
      <c r="V82" s="35" t="n"/>
      <c r="W82" s="484" t="n"/>
      <c r="X82" s="35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>
      <c r="B83" t="inlineStr">
        <is>
          <t>Equine 5</t>
        </is>
      </c>
      <c r="C83" s="1" t="inlineStr">
        <is>
          <t>機台序號3</t>
        </is>
      </c>
      <c r="D83" s="1" t="n"/>
      <c r="E83" s="484" t="n"/>
      <c r="F83" s="35" t="n"/>
      <c r="G83" s="484" t="n"/>
      <c r="H83" s="35" t="n"/>
      <c r="I83" s="484" t="n"/>
      <c r="J83" s="35" t="n"/>
      <c r="K83" s="484" t="n"/>
      <c r="L83" s="35" t="n"/>
      <c r="M83" s="484" t="n"/>
      <c r="N83" s="35" t="n"/>
      <c r="O83" s="484" t="n"/>
      <c r="P83" s="35" t="n"/>
      <c r="Q83" s="484" t="n"/>
      <c r="R83" s="35" t="n"/>
      <c r="S83" s="484" t="n"/>
      <c r="T83" s="35" t="n"/>
      <c r="U83" s="484" t="n"/>
      <c r="V83" s="35" t="n"/>
      <c r="W83" s="484" t="n"/>
      <c r="X83" s="35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>
      <c r="B84" t="inlineStr">
        <is>
          <t>Equine 5</t>
        </is>
      </c>
      <c r="C84" s="1" t="inlineStr">
        <is>
          <t>機台序號3</t>
        </is>
      </c>
      <c r="D84" s="1" t="n"/>
      <c r="E84" s="484" t="n"/>
      <c r="F84" s="35" t="n"/>
      <c r="G84" s="484" t="n"/>
      <c r="H84" s="35" t="n"/>
      <c r="I84" s="484" t="n"/>
      <c r="J84" s="35" t="n"/>
      <c r="K84" s="484" t="n"/>
      <c r="L84" s="35" t="n"/>
      <c r="M84" s="484" t="n"/>
      <c r="N84" s="35" t="n"/>
      <c r="O84" s="484" t="n"/>
      <c r="P84" s="35" t="n"/>
      <c r="Q84" s="484" t="n"/>
      <c r="R84" s="35" t="n"/>
      <c r="S84" s="484" t="n"/>
      <c r="T84" s="35" t="n"/>
      <c r="U84" s="484" t="n"/>
      <c r="V84" s="35" t="n"/>
      <c r="W84" s="484" t="n"/>
      <c r="X84" s="35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>
      <c r="B85" t="inlineStr">
        <is>
          <t>Equine 5</t>
        </is>
      </c>
      <c r="C85" s="1" t="inlineStr">
        <is>
          <t>機台序號3</t>
        </is>
      </c>
      <c r="D85" s="1" t="n"/>
      <c r="E85" s="484" t="n"/>
      <c r="F85" s="35" t="n"/>
      <c r="G85" s="484" t="n"/>
      <c r="H85" s="35" t="n"/>
      <c r="I85" s="484" t="n"/>
      <c r="J85" s="35" t="n"/>
      <c r="K85" s="484" t="n"/>
      <c r="L85" s="35" t="n"/>
      <c r="M85" s="484" t="n"/>
      <c r="N85" s="35" t="n"/>
      <c r="O85" s="484" t="n"/>
      <c r="P85" s="35" t="n"/>
      <c r="Q85" s="484" t="n"/>
      <c r="R85" s="35" t="n"/>
      <c r="S85" s="484" t="n"/>
      <c r="T85" s="35" t="n"/>
      <c r="U85" s="484" t="n"/>
      <c r="V85" s="35" t="n"/>
      <c r="W85" s="484" t="n"/>
      <c r="X85" s="35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>
      <c r="B86" s="6" t="inlineStr">
        <is>
          <t>Equine 6</t>
        </is>
      </c>
      <c r="C86" s="8" t="inlineStr">
        <is>
          <t>機台序號3</t>
        </is>
      </c>
      <c r="D86" s="1" t="n"/>
      <c r="E86" s="484" t="n"/>
      <c r="F86" s="35" t="n"/>
      <c r="G86" s="484" t="n"/>
      <c r="H86" s="35" t="n"/>
      <c r="I86" s="484" t="n"/>
      <c r="J86" s="35" t="n"/>
      <c r="K86" s="484" t="n"/>
      <c r="L86" s="35" t="n"/>
      <c r="M86" s="484" t="n"/>
      <c r="N86" s="35" t="n"/>
      <c r="O86" s="484" t="n"/>
      <c r="P86" s="35" t="n"/>
      <c r="Q86" s="484" t="n"/>
      <c r="R86" s="35" t="n"/>
      <c r="S86" s="484" t="n"/>
      <c r="T86" s="35" t="n"/>
      <c r="U86" s="484" t="n"/>
      <c r="V86" s="35" t="n"/>
      <c r="W86" s="484" t="n"/>
      <c r="X86" s="35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>
      <c r="B87" s="6" t="inlineStr">
        <is>
          <t>Equine 6</t>
        </is>
      </c>
      <c r="C87" s="8" t="inlineStr">
        <is>
          <t>機台序號3</t>
        </is>
      </c>
      <c r="D87" s="1" t="n"/>
      <c r="E87" s="484" t="n"/>
      <c r="F87" s="35" t="n"/>
      <c r="G87" s="484" t="n"/>
      <c r="H87" s="35" t="n"/>
      <c r="I87" s="484" t="n"/>
      <c r="J87" s="35" t="n"/>
      <c r="K87" s="484" t="n"/>
      <c r="L87" s="35" t="n"/>
      <c r="M87" s="484" t="n"/>
      <c r="N87" s="35" t="n"/>
      <c r="O87" s="484" t="n"/>
      <c r="P87" s="35" t="n"/>
      <c r="Q87" s="484" t="n"/>
      <c r="R87" s="35" t="n"/>
      <c r="S87" s="484" t="n"/>
      <c r="T87" s="35" t="n"/>
      <c r="U87" s="484" t="n"/>
      <c r="V87" s="35" t="n"/>
      <c r="W87" s="484" t="n"/>
      <c r="X87" s="35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>
      <c r="B88" s="6" t="inlineStr">
        <is>
          <t>Equine 6</t>
        </is>
      </c>
      <c r="C88" s="8" t="inlineStr">
        <is>
          <t>機台序號3</t>
        </is>
      </c>
      <c r="D88" s="1" t="n"/>
      <c r="E88" s="484" t="n"/>
      <c r="F88" s="35" t="n"/>
      <c r="G88" s="484" t="n"/>
      <c r="H88" s="35" t="n"/>
      <c r="I88" s="484" t="n"/>
      <c r="J88" s="35" t="n"/>
      <c r="K88" s="484" t="n"/>
      <c r="L88" s="35" t="n"/>
      <c r="M88" s="484" t="n"/>
      <c r="N88" s="35" t="n"/>
      <c r="O88" s="484" t="n"/>
      <c r="P88" s="35" t="n"/>
      <c r="Q88" s="484" t="n"/>
      <c r="R88" s="35" t="n"/>
      <c r="S88" s="484" t="n"/>
      <c r="T88" s="35" t="n"/>
      <c r="U88" s="484" t="n"/>
      <c r="V88" s="35" t="n"/>
      <c r="W88" s="484" t="n"/>
      <c r="X88" s="35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>
      <c r="B89" s="6" t="inlineStr">
        <is>
          <t>Equine 6</t>
        </is>
      </c>
      <c r="C89" s="8" t="inlineStr">
        <is>
          <t>機台序號3</t>
        </is>
      </c>
      <c r="D89" s="1" t="n"/>
      <c r="E89" s="484" t="n"/>
      <c r="F89" s="35" t="n"/>
      <c r="G89" s="484" t="n"/>
      <c r="H89" s="35" t="n"/>
      <c r="I89" s="484" t="n"/>
      <c r="J89" s="35" t="n"/>
      <c r="K89" s="484" t="n"/>
      <c r="L89" s="35" t="n"/>
      <c r="M89" s="484" t="n"/>
      <c r="N89" s="35" t="n"/>
      <c r="O89" s="484" t="n"/>
      <c r="P89" s="35" t="n"/>
      <c r="Q89" s="484" t="n"/>
      <c r="R89" s="35" t="n"/>
      <c r="S89" s="484" t="n"/>
      <c r="T89" s="35" t="n"/>
      <c r="U89" s="484" t="n"/>
      <c r="V89" s="35" t="n"/>
      <c r="W89" s="484" t="n"/>
      <c r="X89" s="35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>
      <c r="B90" s="6" t="inlineStr">
        <is>
          <t>Equine 6</t>
        </is>
      </c>
      <c r="C90" s="8" t="inlineStr">
        <is>
          <t>機台序號3</t>
        </is>
      </c>
      <c r="D90" s="1" t="n"/>
      <c r="E90" s="484" t="n"/>
      <c r="F90" s="35" t="n"/>
      <c r="G90" s="484" t="n"/>
      <c r="H90" s="35" t="n"/>
      <c r="I90" s="484" t="n"/>
      <c r="J90" s="35" t="n"/>
      <c r="K90" s="484" t="n"/>
      <c r="L90" s="35" t="n"/>
      <c r="M90" s="484" t="n"/>
      <c r="N90" s="35" t="n"/>
      <c r="O90" s="484" t="n"/>
      <c r="P90" s="35" t="n"/>
      <c r="Q90" s="484" t="n"/>
      <c r="R90" s="35" t="n"/>
      <c r="S90" s="484" t="n"/>
      <c r="T90" s="35" t="n"/>
      <c r="U90" s="484" t="n"/>
      <c r="V90" s="35" t="n"/>
      <c r="W90" s="484" t="n"/>
      <c r="X90" s="35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>
      <c r="B91" s="6" t="inlineStr">
        <is>
          <t>Equine 6</t>
        </is>
      </c>
      <c r="C91" s="8" t="inlineStr">
        <is>
          <t>機台序號3</t>
        </is>
      </c>
      <c r="D91" s="1" t="n"/>
      <c r="E91" s="484" t="n"/>
      <c r="F91" s="35" t="n"/>
      <c r="G91" s="484" t="n"/>
      <c r="H91" s="35" t="n"/>
      <c r="I91" s="484" t="n"/>
      <c r="J91" s="35" t="n"/>
      <c r="K91" s="484" t="n"/>
      <c r="L91" s="35" t="n"/>
      <c r="M91" s="484" t="n"/>
      <c r="N91" s="35" t="n"/>
      <c r="O91" s="484" t="n"/>
      <c r="P91" s="35" t="n"/>
      <c r="Q91" s="484" t="n"/>
      <c r="R91" s="35" t="n"/>
      <c r="S91" s="484" t="n"/>
      <c r="T91" s="35" t="n"/>
      <c r="U91" s="484" t="n"/>
      <c r="V91" s="35" t="n"/>
      <c r="W91" s="484" t="n"/>
      <c r="X91" s="35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>
      <c r="B92" s="6" t="inlineStr">
        <is>
          <t>Equine 6</t>
        </is>
      </c>
      <c r="C92" s="8" t="inlineStr">
        <is>
          <t>機台序號3</t>
        </is>
      </c>
      <c r="D92" s="1" t="n"/>
      <c r="E92" s="484" t="n"/>
      <c r="F92" s="35" t="n"/>
      <c r="G92" s="484" t="n"/>
      <c r="H92" s="35" t="n"/>
      <c r="I92" s="484" t="n"/>
      <c r="J92" s="35" t="n"/>
      <c r="K92" s="484" t="n"/>
      <c r="L92" s="35" t="n"/>
      <c r="M92" s="484" t="n"/>
      <c r="N92" s="35" t="n"/>
      <c r="O92" s="484" t="n"/>
      <c r="P92" s="35" t="n"/>
      <c r="Q92" s="484" t="n"/>
      <c r="R92" s="35" t="n"/>
      <c r="S92" s="484" t="n"/>
      <c r="T92" s="35" t="n"/>
      <c r="U92" s="484" t="n"/>
      <c r="V92" s="35" t="n"/>
      <c r="W92" s="484" t="n"/>
      <c r="X92" s="35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>
      <c r="B93" s="6" t="inlineStr">
        <is>
          <t>Equine 6</t>
        </is>
      </c>
      <c r="C93" s="8" t="inlineStr">
        <is>
          <t>機台序號3</t>
        </is>
      </c>
      <c r="D93" s="1" t="n"/>
      <c r="E93" s="484" t="n"/>
      <c r="F93" s="35" t="n"/>
      <c r="G93" s="484" t="n"/>
      <c r="H93" s="35" t="n"/>
      <c r="I93" s="484" t="n"/>
      <c r="J93" s="35" t="n"/>
      <c r="K93" s="484" t="n"/>
      <c r="L93" s="35" t="n"/>
      <c r="M93" s="484" t="n"/>
      <c r="N93" s="35" t="n"/>
      <c r="O93" s="484" t="n"/>
      <c r="P93" s="35" t="n"/>
      <c r="Q93" s="484" t="n"/>
      <c r="R93" s="35" t="n"/>
      <c r="S93" s="484" t="n"/>
      <c r="T93" s="35" t="n"/>
      <c r="U93" s="484" t="n"/>
      <c r="V93" s="35" t="n"/>
      <c r="W93" s="484" t="n"/>
      <c r="X93" s="35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>
      <c r="B94" s="6" t="inlineStr">
        <is>
          <t>Equine 6</t>
        </is>
      </c>
      <c r="C94" s="8" t="inlineStr">
        <is>
          <t>機台序號3</t>
        </is>
      </c>
      <c r="D94" s="1" t="n"/>
      <c r="E94" s="484" t="n"/>
      <c r="F94" s="35" t="n"/>
      <c r="G94" s="484" t="n"/>
      <c r="H94" s="35" t="n"/>
      <c r="I94" s="484" t="n"/>
      <c r="J94" s="35" t="n"/>
      <c r="K94" s="484" t="n"/>
      <c r="L94" s="35" t="n"/>
      <c r="M94" s="484" t="n"/>
      <c r="N94" s="35" t="n"/>
      <c r="O94" s="484" t="n"/>
      <c r="P94" s="35" t="n"/>
      <c r="Q94" s="484" t="n"/>
      <c r="R94" s="35" t="n"/>
      <c r="S94" s="484" t="n"/>
      <c r="T94" s="35" t="n"/>
      <c r="U94" s="484" t="n"/>
      <c r="V94" s="35" t="n"/>
      <c r="W94" s="484" t="n"/>
      <c r="X94" s="35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>
      <c r="B95" s="6" t="inlineStr">
        <is>
          <t>Equine 6</t>
        </is>
      </c>
      <c r="C95" s="8" t="inlineStr">
        <is>
          <t>機台序號3</t>
        </is>
      </c>
      <c r="D95" s="1" t="n"/>
      <c r="E95" s="484" t="n"/>
      <c r="F95" s="35" t="n"/>
      <c r="G95" s="484" t="n"/>
      <c r="H95" s="35" t="n"/>
      <c r="I95" s="484" t="n"/>
      <c r="J95" s="35" t="n"/>
      <c r="K95" s="484" t="n"/>
      <c r="L95" s="35" t="n"/>
      <c r="M95" s="484" t="n"/>
      <c r="N95" s="35" t="n"/>
      <c r="O95" s="484" t="n"/>
      <c r="P95" s="35" t="n"/>
      <c r="Q95" s="484" t="n"/>
      <c r="R95" s="35" t="n"/>
      <c r="S95" s="484" t="n"/>
      <c r="T95" s="35" t="n"/>
      <c r="U95" s="484" t="n"/>
      <c r="V95" s="35" t="n"/>
      <c r="W95" s="484" t="n"/>
      <c r="X95" s="35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>
      <c r="E96" s="20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  <c r="V96" s="20" t="n"/>
      <c r="W96" s="20" t="n"/>
      <c r="X96" s="20" t="n"/>
    </row>
    <row r="97"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</row>
    <row r="98"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 t="n"/>
    </row>
    <row r="99"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</row>
    <row r="100"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20" t="n"/>
      <c r="R100" s="20" t="n"/>
      <c r="S100" s="20" t="n"/>
      <c r="T100" s="20" t="n"/>
      <c r="U100" s="20" t="n"/>
      <c r="V100" s="20" t="n"/>
      <c r="W100" s="20" t="n"/>
      <c r="X100" s="20" t="n"/>
    </row>
    <row r="101"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</row>
    <row r="102">
      <c r="E102" s="20" t="n"/>
      <c r="F102" s="20" t="n"/>
      <c r="G102" s="20" t="n"/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20" t="n"/>
      <c r="R102" s="20" t="n"/>
      <c r="S102" s="20" t="n"/>
      <c r="T102" s="20" t="n"/>
      <c r="U102" s="20" t="n"/>
      <c r="V102" s="20" t="n"/>
      <c r="W102" s="20" t="n"/>
      <c r="X102" s="20" t="n"/>
    </row>
    <row r="103"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  <c r="X103" s="20" t="n"/>
    </row>
    <row r="104">
      <c r="E104" s="20" t="n"/>
      <c r="F104" s="20" t="n"/>
      <c r="G104" s="20" t="n"/>
      <c r="H104" s="20" t="n"/>
      <c r="I104" s="20" t="n"/>
      <c r="J104" s="20" t="n"/>
      <c r="K104" s="20" t="n"/>
      <c r="L104" s="20" t="n"/>
      <c r="M104" s="20" t="n"/>
      <c r="N104" s="20" t="n"/>
      <c r="O104" s="20" t="n"/>
      <c r="P104" s="20" t="n"/>
      <c r="Q104" s="20" t="n"/>
      <c r="R104" s="20" t="n"/>
      <c r="S104" s="20" t="n"/>
      <c r="T104" s="20" t="n"/>
      <c r="U104" s="20" t="n"/>
      <c r="V104" s="20" t="n"/>
      <c r="W104" s="20" t="n"/>
      <c r="X104" s="20" t="n"/>
    </row>
    <row r="105"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</row>
    <row r="106">
      <c r="E106" s="20" t="n"/>
      <c r="F106" s="20" t="n"/>
      <c r="G106" s="20" t="n"/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20" t="n"/>
      <c r="Q106" s="20" t="n"/>
      <c r="R106" s="20" t="n"/>
      <c r="S106" s="20" t="n"/>
      <c r="T106" s="20" t="n"/>
      <c r="U106" s="20" t="n"/>
      <c r="V106" s="20" t="n"/>
      <c r="W106" s="20" t="n"/>
      <c r="X106" s="20" t="n"/>
    </row>
    <row r="107"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</row>
    <row r="108">
      <c r="E108" s="20" t="n"/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n"/>
      <c r="P108" s="20" t="n"/>
      <c r="Q108" s="20" t="n"/>
      <c r="R108" s="20" t="n"/>
      <c r="S108" s="20" t="n"/>
      <c r="T108" s="20" t="n"/>
      <c r="U108" s="20" t="n"/>
      <c r="V108" s="20" t="n"/>
      <c r="W108" s="20" t="n"/>
      <c r="X108" s="20" t="n"/>
    </row>
    <row r="109"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  <c r="X109" s="20" t="n"/>
    </row>
    <row r="110">
      <c r="E110" s="20" t="n"/>
      <c r="F110" s="20" t="n"/>
      <c r="G110" s="20" t="n"/>
      <c r="H110" s="20" t="n"/>
      <c r="I110" s="20" t="n"/>
      <c r="J110" s="20" t="n"/>
      <c r="K110" s="20" t="n"/>
      <c r="L110" s="20" t="n"/>
      <c r="M110" s="20" t="n"/>
      <c r="N110" s="20" t="n"/>
      <c r="O110" s="20" t="n"/>
      <c r="P110" s="20" t="n"/>
      <c r="Q110" s="20" t="n"/>
      <c r="R110" s="20" t="n"/>
      <c r="S110" s="20" t="n"/>
      <c r="T110" s="20" t="n"/>
      <c r="U110" s="20" t="n"/>
      <c r="V110" s="20" t="n"/>
      <c r="W110" s="20" t="n"/>
      <c r="X110" s="20" t="n"/>
    </row>
    <row r="111"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</row>
    <row r="112">
      <c r="E112" s="20" t="n"/>
      <c r="F112" s="20" t="n"/>
      <c r="G112" s="20" t="n"/>
      <c r="H112" s="20" t="n"/>
      <c r="I112" s="20" t="n"/>
      <c r="J112" s="20" t="n"/>
      <c r="K112" s="20" t="n"/>
      <c r="L112" s="20" t="n"/>
      <c r="M112" s="20" t="n"/>
      <c r="N112" s="20" t="n"/>
      <c r="O112" s="20" t="n"/>
      <c r="P112" s="20" t="n"/>
      <c r="Q112" s="20" t="n"/>
      <c r="R112" s="20" t="n"/>
      <c r="S112" s="20" t="n"/>
      <c r="T112" s="20" t="n"/>
      <c r="U112" s="20" t="n"/>
      <c r="V112" s="20" t="n"/>
      <c r="W112" s="20" t="n"/>
      <c r="X112" s="20" t="n"/>
    </row>
    <row r="113"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</row>
    <row r="114">
      <c r="E114" s="20" t="n"/>
      <c r="F114" s="20" t="n"/>
      <c r="G114" s="20" t="n"/>
      <c r="H114" s="20" t="n"/>
      <c r="I114" s="20" t="n"/>
      <c r="J114" s="20" t="n"/>
      <c r="K114" s="20" t="n"/>
      <c r="L114" s="20" t="n"/>
      <c r="M114" s="20" t="n"/>
      <c r="N114" s="20" t="n"/>
      <c r="O114" s="20" t="n"/>
      <c r="P114" s="20" t="n"/>
      <c r="Q114" s="20" t="n"/>
      <c r="R114" s="20" t="n"/>
      <c r="S114" s="20" t="n"/>
      <c r="T114" s="20" t="n"/>
      <c r="U114" s="20" t="n"/>
      <c r="V114" s="20" t="n"/>
      <c r="W114" s="20" t="n"/>
      <c r="X114" s="20" t="n"/>
    </row>
    <row r="115"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  <c r="X115" s="20" t="n"/>
    </row>
    <row r="116">
      <c r="E116" s="20" t="n"/>
      <c r="F116" s="20" t="n"/>
      <c r="G116" s="20" t="n"/>
      <c r="H116" s="20" t="n"/>
      <c r="I116" s="20" t="n"/>
      <c r="J116" s="20" t="n"/>
      <c r="K116" s="20" t="n"/>
      <c r="L116" s="20" t="n"/>
      <c r="M116" s="20" t="n"/>
      <c r="N116" s="20" t="n"/>
      <c r="O116" s="20" t="n"/>
      <c r="P116" s="20" t="n"/>
      <c r="Q116" s="20" t="n"/>
      <c r="R116" s="20" t="n"/>
      <c r="S116" s="20" t="n"/>
      <c r="T116" s="20" t="n"/>
      <c r="U116" s="20" t="n"/>
      <c r="V116" s="20" t="n"/>
      <c r="W116" s="20" t="n"/>
      <c r="X116" s="20" t="n"/>
    </row>
    <row r="117">
      <c r="E117" s="20" t="n"/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</row>
    <row r="118">
      <c r="E118" s="20" t="n"/>
      <c r="F118" s="20" t="n"/>
      <c r="G118" s="20" t="n"/>
      <c r="H118" s="20" t="n"/>
      <c r="I118" s="20" t="n"/>
      <c r="J118" s="20" t="n"/>
      <c r="K118" s="20" t="n"/>
      <c r="L118" s="20" t="n"/>
      <c r="M118" s="20" t="n"/>
      <c r="N118" s="20" t="n"/>
      <c r="O118" s="20" t="n"/>
      <c r="P118" s="20" t="n"/>
      <c r="Q118" s="20" t="n"/>
      <c r="R118" s="20" t="n"/>
      <c r="S118" s="20" t="n"/>
      <c r="T118" s="20" t="n"/>
      <c r="U118" s="20" t="n"/>
      <c r="V118" s="20" t="n"/>
      <c r="W118" s="20" t="n"/>
      <c r="X118" s="20" t="n"/>
    </row>
    <row r="119"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</row>
    <row r="120">
      <c r="E120" s="20" t="n"/>
      <c r="F120" s="20" t="n"/>
      <c r="G120" s="20" t="n"/>
      <c r="H120" s="20" t="n"/>
      <c r="I120" s="20" t="n"/>
      <c r="J120" s="20" t="n"/>
      <c r="K120" s="20" t="n"/>
      <c r="L120" s="20" t="n"/>
      <c r="M120" s="20" t="n"/>
      <c r="N120" s="20" t="n"/>
      <c r="O120" s="20" t="n"/>
      <c r="P120" s="20" t="n"/>
      <c r="Q120" s="20" t="n"/>
      <c r="R120" s="20" t="n"/>
      <c r="S120" s="20" t="n"/>
      <c r="T120" s="20" t="n"/>
      <c r="U120" s="20" t="n"/>
      <c r="V120" s="20" t="n"/>
      <c r="W120" s="20" t="n"/>
      <c r="X120" s="20" t="n"/>
    </row>
    <row r="121"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</row>
    <row r="122">
      <c r="E122" s="20" t="n"/>
      <c r="F122" s="20" t="n"/>
      <c r="G122" s="20" t="n"/>
      <c r="H122" s="20" t="n"/>
      <c r="I122" s="20" t="n"/>
      <c r="J122" s="20" t="n"/>
      <c r="K122" s="20" t="n"/>
      <c r="L122" s="20" t="n"/>
      <c r="M122" s="20" t="n"/>
      <c r="N122" s="20" t="n"/>
      <c r="O122" s="20" t="n"/>
      <c r="P122" s="20" t="n"/>
      <c r="Q122" s="20" t="n"/>
      <c r="R122" s="20" t="n"/>
      <c r="S122" s="20" t="n"/>
      <c r="T122" s="20" t="n"/>
      <c r="U122" s="20" t="n"/>
      <c r="V122" s="20" t="n"/>
      <c r="W122" s="20" t="n"/>
      <c r="X122" s="20" t="n"/>
    </row>
    <row r="123"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</row>
    <row r="124"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  <c r="X124" s="20" t="n"/>
    </row>
    <row r="125"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</row>
    <row r="126"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0" t="n"/>
      <c r="X126" s="20" t="n"/>
    </row>
    <row r="127"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</row>
    <row r="128">
      <c r="E128" s="20" t="n"/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0" t="n"/>
      <c r="X128" s="20" t="n"/>
    </row>
    <row r="129"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</row>
    <row r="130">
      <c r="E130" s="20" t="n"/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  <c r="W130" s="20" t="n"/>
      <c r="X130" s="20" t="n"/>
    </row>
    <row r="131"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</row>
    <row r="132">
      <c r="E132" s="20" t="n"/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  <c r="W132" s="20" t="n"/>
      <c r="X132" s="20" t="n"/>
    </row>
    <row r="133"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</row>
    <row r="134">
      <c r="E134" s="20" t="n"/>
      <c r="F134" s="20" t="n"/>
      <c r="G134" s="20" t="n"/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  <c r="W134" s="20" t="n"/>
      <c r="X134" s="20" t="n"/>
    </row>
    <row r="135"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</row>
    <row r="136">
      <c r="E136" s="20" t="n"/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  <c r="X136" s="20" t="n"/>
    </row>
    <row r="137"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</row>
    <row r="138">
      <c r="E138" s="20" t="n"/>
      <c r="F138" s="20" t="n"/>
      <c r="G138" s="20" t="n"/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n"/>
      <c r="W138" s="20" t="n"/>
      <c r="X138" s="20" t="n"/>
    </row>
    <row r="139"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</row>
    <row r="140">
      <c r="E140" s="20" t="n"/>
      <c r="F140" s="20" t="n"/>
      <c r="G140" s="20" t="n"/>
      <c r="H140" s="20" t="n"/>
      <c r="I140" s="20" t="n"/>
      <c r="J140" s="20" t="n"/>
      <c r="K140" s="20" t="n"/>
      <c r="L140" s="20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n"/>
      <c r="W140" s="20" t="n"/>
      <c r="X140" s="20" t="n"/>
    </row>
    <row r="141">
      <c r="E141" s="20" t="n"/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  <c r="X141" s="20" t="n"/>
    </row>
    <row r="142">
      <c r="E142" s="20" t="n"/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20" t="n"/>
      <c r="P142" s="20" t="n"/>
      <c r="Q142" s="20" t="n"/>
      <c r="R142" s="20" t="n"/>
      <c r="S142" s="20" t="n"/>
      <c r="T142" s="20" t="n"/>
      <c r="U142" s="20" t="n"/>
      <c r="V142" s="20" t="n"/>
      <c r="W142" s="20" t="n"/>
      <c r="X142" s="20" t="n"/>
    </row>
    <row r="143"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</row>
    <row r="144">
      <c r="E144" s="20" t="n"/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n"/>
      <c r="W144" s="20" t="n"/>
      <c r="X144" s="20" t="n"/>
    </row>
    <row r="145"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</row>
    <row r="146">
      <c r="E146" s="20" t="n"/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n"/>
      <c r="O146" s="20" t="n"/>
      <c r="P146" s="20" t="n"/>
      <c r="Q146" s="20" t="n"/>
      <c r="R146" s="20" t="n"/>
      <c r="S146" s="20" t="n"/>
      <c r="T146" s="20" t="n"/>
      <c r="U146" s="20" t="n"/>
      <c r="V146" s="20" t="n"/>
      <c r="W146" s="20" t="n"/>
      <c r="X146" s="20" t="n"/>
    </row>
    <row r="147"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  <c r="X147" s="20" t="n"/>
    </row>
  </sheetData>
  <mergeCells count="26">
    <mergeCell ref="I34:J34"/>
    <mergeCell ref="O3:P3"/>
    <mergeCell ref="U34:V34"/>
    <mergeCell ref="K34:L34"/>
    <mergeCell ref="Q3:R3"/>
    <mergeCell ref="W34:X34"/>
    <mergeCell ref="M34:N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FFFF00"/>
    <outlinePr summaryBelow="1" summaryRight="1"/>
    <pageSetUpPr/>
  </sheetPr>
  <dimension ref="B1:BW83"/>
  <sheetViews>
    <sheetView topLeftCell="B1" zoomScale="70" zoomScaleNormal="70" workbookViewId="0">
      <pane xSplit="3" ySplit="3" topLeftCell="E4" activePane="bottomRight" state="frozen"/>
      <selection activeCell="B1" sqref="B1"/>
      <selection pane="topRight" activeCell="C1" sqref="C1"/>
      <selection pane="bottomLeft" activeCell="B3" sqref="B3"/>
      <selection pane="bottomRight" activeCell="D21" sqref="D21"/>
    </sheetView>
  </sheetViews>
  <sheetFormatPr baseColWidth="8" defaultColWidth="9" defaultRowHeight="15.75"/>
  <cols>
    <col width="9" customWidth="1" style="47" min="1" max="1"/>
    <col width="6.5" customWidth="1" style="47" min="2" max="2"/>
    <col width="9" customWidth="1" style="47" min="3" max="3"/>
    <col width="29.875" bestFit="1" customWidth="1" style="198" min="4" max="4"/>
    <col width="15.875" bestFit="1" customWidth="1" style="193" min="5" max="6"/>
    <col width="11.125" customWidth="1" style="193" min="7" max="8"/>
    <col width="10.75" bestFit="1" customWidth="1" style="193" min="9" max="10"/>
    <col width="11.125" customWidth="1" style="193" min="11" max="12"/>
    <col width="10.75" bestFit="1" customWidth="1" style="193" min="13" max="14"/>
    <col width="11.125" customWidth="1" style="193" min="15" max="16"/>
    <col width="10.75" bestFit="1" customWidth="1" style="193" min="17" max="18"/>
    <col width="11.125" customWidth="1" style="193" min="19" max="20"/>
    <col width="10.75" customWidth="1" style="193" min="21" max="22"/>
    <col width="11.125" customWidth="1" style="193" min="23" max="24"/>
    <col width="10.75" customWidth="1" style="193" min="25" max="26"/>
    <col width="11.125" customWidth="1" style="193" min="27" max="28"/>
    <col width="10.75" customWidth="1" style="193" min="29" max="30"/>
    <col width="11.125" customWidth="1" style="193" min="31" max="32"/>
    <col width="10.75" customWidth="1" style="193" min="33" max="34"/>
    <col width="11.125" customWidth="1" style="193" min="35" max="36"/>
    <col width="5" customWidth="1" style="193" min="37" max="37"/>
    <col width="25.875" bestFit="1" customWidth="1" style="253" min="38" max="38"/>
    <col width="10.75" bestFit="1" customWidth="1" style="47" min="39" max="40"/>
    <col width="11.125" customWidth="1" style="47" min="41" max="42"/>
    <col width="10.75" bestFit="1" customWidth="1" style="47" min="43" max="44"/>
    <col width="11.125" customWidth="1" style="47" min="45" max="46"/>
    <col width="69.5" bestFit="1" customWidth="1" style="47" min="47" max="47"/>
    <col width="9" customWidth="1" style="47" min="48" max="16384"/>
  </cols>
  <sheetData>
    <row r="1" ht="19.5" customHeight="1" thickBot="1">
      <c r="D1" s="525" t="inlineStr">
        <is>
          <t>VB
請提供未干擾修正定值!!!!</t>
        </is>
      </c>
      <c r="E1" s="569" t="inlineStr">
        <is>
          <t>Control mode  (Tutti)
2026.05.20_Control 廠內挑線定值 Summary_Qbi VB 版 V1.10 (含干擾修正, for 機台吐值比對)</t>
        </is>
      </c>
      <c r="F1" s="570" t="n"/>
      <c r="G1" s="570" t="n"/>
      <c r="H1" s="571" t="n"/>
      <c r="I1" s="534" t="inlineStr">
        <is>
          <t>Real mode 定值 (IDEXX)</t>
        </is>
      </c>
      <c r="J1" s="572" t="n"/>
      <c r="K1" s="572" t="n"/>
      <c r="L1" s="572" t="n"/>
      <c r="M1" s="572" t="n"/>
      <c r="N1" s="572" t="n"/>
      <c r="O1" s="572" t="n"/>
      <c r="P1" s="572" t="n"/>
      <c r="Q1" s="572" t="n"/>
      <c r="R1" s="572" t="n"/>
      <c r="S1" s="572" t="n"/>
      <c r="T1" s="573" t="n"/>
      <c r="U1" s="536" t="inlineStr">
        <is>
          <t>Real mode 定值 (Fuji)</t>
        </is>
      </c>
      <c r="V1" s="572" t="n"/>
      <c r="W1" s="572" t="n"/>
      <c r="X1" s="572" t="n"/>
      <c r="Y1" s="572" t="n"/>
      <c r="Z1" s="572" t="n"/>
      <c r="AA1" s="572" t="n"/>
      <c r="AB1" s="572" t="n"/>
      <c r="AC1" s="572" t="n"/>
      <c r="AD1" s="572" t="n"/>
      <c r="AE1" s="572" t="n"/>
      <c r="AF1" s="573" t="n"/>
      <c r="AG1" s="574" t="inlineStr">
        <is>
          <t>Control mode  (P01)</t>
        </is>
      </c>
      <c r="AH1" s="570" t="n"/>
      <c r="AI1" s="570" t="n"/>
      <c r="AJ1" s="571" t="n"/>
      <c r="AK1" s="47" t="n"/>
      <c r="AL1" s="538" t="inlineStr">
        <is>
          <t>Assign value sheet</t>
        </is>
      </c>
      <c r="AM1" s="515" t="inlineStr">
        <is>
          <t>Control mode</t>
        </is>
      </c>
      <c r="AN1" s="572" t="n"/>
      <c r="AO1" s="572" t="n"/>
      <c r="AP1" s="572" t="n"/>
      <c r="AQ1" s="572" t="n"/>
      <c r="AR1" s="572" t="n"/>
      <c r="AS1" s="572" t="n"/>
      <c r="AT1" s="573" t="n"/>
    </row>
    <row r="2" ht="19.5" customHeight="1" thickBot="1">
      <c r="D2" s="575" t="n"/>
      <c r="E2" s="576" t="n"/>
      <c r="F2" s="577" t="n"/>
      <c r="G2" s="577" t="n"/>
      <c r="H2" s="578" t="n"/>
      <c r="I2" s="579" t="inlineStr">
        <is>
          <t>Canine</t>
        </is>
      </c>
      <c r="J2" s="572" t="n"/>
      <c r="K2" s="572" t="n"/>
      <c r="L2" s="573" t="n"/>
      <c r="M2" s="519" t="inlineStr">
        <is>
          <t>Feline</t>
        </is>
      </c>
      <c r="N2" s="572" t="n"/>
      <c r="O2" s="572" t="n"/>
      <c r="P2" s="572" t="n"/>
      <c r="Q2" s="580" t="inlineStr">
        <is>
          <t>Equine</t>
        </is>
      </c>
      <c r="R2" s="572" t="n"/>
      <c r="S2" s="572" t="n"/>
      <c r="T2" s="573" t="n"/>
      <c r="U2" s="579" t="inlineStr">
        <is>
          <t>Canine</t>
        </is>
      </c>
      <c r="V2" s="572" t="n"/>
      <c r="W2" s="572" t="n"/>
      <c r="X2" s="573" t="n"/>
      <c r="Y2" s="581" t="inlineStr">
        <is>
          <t>Feline</t>
        </is>
      </c>
      <c r="Z2" s="572" t="n"/>
      <c r="AA2" s="572" t="n"/>
      <c r="AB2" s="573" t="n"/>
      <c r="AC2" s="522" t="inlineStr">
        <is>
          <t>Equine</t>
        </is>
      </c>
      <c r="AD2" s="572" t="n"/>
      <c r="AE2" s="572" t="n"/>
      <c r="AF2" s="573" t="n"/>
      <c r="AG2" s="576" t="n"/>
      <c r="AH2" s="577" t="n"/>
      <c r="AI2" s="577" t="n"/>
      <c r="AJ2" s="578" t="n"/>
      <c r="AK2" s="47" t="n"/>
      <c r="AL2" s="582" t="n"/>
      <c r="AM2" s="515" t="inlineStr">
        <is>
          <t>value</t>
        </is>
      </c>
      <c r="AN2" s="572" t="n"/>
      <c r="AO2" s="572" t="n"/>
      <c r="AP2" s="573" t="n"/>
      <c r="AQ2" s="515" t="inlineStr">
        <is>
          <t>Bias</t>
        </is>
      </c>
      <c r="AR2" s="572" t="n"/>
      <c r="AS2" s="572" t="n"/>
      <c r="AT2" s="573" t="n"/>
    </row>
    <row r="3" ht="16.5" customHeight="1" thickBot="1">
      <c r="C3" s="48" t="inlineStr">
        <is>
          <t>參照欄</t>
        </is>
      </c>
      <c r="D3" s="49" t="inlineStr">
        <is>
          <t>Marker</t>
        </is>
      </c>
      <c r="E3" s="50" t="inlineStr">
        <is>
          <t>L1_89751</t>
        </is>
      </c>
      <c r="F3" s="51" t="inlineStr">
        <is>
          <t>L2_89752</t>
        </is>
      </c>
      <c r="G3" s="52" t="inlineStr">
        <is>
          <t>N1_45981</t>
        </is>
      </c>
      <c r="H3" s="53" t="inlineStr">
        <is>
          <t>N3_45983</t>
        </is>
      </c>
      <c r="I3" s="50" t="inlineStr">
        <is>
          <t>L1_89751</t>
        </is>
      </c>
      <c r="J3" s="51" t="inlineStr">
        <is>
          <t>L2_89752</t>
        </is>
      </c>
      <c r="K3" s="52" t="inlineStr">
        <is>
          <t>N1_45981</t>
        </is>
      </c>
      <c r="L3" s="53" t="inlineStr">
        <is>
          <t>N3_45983</t>
        </is>
      </c>
      <c r="M3" s="50" t="inlineStr">
        <is>
          <t>L1_89751</t>
        </is>
      </c>
      <c r="N3" s="51" t="inlineStr">
        <is>
          <t>L2_89752</t>
        </is>
      </c>
      <c r="O3" s="52" t="inlineStr">
        <is>
          <t>N1_45981</t>
        </is>
      </c>
      <c r="P3" s="53" t="inlineStr">
        <is>
          <t>N3_45983</t>
        </is>
      </c>
      <c r="Q3" s="51" t="inlineStr">
        <is>
          <t>L1_89751</t>
        </is>
      </c>
      <c r="R3" s="51" t="inlineStr">
        <is>
          <t>L2_89752</t>
        </is>
      </c>
      <c r="S3" s="52" t="inlineStr">
        <is>
          <t>N1_45981</t>
        </is>
      </c>
      <c r="T3" s="54" t="inlineStr">
        <is>
          <t>N3_45983</t>
        </is>
      </c>
      <c r="U3" s="50" t="inlineStr">
        <is>
          <t>L1_89751</t>
        </is>
      </c>
      <c r="V3" s="51" t="inlineStr">
        <is>
          <t>L2_89752</t>
        </is>
      </c>
      <c r="W3" s="52" t="inlineStr">
        <is>
          <t>N1_45981</t>
        </is>
      </c>
      <c r="X3" s="53" t="inlineStr">
        <is>
          <t>N3_45983</t>
        </is>
      </c>
      <c r="Y3" s="50" t="inlineStr">
        <is>
          <t>L1_89751</t>
        </is>
      </c>
      <c r="Z3" s="51" t="inlineStr">
        <is>
          <t>L2_89752</t>
        </is>
      </c>
      <c r="AA3" s="52" t="inlineStr">
        <is>
          <t>N1_45981</t>
        </is>
      </c>
      <c r="AB3" s="53" t="inlineStr">
        <is>
          <t>N3_45983</t>
        </is>
      </c>
      <c r="AC3" s="51" t="inlineStr">
        <is>
          <t>L1_89751</t>
        </is>
      </c>
      <c r="AD3" s="51" t="inlineStr">
        <is>
          <t>L2_89752</t>
        </is>
      </c>
      <c r="AE3" s="52" t="inlineStr">
        <is>
          <t>N1_45981</t>
        </is>
      </c>
      <c r="AF3" s="53" t="inlineStr">
        <is>
          <t>N3_45983</t>
        </is>
      </c>
      <c r="AG3" s="55" t="inlineStr">
        <is>
          <t>L1_89751</t>
        </is>
      </c>
      <c r="AH3" s="56" t="inlineStr">
        <is>
          <t>L2_89752</t>
        </is>
      </c>
      <c r="AI3" s="57" t="inlineStr">
        <is>
          <t>N1_45981</t>
        </is>
      </c>
      <c r="AJ3" s="58" t="inlineStr">
        <is>
          <t>N3_45983</t>
        </is>
      </c>
      <c r="AK3" s="47" t="n"/>
      <c r="AL3" s="59" t="inlineStr">
        <is>
          <t>Marker</t>
        </is>
      </c>
      <c r="AM3" s="60" t="inlineStr">
        <is>
          <t>L1_89751</t>
        </is>
      </c>
      <c r="AN3" s="60" t="inlineStr">
        <is>
          <t>L2_89752</t>
        </is>
      </c>
      <c r="AO3" s="60" t="inlineStr">
        <is>
          <t>N1_45981</t>
        </is>
      </c>
      <c r="AP3" s="61" t="inlineStr">
        <is>
          <t>N3_45983</t>
        </is>
      </c>
      <c r="AQ3" s="62" t="inlineStr">
        <is>
          <t>L1_89751</t>
        </is>
      </c>
      <c r="AR3" s="62" t="inlineStr">
        <is>
          <t>L2_89752</t>
        </is>
      </c>
      <c r="AS3" s="62" t="inlineStr">
        <is>
          <t>N1_45981</t>
        </is>
      </c>
      <c r="AT3" s="63" t="inlineStr">
        <is>
          <t>N3_45983</t>
        </is>
      </c>
    </row>
    <row r="4">
      <c r="C4" s="64" t="inlineStr">
        <is>
          <t>ALB</t>
        </is>
      </c>
      <c r="D4" s="65" t="inlineStr">
        <is>
          <t>ALB</t>
        </is>
      </c>
      <c r="E4" s="583" t="n">
        <v>4.1</v>
      </c>
      <c r="F4" s="584" t="n">
        <v>2.7</v>
      </c>
      <c r="G4" s="584" t="n">
        <v>2.6</v>
      </c>
      <c r="H4" s="585" t="n">
        <v>4.1</v>
      </c>
      <c r="I4" s="586" t="n">
        <v>5.4</v>
      </c>
      <c r="J4" s="587" t="n">
        <v>3.4</v>
      </c>
      <c r="K4" s="584" t="n">
        <v>3.1</v>
      </c>
      <c r="L4" s="588" t="n">
        <v>5.4</v>
      </c>
      <c r="M4" s="589" t="n">
        <v>5</v>
      </c>
      <c r="N4" s="590" t="n">
        <v>3.4</v>
      </c>
      <c r="O4" s="590" t="n">
        <v>3.1</v>
      </c>
      <c r="P4" s="591" t="n">
        <v>5</v>
      </c>
      <c r="Q4" s="586" t="n">
        <v>4</v>
      </c>
      <c r="R4" s="587" t="n">
        <v>2.7</v>
      </c>
      <c r="S4" s="587" t="n">
        <v>2.6</v>
      </c>
      <c r="T4" s="592" t="n">
        <v>4.1</v>
      </c>
      <c r="U4" s="76" t="n">
        <v>4.7</v>
      </c>
      <c r="V4" s="77" t="n">
        <v>3.1</v>
      </c>
      <c r="W4" s="77" t="n">
        <v>3.1</v>
      </c>
      <c r="X4" s="78" t="n">
        <v>4.8</v>
      </c>
      <c r="Y4" s="593" t="n">
        <v>3.9</v>
      </c>
      <c r="Z4" s="594" t="n">
        <v>2.8</v>
      </c>
      <c r="AA4" s="594" t="n">
        <v>2.7</v>
      </c>
      <c r="AB4" s="595" t="n">
        <v>4</v>
      </c>
      <c r="AC4" s="596" t="n">
        <v>3.9</v>
      </c>
      <c r="AD4" s="584" t="n">
        <v>2.6</v>
      </c>
      <c r="AE4" s="584" t="n">
        <v>2.6</v>
      </c>
      <c r="AF4" s="585" t="n">
        <v>4</v>
      </c>
      <c r="AG4" s="597" t="n">
        <v>4</v>
      </c>
      <c r="AH4" s="598" t="n">
        <v>2.7</v>
      </c>
      <c r="AI4" s="85" t="n">
        <v>2.6</v>
      </c>
      <c r="AJ4" s="86" t="n">
        <v>4.1</v>
      </c>
      <c r="AK4" s="47" t="n"/>
      <c r="AL4" s="87" t="inlineStr">
        <is>
          <t>ALB</t>
        </is>
      </c>
      <c r="AM4" s="599" t="n">
        <v>4</v>
      </c>
      <c r="AN4" s="599" t="n">
        <v>2.7</v>
      </c>
      <c r="AO4" s="599" t="n"/>
      <c r="AP4" s="600" t="n"/>
      <c r="AQ4" s="601">
        <f>E4/AM4-1</f>
        <v/>
      </c>
      <c r="AR4" s="601">
        <f>F4/AN4-1</f>
        <v/>
      </c>
      <c r="AS4" s="602" t="n"/>
      <c r="AT4" s="603" t="n"/>
    </row>
    <row r="5">
      <c r="C5" s="64" t="inlineStr">
        <is>
          <t>ALP</t>
        </is>
      </c>
      <c r="D5" s="93" t="inlineStr">
        <is>
          <t>ALP</t>
        </is>
      </c>
      <c r="E5" s="94" t="n">
        <v>146</v>
      </c>
      <c r="F5" s="95" t="n">
        <v>456</v>
      </c>
      <c r="G5" s="96" t="n">
        <v>75</v>
      </c>
      <c r="H5" s="97" t="n">
        <v>230</v>
      </c>
      <c r="I5" s="94" t="n">
        <v>170</v>
      </c>
      <c r="J5" s="95" t="n">
        <v>775</v>
      </c>
      <c r="K5" s="96" t="inlineStr">
        <is>
          <t>35 (&lt;40)</t>
        </is>
      </c>
      <c r="L5" s="97" t="n">
        <v>340</v>
      </c>
      <c r="M5" s="94" t="n">
        <v>173</v>
      </c>
      <c r="N5" s="95" t="n">
        <v>768</v>
      </c>
      <c r="O5" s="96" t="n">
        <v>42</v>
      </c>
      <c r="P5" s="97" t="n">
        <v>321</v>
      </c>
      <c r="Q5" s="94" t="n">
        <v>172</v>
      </c>
      <c r="R5" s="95" t="n">
        <v>834</v>
      </c>
      <c r="S5" s="96" t="inlineStr">
        <is>
          <t>26 (&lt;40)</t>
        </is>
      </c>
      <c r="T5" s="97" t="n">
        <v>337</v>
      </c>
      <c r="U5" s="94" t="n">
        <v>444.5298303232613</v>
      </c>
      <c r="V5" s="95" t="n">
        <v>1955.12573923473</v>
      </c>
      <c r="W5" s="96" t="n">
        <v>121.6599056831194</v>
      </c>
      <c r="X5" s="97" t="n">
        <v>872.2534512993651</v>
      </c>
      <c r="Y5" s="94" t="n">
        <v>715</v>
      </c>
      <c r="Z5" s="95" t="n">
        <v>3504</v>
      </c>
      <c r="AA5" s="96" t="n">
        <v>110</v>
      </c>
      <c r="AB5" s="97" t="n">
        <v>950</v>
      </c>
      <c r="AC5" s="98" t="n">
        <v>130</v>
      </c>
      <c r="AD5" s="95" t="n">
        <v>665</v>
      </c>
      <c r="AE5" s="96" t="n">
        <v>29</v>
      </c>
      <c r="AF5" s="97" t="n">
        <v>321</v>
      </c>
      <c r="AG5" s="99" t="n">
        <v>136</v>
      </c>
      <c r="AH5" s="100" t="n">
        <v>456</v>
      </c>
      <c r="AI5" s="96" t="n">
        <v>75</v>
      </c>
      <c r="AJ5" s="97" t="n">
        <v>251</v>
      </c>
      <c r="AK5" s="47" t="n"/>
      <c r="AL5" s="87" t="inlineStr">
        <is>
          <t>ALP</t>
        </is>
      </c>
      <c r="AM5" s="101" t="n">
        <v>136</v>
      </c>
      <c r="AN5" s="101" t="n">
        <v>456</v>
      </c>
      <c r="AO5" s="101" t="n"/>
      <c r="AP5" s="102" t="n"/>
      <c r="AQ5" s="601">
        <f>E5/AM5-1</f>
        <v/>
      </c>
      <c r="AR5" s="601">
        <f>F5/AN5-1</f>
        <v/>
      </c>
      <c r="AS5" s="604" t="n"/>
      <c r="AT5" s="605" t="n"/>
    </row>
    <row r="6">
      <c r="C6" s="64" t="inlineStr">
        <is>
          <t>ALT</t>
        </is>
      </c>
      <c r="D6" s="105" t="inlineStr">
        <is>
          <t>ALT-A</t>
        </is>
      </c>
      <c r="E6" s="94" t="n">
        <v>26</v>
      </c>
      <c r="F6" s="77" t="n">
        <v>122</v>
      </c>
      <c r="G6" s="106" t="n">
        <v>22</v>
      </c>
      <c r="H6" s="107" t="n">
        <v>209</v>
      </c>
      <c r="I6" s="108" t="n">
        <v>37</v>
      </c>
      <c r="J6" s="106" t="n">
        <v>94</v>
      </c>
      <c r="K6" s="95" t="n">
        <v>35</v>
      </c>
      <c r="L6" s="109" t="n">
        <v>150</v>
      </c>
      <c r="M6" s="108" t="n">
        <v>14</v>
      </c>
      <c r="N6" s="95" t="n">
        <v>74</v>
      </c>
      <c r="O6" s="95" t="n">
        <v>13</v>
      </c>
      <c r="P6" s="109" t="n">
        <v>140</v>
      </c>
      <c r="Q6" s="108" t="n">
        <v>37</v>
      </c>
      <c r="R6" s="106" t="n">
        <v>94</v>
      </c>
      <c r="S6" s="95" t="n">
        <v>35</v>
      </c>
      <c r="T6" s="109" t="n">
        <v>150</v>
      </c>
      <c r="U6" s="108" t="n">
        <v>23</v>
      </c>
      <c r="V6" s="95" t="n">
        <v>74</v>
      </c>
      <c r="W6" s="85" t="n">
        <v>23</v>
      </c>
      <c r="X6" s="109" t="n">
        <v>139</v>
      </c>
      <c r="Y6" s="108" t="n">
        <v>25</v>
      </c>
      <c r="Z6" s="95" t="n">
        <v>68</v>
      </c>
      <c r="AA6" s="85" t="n">
        <v>26</v>
      </c>
      <c r="AB6" s="109" t="n">
        <v>117</v>
      </c>
      <c r="AC6" s="509" t="inlineStr">
        <is>
          <t>無</t>
        </is>
      </c>
      <c r="AD6" s="606" t="n"/>
      <c r="AE6" s="606" t="n"/>
      <c r="AF6" s="607" t="n"/>
      <c r="AG6" s="111" t="n">
        <v>28</v>
      </c>
      <c r="AH6" s="112" t="n">
        <v>115</v>
      </c>
      <c r="AI6" s="95" t="n">
        <v>28</v>
      </c>
      <c r="AJ6" s="509" t="n">
        <v>217</v>
      </c>
      <c r="AK6" s="47" t="n"/>
      <c r="AL6" s="113" t="inlineStr">
        <is>
          <t>ALT</t>
        </is>
      </c>
      <c r="AM6" s="101" t="n">
        <v>32</v>
      </c>
      <c r="AN6" s="101" t="n">
        <v>120</v>
      </c>
      <c r="AO6" s="101" t="n"/>
      <c r="AP6" s="102" t="n"/>
      <c r="AQ6" s="601">
        <f>E6/AM6-1</f>
        <v/>
      </c>
      <c r="AR6" s="601">
        <f>F6/AN6-1</f>
        <v/>
      </c>
      <c r="AS6" s="604" t="n"/>
      <c r="AT6" s="605" t="n"/>
    </row>
    <row r="7">
      <c r="C7" s="64" t="inlineStr">
        <is>
          <t>AMY</t>
        </is>
      </c>
      <c r="D7" s="105" t="inlineStr">
        <is>
          <t>AMY</t>
        </is>
      </c>
      <c r="E7" s="94" t="n">
        <v>78</v>
      </c>
      <c r="F7" s="106" t="n">
        <v>404</v>
      </c>
      <c r="G7" s="106" t="n">
        <v>63</v>
      </c>
      <c r="H7" s="107" t="n">
        <v>297</v>
      </c>
      <c r="I7" s="94" t="n">
        <v>74</v>
      </c>
      <c r="J7" s="106" t="n">
        <v>265</v>
      </c>
      <c r="K7" s="106" t="n">
        <v>67</v>
      </c>
      <c r="L7" s="78" t="n">
        <v>198</v>
      </c>
      <c r="M7" s="94" t="n">
        <v>85</v>
      </c>
      <c r="N7" s="106" t="n">
        <v>270</v>
      </c>
      <c r="O7" s="106" t="n">
        <v>78</v>
      </c>
      <c r="P7" s="78" t="n">
        <v>205</v>
      </c>
      <c r="Q7" s="94" t="n">
        <v>74</v>
      </c>
      <c r="R7" s="106" t="n">
        <v>265</v>
      </c>
      <c r="S7" s="106" t="n">
        <v>67</v>
      </c>
      <c r="T7" s="78" t="n">
        <v>198</v>
      </c>
      <c r="U7" s="108" t="n">
        <v>43</v>
      </c>
      <c r="V7" s="95" t="n">
        <v>291</v>
      </c>
      <c r="W7" s="96" t="n">
        <v>34</v>
      </c>
      <c r="X7" s="109" t="n">
        <v>207</v>
      </c>
      <c r="Y7" s="108" t="n">
        <v>54</v>
      </c>
      <c r="Z7" s="95" t="n">
        <v>271</v>
      </c>
      <c r="AA7" s="96" t="n">
        <v>47</v>
      </c>
      <c r="AB7" s="109" t="n">
        <v>192</v>
      </c>
      <c r="AC7" s="95" t="n">
        <v>43</v>
      </c>
      <c r="AD7" s="95" t="n">
        <v>291</v>
      </c>
      <c r="AE7" s="96" t="n">
        <v>34</v>
      </c>
      <c r="AF7" s="109" t="n">
        <v>207</v>
      </c>
      <c r="AG7" s="111" t="n">
        <v>78</v>
      </c>
      <c r="AH7" s="112" t="n">
        <v>404</v>
      </c>
      <c r="AI7" s="95" t="n">
        <v>63</v>
      </c>
      <c r="AJ7" s="509" t="n">
        <v>297</v>
      </c>
      <c r="AK7" s="47" t="n"/>
      <c r="AL7" s="114" t="inlineStr">
        <is>
          <t xml:space="preserve">AMY (皆40-1) </t>
        </is>
      </c>
      <c r="AM7" s="101" t="n">
        <v>79</v>
      </c>
      <c r="AN7" s="101" t="n">
        <v>404</v>
      </c>
      <c r="AO7" s="101" t="n"/>
      <c r="AP7" s="102" t="n"/>
      <c r="AQ7" s="601">
        <f>E7/AM7-1</f>
        <v/>
      </c>
      <c r="AR7" s="601">
        <f>F7/AN7-1</f>
        <v/>
      </c>
      <c r="AS7" s="604" t="n"/>
      <c r="AT7" s="605" t="n"/>
    </row>
    <row r="8">
      <c r="C8" s="64" t="inlineStr">
        <is>
          <t>AST</t>
        </is>
      </c>
      <c r="D8" s="93" t="inlineStr">
        <is>
          <t xml:space="preserve">AST </t>
        </is>
      </c>
      <c r="E8" s="94" t="n">
        <v>44</v>
      </c>
      <c r="F8" s="106" t="n">
        <v>221</v>
      </c>
      <c r="G8" s="115" t="n">
        <v>46</v>
      </c>
      <c r="H8" s="107" t="n">
        <v>284.4598</v>
      </c>
      <c r="I8" s="94" t="n">
        <v>44.96741522493586</v>
      </c>
      <c r="J8" s="106" t="n">
        <v>212.9699761592701</v>
      </c>
      <c r="K8" s="106" t="n">
        <v>45.9165822358643</v>
      </c>
      <c r="L8" s="107" t="n">
        <v>273.3289638259051</v>
      </c>
      <c r="M8" s="94" t="n">
        <v>43.00908226698532</v>
      </c>
      <c r="N8" s="106" t="n">
        <v>196.7263729463981</v>
      </c>
      <c r="O8" s="106" t="n">
        <v>43.87754153636053</v>
      </c>
      <c r="P8" s="107" t="n">
        <v>252.1621883782861</v>
      </c>
      <c r="Q8" s="108" t="n">
        <v>45.0205</v>
      </c>
      <c r="R8" s="95" t="n">
        <v>217.9495</v>
      </c>
      <c r="S8" s="96" t="n">
        <v>45.9975</v>
      </c>
      <c r="T8" s="509" t="n">
        <v>280.0063</v>
      </c>
      <c r="U8" s="108" t="n">
        <v>39.3072</v>
      </c>
      <c r="V8" s="95" t="n">
        <v>190.8369</v>
      </c>
      <c r="W8" s="96" t="n">
        <v>40.1633</v>
      </c>
      <c r="X8" s="509" t="n">
        <v>245.5188</v>
      </c>
      <c r="Y8" s="108" t="n">
        <v>44</v>
      </c>
      <c r="Z8" s="95" t="n">
        <v>221</v>
      </c>
      <c r="AA8" s="96" t="n">
        <v>45</v>
      </c>
      <c r="AB8" s="509" t="n">
        <v>284.4598</v>
      </c>
      <c r="AC8" s="95" t="n">
        <v>44</v>
      </c>
      <c r="AD8" s="95" t="n">
        <v>221</v>
      </c>
      <c r="AE8" s="96" t="n">
        <v>45</v>
      </c>
      <c r="AF8" s="509" t="n">
        <v>284.4598</v>
      </c>
      <c r="AG8" s="111" t="n">
        <v>44</v>
      </c>
      <c r="AH8" s="112" t="n">
        <v>221</v>
      </c>
      <c r="AI8" s="95" t="n">
        <v>45</v>
      </c>
      <c r="AJ8" s="509" t="n">
        <v>282</v>
      </c>
      <c r="AK8" s="47" t="n"/>
      <c r="AL8" s="87" t="inlineStr">
        <is>
          <t>AST</t>
        </is>
      </c>
      <c r="AM8" s="101" t="n">
        <v>44</v>
      </c>
      <c r="AN8" s="101" t="n">
        <v>221</v>
      </c>
      <c r="AO8" s="101" t="n"/>
      <c r="AP8" s="102" t="n"/>
      <c r="AQ8" s="601">
        <f>E8/AM8-1</f>
        <v/>
      </c>
      <c r="AR8" s="601">
        <f>F8/AN8-1</f>
        <v/>
      </c>
      <c r="AS8" s="604" t="n"/>
      <c r="AT8" s="605" t="n"/>
    </row>
    <row r="9">
      <c r="C9" s="64" t="inlineStr">
        <is>
          <t>BUN</t>
        </is>
      </c>
      <c r="D9" s="93" t="inlineStr">
        <is>
          <t>BUN</t>
        </is>
      </c>
      <c r="E9" s="583" t="n">
        <v>14.8</v>
      </c>
      <c r="F9" s="596" t="n">
        <v>44.7</v>
      </c>
      <c r="G9" s="608" t="n">
        <v>14.7</v>
      </c>
      <c r="H9" s="609" t="n">
        <v>65.7</v>
      </c>
      <c r="I9" s="583" t="n">
        <v>15.16453436116298</v>
      </c>
      <c r="J9" s="596" t="n">
        <v>44.76300736311427</v>
      </c>
      <c r="K9" s="608" t="n">
        <v>15.39918721689296</v>
      </c>
      <c r="L9" s="609" t="n">
        <v>66.31365374359231</v>
      </c>
      <c r="M9" s="610" t="n">
        <v>14.1</v>
      </c>
      <c r="N9" s="608" t="n">
        <v>43.2</v>
      </c>
      <c r="O9" s="611" t="n">
        <v>14.2</v>
      </c>
      <c r="P9" s="612" t="n">
        <v>66.40000000000001</v>
      </c>
      <c r="Q9" s="583" t="n">
        <v>15.16453436116298</v>
      </c>
      <c r="R9" s="596" t="n">
        <v>44.76300736311427</v>
      </c>
      <c r="S9" s="608" t="n">
        <v>15.39918721689296</v>
      </c>
      <c r="T9" s="609" t="n">
        <v>66.31365374359231</v>
      </c>
      <c r="U9" s="583" t="n">
        <v>16.262744</v>
      </c>
      <c r="V9" s="596" t="n">
        <v>49.64160900000001</v>
      </c>
      <c r="W9" s="608" t="n">
        <v>16.145409</v>
      </c>
      <c r="X9" s="609" t="n">
        <v>71.05404900000001</v>
      </c>
      <c r="Y9" s="583" t="n">
        <v>16.262744</v>
      </c>
      <c r="Z9" s="596" t="n">
        <v>49.64160900000001</v>
      </c>
      <c r="AA9" s="608" t="n">
        <v>16.145409</v>
      </c>
      <c r="AB9" s="609" t="n">
        <v>71.05404900000001</v>
      </c>
      <c r="AC9" s="596" t="n">
        <v>16.262744</v>
      </c>
      <c r="AD9" s="596" t="n">
        <v>49.64160900000001</v>
      </c>
      <c r="AE9" s="608" t="n">
        <v>16.145409</v>
      </c>
      <c r="AF9" s="609" t="n">
        <v>71.05404900000001</v>
      </c>
      <c r="AG9" s="613" t="n">
        <v>14.8</v>
      </c>
      <c r="AH9" s="614" t="n">
        <v>44.7</v>
      </c>
      <c r="AI9" s="596" t="n">
        <v>14.7</v>
      </c>
      <c r="AJ9" s="109" t="n">
        <v>65.7</v>
      </c>
      <c r="AK9" s="47" t="n"/>
      <c r="AL9" s="87" t="inlineStr">
        <is>
          <t>BUN</t>
        </is>
      </c>
      <c r="AM9" s="123" t="n">
        <v>14.8</v>
      </c>
      <c r="AN9" s="123" t="n">
        <v>44.7</v>
      </c>
      <c r="AO9" s="123" t="n"/>
      <c r="AP9" s="124" t="n"/>
      <c r="AQ9" s="601">
        <f>E9/AM9-1</f>
        <v/>
      </c>
      <c r="AR9" s="601">
        <f>F9/AN9-1</f>
        <v/>
      </c>
      <c r="AS9" s="604" t="n"/>
      <c r="AT9" s="605" t="n"/>
    </row>
    <row r="10">
      <c r="C10" s="64" t="inlineStr">
        <is>
          <t>Ca</t>
        </is>
      </c>
      <c r="D10" s="105" t="inlineStr">
        <is>
          <t>Ca-B (TCI)</t>
        </is>
      </c>
      <c r="E10" s="76" t="n">
        <v>9.699999999999999</v>
      </c>
      <c r="F10" s="77" t="n">
        <v>12.8</v>
      </c>
      <c r="G10" s="125" t="n">
        <v>5.9</v>
      </c>
      <c r="H10" s="78" t="n">
        <v>12.7</v>
      </c>
      <c r="I10" s="583" t="n">
        <v>7.7</v>
      </c>
      <c r="J10" s="77" t="n">
        <v>11.5</v>
      </c>
      <c r="K10" s="596" t="n">
        <v>4.4</v>
      </c>
      <c r="L10" s="612" t="n">
        <v>11.1</v>
      </c>
      <c r="M10" s="583" t="n">
        <v>8.300000000000001</v>
      </c>
      <c r="N10" s="77" t="n">
        <v>10.4</v>
      </c>
      <c r="O10" s="596" t="n">
        <v>6.4</v>
      </c>
      <c r="P10" s="615" t="n">
        <v>10.2</v>
      </c>
      <c r="Q10" s="76" t="n">
        <v>8.6</v>
      </c>
      <c r="R10" s="77" t="n">
        <v>12.3</v>
      </c>
      <c r="S10" s="77" t="n">
        <v>5.3</v>
      </c>
      <c r="T10" s="78" t="n">
        <v>12.2</v>
      </c>
      <c r="U10" s="583" t="n">
        <v>9</v>
      </c>
      <c r="V10" s="596" t="n">
        <v>11.7</v>
      </c>
      <c r="W10" s="596" t="n">
        <v>6.5</v>
      </c>
      <c r="X10" s="109" t="n">
        <v>11.9</v>
      </c>
      <c r="Y10" s="583" t="n">
        <v>8.6</v>
      </c>
      <c r="Z10" s="596" t="n">
        <v>11.6</v>
      </c>
      <c r="AA10" s="596" t="n">
        <v>5.7</v>
      </c>
      <c r="AB10" s="109" t="n">
        <v>11.9</v>
      </c>
      <c r="AC10" s="125" t="n">
        <v>8.6</v>
      </c>
      <c r="AD10" s="77" t="n">
        <v>12.2</v>
      </c>
      <c r="AE10" s="77" t="n">
        <v>5.3</v>
      </c>
      <c r="AF10" s="78" t="n">
        <v>12.3</v>
      </c>
      <c r="AG10" s="613" t="n">
        <v>9.1</v>
      </c>
      <c r="AH10" s="614" t="n">
        <v>12.4</v>
      </c>
      <c r="AI10" s="596" t="n">
        <v>5.9</v>
      </c>
      <c r="AJ10" s="109" t="n">
        <v>12.7</v>
      </c>
      <c r="AK10" s="47" t="n"/>
      <c r="AL10" s="114" t="inlineStr">
        <is>
          <t>Ca</t>
        </is>
      </c>
      <c r="AM10" s="599" t="n">
        <v>9.1</v>
      </c>
      <c r="AN10" s="599" t="n">
        <v>12.4</v>
      </c>
      <c r="AO10" s="599" t="n"/>
      <c r="AP10" s="600" t="n"/>
      <c r="AQ10" s="601">
        <f>E10/AM10-1</f>
        <v/>
      </c>
      <c r="AR10" s="601">
        <f>F10/AN10-1</f>
        <v/>
      </c>
      <c r="AS10" s="604" t="n"/>
      <c r="AT10" s="605" t="n"/>
    </row>
    <row r="11">
      <c r="C11" s="64" t="inlineStr">
        <is>
          <t>Cl</t>
        </is>
      </c>
      <c r="D11" s="127" t="inlineStr">
        <is>
          <t>Cl</t>
        </is>
      </c>
      <c r="E11" s="108" t="n">
        <v>92</v>
      </c>
      <c r="F11" s="95" t="n">
        <v>86</v>
      </c>
      <c r="G11" s="77" t="n">
        <v>77</v>
      </c>
      <c r="H11" s="109" t="n">
        <v>118</v>
      </c>
      <c r="I11" s="108" t="n">
        <v>91</v>
      </c>
      <c r="J11" s="95" t="n">
        <v>83</v>
      </c>
      <c r="K11" s="77" t="n">
        <v>73</v>
      </c>
      <c r="L11" s="109" t="n">
        <v>116</v>
      </c>
      <c r="M11" s="108" t="n">
        <v>91</v>
      </c>
      <c r="N11" s="95" t="n">
        <v>82</v>
      </c>
      <c r="O11" s="77" t="n">
        <v>70</v>
      </c>
      <c r="P11" s="109" t="n">
        <v>123</v>
      </c>
      <c r="Q11" s="108" t="n">
        <v>91</v>
      </c>
      <c r="R11" s="95" t="n">
        <v>83</v>
      </c>
      <c r="S11" s="77" t="n">
        <v>73</v>
      </c>
      <c r="T11" s="109" t="n">
        <v>116</v>
      </c>
      <c r="U11" s="108" t="n"/>
      <c r="V11" s="95" t="n"/>
      <c r="W11" s="77" t="n">
        <v>89</v>
      </c>
      <c r="X11" s="109" t="n">
        <v>123</v>
      </c>
      <c r="Y11" s="108" t="n"/>
      <c r="Z11" s="95" t="n"/>
      <c r="AA11" s="77" t="n">
        <v>78</v>
      </c>
      <c r="AB11" s="109" t="n">
        <v>127</v>
      </c>
      <c r="AC11" s="95" t="n"/>
      <c r="AD11" s="95" t="n"/>
      <c r="AE11" s="77" t="n">
        <v>89</v>
      </c>
      <c r="AF11" s="109" t="n">
        <v>123</v>
      </c>
      <c r="AG11" s="111" t="n">
        <v>90</v>
      </c>
      <c r="AH11" s="112" t="n">
        <v>91</v>
      </c>
      <c r="AI11" s="95" t="n">
        <v>77</v>
      </c>
      <c r="AJ11" s="509" t="n">
        <v>118</v>
      </c>
      <c r="AK11" s="47" t="n"/>
      <c r="AL11" s="114" t="inlineStr">
        <is>
          <t>Cl</t>
        </is>
      </c>
      <c r="AM11" s="123" t="n">
        <v>90</v>
      </c>
      <c r="AN11" s="123" t="n">
        <v>91</v>
      </c>
      <c r="AO11" s="123" t="n"/>
      <c r="AP11" s="124" t="n"/>
      <c r="AQ11" s="601">
        <f>E11/AM11-1</f>
        <v/>
      </c>
      <c r="AR11" s="601">
        <f>F11/AN11-1</f>
        <v/>
      </c>
      <c r="AS11" s="604" t="n"/>
      <c r="AT11" s="605" t="n"/>
    </row>
    <row r="12">
      <c r="C12" s="64" t="inlineStr">
        <is>
          <t>CK</t>
        </is>
      </c>
      <c r="D12" s="105" t="inlineStr">
        <is>
          <t>CK</t>
        </is>
      </c>
      <c r="E12" s="108" t="n">
        <v>138</v>
      </c>
      <c r="F12" s="95" t="n">
        <v>496</v>
      </c>
      <c r="G12" s="77" t="n">
        <v>73</v>
      </c>
      <c r="H12" s="109" t="n">
        <v>625</v>
      </c>
      <c r="I12" s="108" t="n">
        <v>138</v>
      </c>
      <c r="J12" s="95" t="n">
        <v>496</v>
      </c>
      <c r="K12" s="77" t="n">
        <v>73</v>
      </c>
      <c r="L12" s="109" t="n">
        <v>625</v>
      </c>
      <c r="M12" s="108" t="n">
        <v>138</v>
      </c>
      <c r="N12" s="95" t="n">
        <v>496</v>
      </c>
      <c r="O12" s="77" t="n">
        <v>73</v>
      </c>
      <c r="P12" s="109" t="n">
        <v>625</v>
      </c>
      <c r="Q12" s="108" t="n">
        <v>138</v>
      </c>
      <c r="R12" s="95" t="n">
        <v>496</v>
      </c>
      <c r="S12" s="77" t="n">
        <v>73</v>
      </c>
      <c r="T12" s="109" t="n">
        <v>625</v>
      </c>
      <c r="U12" s="108" t="n">
        <v>135</v>
      </c>
      <c r="V12" s="95" t="n">
        <v>480</v>
      </c>
      <c r="W12" s="77" t="n">
        <v>80</v>
      </c>
      <c r="X12" s="109" t="n">
        <v>645</v>
      </c>
      <c r="Y12" s="108" t="n">
        <v>135</v>
      </c>
      <c r="Z12" s="95" t="n">
        <v>480</v>
      </c>
      <c r="AA12" s="77" t="n">
        <v>80</v>
      </c>
      <c r="AB12" s="109" t="n">
        <v>645</v>
      </c>
      <c r="AC12" s="95" t="n">
        <v>135</v>
      </c>
      <c r="AD12" s="95" t="n">
        <v>480</v>
      </c>
      <c r="AE12" s="77" t="n">
        <v>80</v>
      </c>
      <c r="AF12" s="109" t="n">
        <v>645</v>
      </c>
      <c r="AG12" s="111" t="n">
        <v>135</v>
      </c>
      <c r="AH12" s="112" t="n">
        <v>480</v>
      </c>
      <c r="AI12" s="95" t="n">
        <v>80</v>
      </c>
      <c r="AJ12" s="509" t="n">
        <v>645</v>
      </c>
      <c r="AK12" s="47" t="n"/>
      <c r="AL12" s="87" t="inlineStr">
        <is>
          <t xml:space="preserve">CPK </t>
        </is>
      </c>
      <c r="AM12" s="123" t="n">
        <v>135</v>
      </c>
      <c r="AN12" s="123" t="n">
        <v>480</v>
      </c>
      <c r="AO12" s="123" t="n"/>
      <c r="AP12" s="124" t="n"/>
      <c r="AQ12" s="601">
        <f>E12/AM12-1</f>
        <v/>
      </c>
      <c r="AR12" s="601">
        <f>F12/AN12-1</f>
        <v/>
      </c>
      <c r="AS12" s="604" t="n"/>
      <c r="AT12" s="605" t="n"/>
    </row>
    <row r="13">
      <c r="C13" s="64" t="inlineStr">
        <is>
          <t>CREA</t>
        </is>
      </c>
      <c r="D13" s="65" t="inlineStr">
        <is>
          <t>CREA</t>
        </is>
      </c>
      <c r="E13" s="128" t="n">
        <v>1.25</v>
      </c>
      <c r="F13" s="129" t="n">
        <v>4.64</v>
      </c>
      <c r="G13" s="129" t="n">
        <v>0.6899999999999999</v>
      </c>
      <c r="H13" s="130" t="n">
        <v>5.36</v>
      </c>
      <c r="I13" s="131" t="n">
        <v>1.19010616135721</v>
      </c>
      <c r="J13" s="132" t="n">
        <v>5.255270516358151</v>
      </c>
      <c r="K13" s="132" t="n">
        <v>0.6701432787408106</v>
      </c>
      <c r="L13" s="133" t="n">
        <v>6.194598592258023</v>
      </c>
      <c r="M13" s="131" t="n">
        <v>1.348298057682491</v>
      </c>
      <c r="N13" s="132" t="n">
        <v>5.886533378764676</v>
      </c>
      <c r="O13" s="132" t="n">
        <v>0.7678260980091883</v>
      </c>
      <c r="P13" s="133" t="n">
        <v>6.936954748030339</v>
      </c>
      <c r="Q13" s="134" t="n">
        <v>1.22488</v>
      </c>
      <c r="R13" s="135" t="n">
        <v>5.534856</v>
      </c>
      <c r="S13" s="132" t="n">
        <v>0.6736039999999999</v>
      </c>
      <c r="T13" s="136" t="n">
        <v>6.527414289453024</v>
      </c>
      <c r="U13" s="134" t="n">
        <v>0.9319999999999999</v>
      </c>
      <c r="V13" s="135" t="n">
        <v>3.57736</v>
      </c>
      <c r="W13" s="132" t="n">
        <v>0.5936400000000001</v>
      </c>
      <c r="X13" s="136" t="n">
        <v>4.202870103812266</v>
      </c>
      <c r="Y13" s="134" t="n">
        <v>1.2</v>
      </c>
      <c r="Z13" s="135" t="n">
        <v>4.64</v>
      </c>
      <c r="AA13" s="132" t="n">
        <v>0.76</v>
      </c>
      <c r="AB13" s="136" t="n">
        <v>5.452324871325134</v>
      </c>
      <c r="AC13" s="135" t="n">
        <v>1.2</v>
      </c>
      <c r="AD13" s="135" t="n">
        <v>4.64</v>
      </c>
      <c r="AE13" s="132" t="n">
        <v>0.76</v>
      </c>
      <c r="AF13" s="136" t="n">
        <v>5.452324871325134</v>
      </c>
      <c r="AG13" s="613" t="n">
        <v>1.5</v>
      </c>
      <c r="AH13" s="614" t="n">
        <v>5.55</v>
      </c>
      <c r="AI13" s="596" t="n">
        <v>0.97</v>
      </c>
      <c r="AJ13" s="109" t="n">
        <v>5.95</v>
      </c>
      <c r="AK13" s="47" t="n"/>
      <c r="AL13" s="87" t="inlineStr">
        <is>
          <t>CREA</t>
        </is>
      </c>
      <c r="AM13" s="137" t="n">
        <v>1.5</v>
      </c>
      <c r="AN13" s="137" t="n">
        <v>5.55</v>
      </c>
      <c r="AO13" s="123" t="n"/>
      <c r="AP13" s="124" t="n"/>
      <c r="AQ13" s="601">
        <f>E13/AM13-1</f>
        <v/>
      </c>
      <c r="AR13" s="601">
        <f>F13/AN13-1</f>
        <v/>
      </c>
      <c r="AS13" s="604" t="n"/>
      <c r="AT13" s="605" t="n"/>
    </row>
    <row r="14">
      <c r="C14" s="64" t="inlineStr">
        <is>
          <t>tCO2</t>
        </is>
      </c>
      <c r="D14" s="93" t="inlineStr">
        <is>
          <t>tCO2</t>
        </is>
      </c>
      <c r="E14" s="616" t="n">
        <v>32.2</v>
      </c>
      <c r="F14" s="596" t="n">
        <v>21.2</v>
      </c>
      <c r="G14" s="617" t="n">
        <v>18.9</v>
      </c>
      <c r="H14" s="618" t="n">
        <v>27.2</v>
      </c>
      <c r="I14" s="583" t="n">
        <v>28</v>
      </c>
      <c r="J14" s="596" t="n">
        <v>19.4</v>
      </c>
      <c r="K14" s="608" t="n">
        <v>16.7</v>
      </c>
      <c r="L14" s="609" t="n">
        <v>23.4</v>
      </c>
      <c r="M14" s="583" t="n">
        <v>28</v>
      </c>
      <c r="N14" s="596" t="n">
        <v>19.4</v>
      </c>
      <c r="O14" s="608" t="n">
        <v>16.7</v>
      </c>
      <c r="P14" s="609" t="n">
        <v>23.4</v>
      </c>
      <c r="Q14" s="583" t="n">
        <v>31.3</v>
      </c>
      <c r="R14" s="596" t="n">
        <v>23.5</v>
      </c>
      <c r="S14" s="608" t="n">
        <v>19.4</v>
      </c>
      <c r="T14" s="609" t="n">
        <v>27.4</v>
      </c>
      <c r="U14" s="583" t="n">
        <v>28</v>
      </c>
      <c r="V14" s="596" t="n">
        <v>19.4</v>
      </c>
      <c r="W14" s="608" t="n">
        <v>16.7</v>
      </c>
      <c r="X14" s="609" t="n">
        <v>23.4</v>
      </c>
      <c r="Y14" s="583" t="n">
        <v>28</v>
      </c>
      <c r="Z14" s="596" t="n">
        <v>19.4</v>
      </c>
      <c r="AA14" s="608" t="n">
        <v>16.7</v>
      </c>
      <c r="AB14" s="609" t="n">
        <v>23.4</v>
      </c>
      <c r="AC14" s="596" t="n">
        <v>31.3</v>
      </c>
      <c r="AD14" s="596" t="n">
        <v>23.5</v>
      </c>
      <c r="AE14" s="608" t="n">
        <v>19.4</v>
      </c>
      <c r="AF14" s="609" t="n">
        <v>27.4</v>
      </c>
      <c r="AG14" s="613" t="n">
        <v>32.5</v>
      </c>
      <c r="AH14" s="614" t="n">
        <v>21.2</v>
      </c>
      <c r="AI14" s="596" t="n">
        <v>17.3</v>
      </c>
      <c r="AJ14" s="109" t="n">
        <v>26.7</v>
      </c>
      <c r="AK14" s="47" t="n"/>
      <c r="AL14" s="87" t="inlineStr">
        <is>
          <t>tCO2</t>
        </is>
      </c>
      <c r="AM14" s="599" t="n">
        <v>32.5</v>
      </c>
      <c r="AN14" s="599" t="n">
        <v>21.2</v>
      </c>
      <c r="AO14" s="599" t="n"/>
      <c r="AP14" s="600" t="n"/>
      <c r="AQ14" s="601">
        <f>E14/AM14-1</f>
        <v/>
      </c>
      <c r="AR14" s="601">
        <f>F14/AN14-1</f>
        <v/>
      </c>
      <c r="AS14" s="619" t="n"/>
      <c r="AT14" s="605" t="n"/>
    </row>
    <row r="15">
      <c r="C15" s="64" t="inlineStr">
        <is>
          <t>GGT</t>
        </is>
      </c>
      <c r="D15" s="105" t="inlineStr">
        <is>
          <t>GGT</t>
        </is>
      </c>
      <c r="E15" s="94" t="n">
        <v>60</v>
      </c>
      <c r="F15" s="98" t="n">
        <v>173</v>
      </c>
      <c r="G15" s="77" t="n">
        <v>24</v>
      </c>
      <c r="H15" s="109" t="n">
        <v>133</v>
      </c>
      <c r="I15" s="94" t="n">
        <v>34</v>
      </c>
      <c r="J15" s="106" t="n">
        <v>100</v>
      </c>
      <c r="K15" s="106" t="n">
        <v>14</v>
      </c>
      <c r="L15" s="107" t="n">
        <v>78</v>
      </c>
      <c r="M15" s="94" t="n">
        <v>69</v>
      </c>
      <c r="N15" s="106" t="n">
        <v>194</v>
      </c>
      <c r="O15" s="106" t="n">
        <v>30</v>
      </c>
      <c r="P15" s="107" t="n">
        <v>152</v>
      </c>
      <c r="Q15" s="94" t="n">
        <v>54</v>
      </c>
      <c r="R15" s="98" t="n">
        <v>142</v>
      </c>
      <c r="S15" s="77" t="n">
        <v>26</v>
      </c>
      <c r="T15" s="109" t="n">
        <v>107</v>
      </c>
      <c r="U15" s="94" t="n">
        <v>69</v>
      </c>
      <c r="V15" s="98" t="n">
        <v>196</v>
      </c>
      <c r="W15" s="77" t="n">
        <v>30</v>
      </c>
      <c r="X15" s="109" t="n">
        <v>157</v>
      </c>
      <c r="Y15" s="94" t="n">
        <v>54</v>
      </c>
      <c r="Z15" s="98" t="n">
        <v>151</v>
      </c>
      <c r="AA15" s="77" t="n">
        <v>24</v>
      </c>
      <c r="AB15" s="109" t="n">
        <v>121</v>
      </c>
      <c r="AC15" s="98" t="n">
        <v>54</v>
      </c>
      <c r="AD15" s="98" t="n">
        <v>142</v>
      </c>
      <c r="AE15" s="77" t="n">
        <v>26</v>
      </c>
      <c r="AF15" s="109" t="n">
        <v>107</v>
      </c>
      <c r="AG15" s="111" t="n">
        <v>60</v>
      </c>
      <c r="AH15" s="112" t="n">
        <v>173</v>
      </c>
      <c r="AI15" s="95" t="n">
        <v>24</v>
      </c>
      <c r="AJ15" s="509" t="n">
        <v>133</v>
      </c>
      <c r="AK15" s="47" t="n"/>
      <c r="AL15" s="114" t="inlineStr">
        <is>
          <t>GGT</t>
        </is>
      </c>
      <c r="AM15" s="101" t="n">
        <v>57</v>
      </c>
      <c r="AN15" s="101" t="n">
        <v>164</v>
      </c>
      <c r="AO15" s="101" t="n"/>
      <c r="AP15" s="102" t="n"/>
      <c r="AQ15" s="601">
        <f>E15/AM15-1</f>
        <v/>
      </c>
      <c r="AR15" s="601">
        <f>F15/AN15-1</f>
        <v/>
      </c>
      <c r="AS15" s="604" t="n"/>
      <c r="AT15" s="605" t="n"/>
    </row>
    <row r="16" ht="15" customHeight="1">
      <c r="C16" s="64" t="inlineStr">
        <is>
          <t>GLU</t>
        </is>
      </c>
      <c r="D16" s="105" t="inlineStr">
        <is>
          <t>GLU-B</t>
        </is>
      </c>
      <c r="E16" s="108" t="n">
        <v>92</v>
      </c>
      <c r="F16" s="142" t="n">
        <v>302</v>
      </c>
      <c r="G16" s="96" t="n">
        <v>67</v>
      </c>
      <c r="H16" s="97" t="n">
        <v>367</v>
      </c>
      <c r="I16" s="108" t="n">
        <v>78.95140000000001</v>
      </c>
      <c r="J16" s="96" t="n">
        <v>277.3396</v>
      </c>
      <c r="K16" s="96" t="n">
        <v>53.8036</v>
      </c>
      <c r="L16" s="97" t="n">
        <v>343.469</v>
      </c>
      <c r="M16" s="108" t="n">
        <v>87.5526</v>
      </c>
      <c r="N16" s="96" t="n">
        <v>276.0789</v>
      </c>
      <c r="O16" s="96" t="n">
        <v>63.6549</v>
      </c>
      <c r="P16" s="97" t="n">
        <v>338.921</v>
      </c>
      <c r="Q16" s="108" t="n">
        <v>87.5526</v>
      </c>
      <c r="R16" s="96" t="n">
        <v>276.0789</v>
      </c>
      <c r="S16" s="96" t="n">
        <v>63.6549</v>
      </c>
      <c r="T16" s="97" t="n">
        <v>338.921</v>
      </c>
      <c r="U16" s="143" t="n">
        <v>86</v>
      </c>
      <c r="V16" s="85" t="n">
        <v>299</v>
      </c>
      <c r="W16" s="85" t="n">
        <v>59</v>
      </c>
      <c r="X16" s="144" t="n">
        <v>370</v>
      </c>
      <c r="Y16" s="143" t="n">
        <v>86</v>
      </c>
      <c r="Z16" s="85" t="n">
        <v>299</v>
      </c>
      <c r="AA16" s="85" t="n">
        <v>59</v>
      </c>
      <c r="AB16" s="144" t="n">
        <v>370</v>
      </c>
      <c r="AC16" s="145" t="n">
        <v>86</v>
      </c>
      <c r="AD16" s="85" t="n">
        <v>299</v>
      </c>
      <c r="AE16" s="85" t="n">
        <v>59</v>
      </c>
      <c r="AF16" s="144" t="n">
        <v>370</v>
      </c>
      <c r="AG16" s="111" t="n">
        <v>92</v>
      </c>
      <c r="AH16" s="112" t="n">
        <v>299</v>
      </c>
      <c r="AI16" s="95" t="n">
        <v>67</v>
      </c>
      <c r="AJ16" s="509" t="n">
        <v>367</v>
      </c>
      <c r="AK16" s="47" t="n"/>
      <c r="AL16" s="114" t="inlineStr">
        <is>
          <t>GLU</t>
        </is>
      </c>
      <c r="AM16" s="101" t="n">
        <v>90</v>
      </c>
      <c r="AN16" s="101" t="n">
        <v>297</v>
      </c>
      <c r="AO16" s="101" t="n"/>
      <c r="AP16" s="102" t="n"/>
      <c r="AQ16" s="601">
        <f>E16/AM16-1</f>
        <v/>
      </c>
      <c r="AR16" s="601">
        <f>F16/AN16-1</f>
        <v/>
      </c>
      <c r="AS16" s="604" t="n"/>
      <c r="AT16" s="605" t="n"/>
    </row>
    <row r="17">
      <c r="C17" s="64" t="inlineStr">
        <is>
          <t>K</t>
        </is>
      </c>
      <c r="D17" s="127" t="inlineStr">
        <is>
          <t>K</t>
        </is>
      </c>
      <c r="E17" s="583" t="n">
        <v>3.9</v>
      </c>
      <c r="F17" s="596" t="n">
        <v>6.2</v>
      </c>
      <c r="G17" s="608" t="n">
        <v>2.2</v>
      </c>
      <c r="H17" s="609" t="n">
        <v>8.4</v>
      </c>
      <c r="I17" s="583" t="n">
        <v>3.5</v>
      </c>
      <c r="J17" s="596" t="n">
        <v>6.3</v>
      </c>
      <c r="K17" s="608" t="n">
        <v>1.8</v>
      </c>
      <c r="L17" s="609" t="n">
        <v>8.5</v>
      </c>
      <c r="M17" s="583" t="n">
        <v>3.5</v>
      </c>
      <c r="N17" s="596" t="n">
        <v>6</v>
      </c>
      <c r="O17" s="608" t="n">
        <v>2.1</v>
      </c>
      <c r="P17" s="609" t="n">
        <v>8.199999999999999</v>
      </c>
      <c r="Q17" s="583" t="n">
        <v>3.5</v>
      </c>
      <c r="R17" s="596" t="n">
        <v>5.7</v>
      </c>
      <c r="S17" s="608" t="n">
        <v>2</v>
      </c>
      <c r="T17" s="609" t="n">
        <v>7.5</v>
      </c>
      <c r="U17" s="583" t="n">
        <v>3.5</v>
      </c>
      <c r="V17" s="596" t="n">
        <v>5.4</v>
      </c>
      <c r="W17" s="608" t="n">
        <v>2.3</v>
      </c>
      <c r="X17" s="609" t="n">
        <v>7.2</v>
      </c>
      <c r="Y17" s="583" t="n">
        <v>3.6</v>
      </c>
      <c r="Z17" s="596" t="n">
        <v>5.3</v>
      </c>
      <c r="AA17" s="608" t="n">
        <v>2.5</v>
      </c>
      <c r="AB17" s="609" t="n">
        <v>6.9</v>
      </c>
      <c r="AC17" s="596" t="n">
        <v>3.6</v>
      </c>
      <c r="AD17" s="596" t="n">
        <v>5.6</v>
      </c>
      <c r="AE17" s="608" t="n">
        <v>2.3</v>
      </c>
      <c r="AF17" s="609" t="n">
        <v>7.4</v>
      </c>
      <c r="AG17" s="613" t="n">
        <v>3.9</v>
      </c>
      <c r="AH17" s="614" t="n">
        <v>6.2</v>
      </c>
      <c r="AI17" s="596" t="n">
        <v>2.2</v>
      </c>
      <c r="AJ17" s="109" t="n">
        <v>8.4</v>
      </c>
      <c r="AK17" s="47" t="n"/>
      <c r="AL17" s="114" t="inlineStr">
        <is>
          <t>K</t>
        </is>
      </c>
      <c r="AM17" s="123" t="n">
        <v>3.9</v>
      </c>
      <c r="AN17" s="123" t="n">
        <v>6.2</v>
      </c>
      <c r="AO17" s="123" t="n"/>
      <c r="AP17" s="124" t="n"/>
      <c r="AQ17" s="601">
        <f>E17/AM17-1</f>
        <v/>
      </c>
      <c r="AR17" s="601">
        <f>F17/AN17-1</f>
        <v/>
      </c>
      <c r="AS17" s="604" t="n"/>
      <c r="AT17" s="605" t="n"/>
    </row>
    <row r="18" ht="16.5" customHeight="1">
      <c r="C18" s="64" t="inlineStr">
        <is>
          <t>P-LIPA(比對Fuji)</t>
        </is>
      </c>
      <c r="D18" s="105" t="inlineStr">
        <is>
          <t>P-LIPA (比對Fuji)</t>
        </is>
      </c>
      <c r="E18" s="94" t="n">
        <v>57</v>
      </c>
      <c r="F18" s="106" t="n">
        <v>74</v>
      </c>
      <c r="G18" s="106" t="n">
        <v>27</v>
      </c>
      <c r="H18" s="107" t="n">
        <v>89</v>
      </c>
      <c r="I18" s="94" t="inlineStr">
        <is>
          <t>-</t>
        </is>
      </c>
      <c r="J18" s="106" t="inlineStr">
        <is>
          <t>-</t>
        </is>
      </c>
      <c r="K18" s="106" t="inlineStr">
        <is>
          <t>-</t>
        </is>
      </c>
      <c r="L18" s="107" t="inlineStr">
        <is>
          <t>-</t>
        </is>
      </c>
      <c r="M18" s="94" t="inlineStr">
        <is>
          <t>-</t>
        </is>
      </c>
      <c r="N18" s="106" t="inlineStr">
        <is>
          <t>-</t>
        </is>
      </c>
      <c r="O18" s="106" t="inlineStr">
        <is>
          <t>-</t>
        </is>
      </c>
      <c r="P18" s="107" t="inlineStr">
        <is>
          <t>-</t>
        </is>
      </c>
      <c r="Q18" s="94" t="inlineStr">
        <is>
          <t>-</t>
        </is>
      </c>
      <c r="R18" s="106" t="inlineStr">
        <is>
          <t>-</t>
        </is>
      </c>
      <c r="S18" s="106" t="inlineStr">
        <is>
          <t>-</t>
        </is>
      </c>
      <c r="T18" s="107" t="inlineStr">
        <is>
          <t>-</t>
        </is>
      </c>
      <c r="U18" s="94" t="n">
        <v>42</v>
      </c>
      <c r="V18" s="106" t="n">
        <v>63</v>
      </c>
      <c r="W18" s="106" t="n">
        <v>24</v>
      </c>
      <c r="X18" s="107" t="n">
        <v>95</v>
      </c>
      <c r="Y18" s="94" t="n">
        <v>42</v>
      </c>
      <c r="Z18" s="106" t="n">
        <v>63</v>
      </c>
      <c r="AA18" s="106" t="n">
        <v>24</v>
      </c>
      <c r="AB18" s="107" t="n">
        <v>95</v>
      </c>
      <c r="AC18" s="98" t="n">
        <v>42</v>
      </c>
      <c r="AD18" s="106" t="n">
        <v>63</v>
      </c>
      <c r="AE18" s="106" t="n">
        <v>24</v>
      </c>
      <c r="AF18" s="107" t="n">
        <v>95</v>
      </c>
      <c r="AG18" s="111" t="n">
        <v>57</v>
      </c>
      <c r="AH18" s="112" t="n">
        <v>74</v>
      </c>
      <c r="AI18" s="95" t="n">
        <v>27</v>
      </c>
      <c r="AJ18" s="509" t="n">
        <v>88</v>
      </c>
      <c r="AK18" s="47" t="n"/>
      <c r="AL18" s="114" t="inlineStr">
        <is>
          <t xml:space="preserve">LIPA </t>
        </is>
      </c>
      <c r="AM18" s="123" t="n">
        <v>54</v>
      </c>
      <c r="AN18" s="123" t="n">
        <v>81</v>
      </c>
      <c r="AO18" s="123" t="n"/>
      <c r="AP18" s="124" t="n"/>
      <c r="AQ18" s="601">
        <f>E18/AM18-1</f>
        <v/>
      </c>
      <c r="AR18" s="601">
        <f>F18/AN18-1</f>
        <v/>
      </c>
      <c r="AS18" s="604" t="n"/>
      <c r="AT18" s="605" t="n"/>
    </row>
    <row r="19">
      <c r="C19" s="64" t="inlineStr">
        <is>
          <t>P-LIPA</t>
        </is>
      </c>
      <c r="D19" s="105" t="inlineStr">
        <is>
          <t>P-LIPA (比對IDEXX)</t>
        </is>
      </c>
      <c r="E19" s="620" t="n">
        <v>73.5</v>
      </c>
      <c r="F19" s="608" t="n">
        <v>92.7</v>
      </c>
      <c r="G19" s="608" t="n">
        <v>39.4</v>
      </c>
      <c r="H19" s="107" t="n">
        <v>108.3</v>
      </c>
      <c r="I19" s="620" t="n">
        <v>56.5</v>
      </c>
      <c r="J19" s="596" t="n">
        <v>80.3</v>
      </c>
      <c r="K19" s="608" t="n">
        <v>36</v>
      </c>
      <c r="L19" s="612" t="n">
        <v>115.6</v>
      </c>
      <c r="M19" s="620" t="n">
        <v>5.1</v>
      </c>
      <c r="N19" s="596" t="n">
        <v>10</v>
      </c>
      <c r="O19" s="608" t="n">
        <v>2.1</v>
      </c>
      <c r="P19" s="612" t="n">
        <v>19.7</v>
      </c>
      <c r="Q19" s="620" t="n">
        <v>56.5</v>
      </c>
      <c r="R19" s="596" t="n">
        <v>80.3</v>
      </c>
      <c r="S19" s="608" t="n">
        <v>36</v>
      </c>
      <c r="T19" s="612" t="n">
        <v>115.6</v>
      </c>
      <c r="U19" s="94" t="inlineStr">
        <is>
          <t>-</t>
        </is>
      </c>
      <c r="V19" s="106" t="inlineStr">
        <is>
          <t>-</t>
        </is>
      </c>
      <c r="W19" s="106" t="inlineStr">
        <is>
          <t>-</t>
        </is>
      </c>
      <c r="X19" s="107" t="inlineStr">
        <is>
          <t>-</t>
        </is>
      </c>
      <c r="Y19" s="94" t="inlineStr">
        <is>
          <t>-</t>
        </is>
      </c>
      <c r="Z19" s="106" t="inlineStr">
        <is>
          <t>-</t>
        </is>
      </c>
      <c r="AA19" s="106" t="inlineStr">
        <is>
          <t>-</t>
        </is>
      </c>
      <c r="AB19" s="107" t="inlineStr">
        <is>
          <t>-</t>
        </is>
      </c>
      <c r="AC19" s="94" t="inlineStr">
        <is>
          <t>-</t>
        </is>
      </c>
      <c r="AD19" s="106" t="inlineStr">
        <is>
          <t>-</t>
        </is>
      </c>
      <c r="AE19" s="106" t="inlineStr">
        <is>
          <t>-</t>
        </is>
      </c>
      <c r="AF19" s="107" t="inlineStr">
        <is>
          <t>-</t>
        </is>
      </c>
      <c r="AG19" s="111" t="n"/>
      <c r="AH19" s="112" t="n"/>
      <c r="AI19" s="95" t="n"/>
      <c r="AJ19" s="509" t="n"/>
      <c r="AK19" s="47" t="n"/>
      <c r="AL19" s="114" t="n"/>
      <c r="AM19" s="123" t="n"/>
      <c r="AN19" s="123" t="n"/>
      <c r="AO19" s="123" t="n"/>
      <c r="AP19" s="124" t="n"/>
      <c r="AQ19" s="601" t="n"/>
      <c r="AR19" s="601" t="n"/>
      <c r="AS19" s="604" t="n"/>
      <c r="AT19" s="605" t="n"/>
    </row>
    <row r="20">
      <c r="C20" s="64" t="inlineStr">
        <is>
          <t>PHOS</t>
        </is>
      </c>
      <c r="D20" s="105" t="inlineStr">
        <is>
          <t>PHOS-B</t>
        </is>
      </c>
      <c r="E20" s="620" t="n">
        <v>3.3</v>
      </c>
      <c r="F20" s="608" t="n">
        <v>7.2</v>
      </c>
      <c r="G20" s="608" t="n">
        <v>1.9</v>
      </c>
      <c r="H20" s="612" t="n">
        <v>7.3</v>
      </c>
      <c r="I20" s="620" t="n">
        <v>3.4</v>
      </c>
      <c r="J20" s="596" t="n">
        <v>6.6</v>
      </c>
      <c r="K20" s="608" t="n">
        <v>2.4</v>
      </c>
      <c r="L20" s="612" t="n">
        <v>6.7</v>
      </c>
      <c r="M20" s="620" t="n">
        <v>3.5</v>
      </c>
      <c r="N20" s="596" t="n">
        <v>7.5</v>
      </c>
      <c r="O20" s="608" t="n">
        <v>2.3</v>
      </c>
      <c r="P20" s="612" t="n">
        <v>7.6</v>
      </c>
      <c r="Q20" s="620" t="n">
        <v>3.3</v>
      </c>
      <c r="R20" s="596" t="n">
        <v>7</v>
      </c>
      <c r="S20" s="608" t="n">
        <v>2.2</v>
      </c>
      <c r="T20" s="612" t="n">
        <v>7.1</v>
      </c>
      <c r="U20" s="620" t="n">
        <v>3.8</v>
      </c>
      <c r="V20" s="608" t="n">
        <v>8.6</v>
      </c>
      <c r="W20" s="608" t="n">
        <v>2.3</v>
      </c>
      <c r="X20" s="612" t="n">
        <v>8.699999999999999</v>
      </c>
      <c r="Y20" s="620" t="n">
        <v>3.8</v>
      </c>
      <c r="Z20" s="608" t="n">
        <v>8.6</v>
      </c>
      <c r="AA20" s="608" t="n">
        <v>2.3</v>
      </c>
      <c r="AB20" s="612" t="n">
        <v>8.699999999999999</v>
      </c>
      <c r="AC20" s="620" t="n">
        <v>3.8</v>
      </c>
      <c r="AD20" s="608" t="n">
        <v>8.6</v>
      </c>
      <c r="AE20" s="608" t="n">
        <v>2.3</v>
      </c>
      <c r="AF20" s="612" t="n">
        <v>8.699999999999999</v>
      </c>
      <c r="AG20" s="613" t="n">
        <v>3.3</v>
      </c>
      <c r="AH20" s="614" t="n">
        <v>7.2</v>
      </c>
      <c r="AI20" s="596" t="n">
        <v>1.9</v>
      </c>
      <c r="AJ20" s="109" t="n">
        <v>7.2</v>
      </c>
      <c r="AK20" s="47" t="n"/>
      <c r="AL20" s="114" t="inlineStr">
        <is>
          <t>PHOS</t>
        </is>
      </c>
      <c r="AM20" s="599" t="n">
        <v>3.2</v>
      </c>
      <c r="AN20" s="599" t="n">
        <v>7.2</v>
      </c>
      <c r="AO20" s="101" t="n"/>
      <c r="AP20" s="102" t="n"/>
      <c r="AQ20" s="601">
        <f>E20/AM20-1</f>
        <v/>
      </c>
      <c r="AR20" s="601">
        <f>F20/AN20-1</f>
        <v/>
      </c>
      <c r="AS20" s="604" t="n"/>
      <c r="AT20" s="605" t="n"/>
    </row>
    <row r="21" ht="14.45" customHeight="1">
      <c r="C21" s="64" t="inlineStr">
        <is>
          <t>LAC</t>
        </is>
      </c>
      <c r="D21" s="105" t="inlineStr">
        <is>
          <t>LAC</t>
        </is>
      </c>
      <c r="E21" s="620" t="n">
        <v>4.399999999999999</v>
      </c>
      <c r="F21" s="132" t="n">
        <v>1.15</v>
      </c>
      <c r="G21" s="132" t="n">
        <v>1.45</v>
      </c>
      <c r="H21" s="609" t="n">
        <v>5.899999999999999</v>
      </c>
      <c r="I21" s="620" t="n">
        <v>4.399999999999999</v>
      </c>
      <c r="J21" s="132" t="n">
        <v>1.15</v>
      </c>
      <c r="K21" s="132" t="n">
        <v>1.45</v>
      </c>
      <c r="L21" s="609" t="n">
        <v>5.899999999999999</v>
      </c>
      <c r="M21" s="620" t="n">
        <v>4.399999999999999</v>
      </c>
      <c r="N21" s="132" t="n">
        <v>1.15</v>
      </c>
      <c r="O21" s="132" t="n">
        <v>1.45</v>
      </c>
      <c r="P21" s="609" t="n">
        <v>5.899999999999999</v>
      </c>
      <c r="Q21" s="620" t="n">
        <v>4.399999999999999</v>
      </c>
      <c r="R21" s="132" t="n">
        <v>1.15</v>
      </c>
      <c r="S21" s="132" t="n">
        <v>1.45</v>
      </c>
      <c r="T21" s="609" t="n">
        <v>5.899999999999999</v>
      </c>
      <c r="U21" s="620" t="n">
        <v>4.399999999999999</v>
      </c>
      <c r="V21" s="132" t="n">
        <v>1.15</v>
      </c>
      <c r="W21" s="132" t="n">
        <v>1.45</v>
      </c>
      <c r="X21" s="609" t="n">
        <v>5.899999999999999</v>
      </c>
      <c r="Y21" s="620" t="n">
        <v>4.399999999999999</v>
      </c>
      <c r="Z21" s="132" t="n">
        <v>1.15</v>
      </c>
      <c r="AA21" s="132" t="n">
        <v>1.45</v>
      </c>
      <c r="AB21" s="609" t="n">
        <v>5.899999999999999</v>
      </c>
      <c r="AC21" s="621" t="n">
        <v>4.399999999999999</v>
      </c>
      <c r="AD21" s="132" t="n">
        <v>1.15</v>
      </c>
      <c r="AE21" s="132" t="n">
        <v>1.45</v>
      </c>
      <c r="AF21" s="609" t="n">
        <v>5.899999999999999</v>
      </c>
      <c r="AG21" s="613" t="n">
        <v>4.399999999999999</v>
      </c>
      <c r="AH21" s="614" t="n">
        <v>1.15</v>
      </c>
      <c r="AI21" s="596" t="n">
        <v>1.45</v>
      </c>
      <c r="AJ21" s="109" t="n">
        <v>5.899999999999999</v>
      </c>
      <c r="AK21" s="47" t="n"/>
      <c r="AL21" s="114" t="inlineStr">
        <is>
          <t>LAC</t>
        </is>
      </c>
      <c r="AM21" s="123" t="n">
        <v>4.27</v>
      </c>
      <c r="AN21" s="123" t="n">
        <v>1.1</v>
      </c>
      <c r="AO21" s="101" t="n"/>
      <c r="AP21" s="102" t="n"/>
      <c r="AQ21" s="601">
        <f>E21/AM21-1</f>
        <v/>
      </c>
      <c r="AR21" s="601">
        <f>F21/AN21-1</f>
        <v/>
      </c>
      <c r="AS21" s="604" t="n"/>
      <c r="AT21" s="605" t="n"/>
    </row>
    <row r="22">
      <c r="C22" s="64" t="inlineStr">
        <is>
          <t>TBIL</t>
        </is>
      </c>
      <c r="D22" s="105" t="inlineStr">
        <is>
          <t>TBIL</t>
        </is>
      </c>
      <c r="E22" s="583" t="n">
        <v>1.3</v>
      </c>
      <c r="F22" s="608" t="n">
        <v>5.2</v>
      </c>
      <c r="G22" s="608" t="n">
        <v>0.7</v>
      </c>
      <c r="H22" s="612" t="n">
        <v>8.199999999999999</v>
      </c>
      <c r="I22" s="583" t="n">
        <v>1.1</v>
      </c>
      <c r="J22" s="584" t="n">
        <v>4.2</v>
      </c>
      <c r="K22" s="596" t="n">
        <v>0.8</v>
      </c>
      <c r="L22" s="585" t="n">
        <v>6</v>
      </c>
      <c r="M22" s="583" t="n">
        <v>0.7</v>
      </c>
      <c r="N22" s="584" t="n">
        <v>4.4</v>
      </c>
      <c r="O22" s="145" t="n">
        <v>0.5</v>
      </c>
      <c r="P22" s="585" t="n">
        <v>7.1</v>
      </c>
      <c r="Q22" s="583" t="n">
        <v>1</v>
      </c>
      <c r="R22" s="584" t="n">
        <v>4.6</v>
      </c>
      <c r="S22" s="145" t="n">
        <v>0.7</v>
      </c>
      <c r="T22" s="86" t="n">
        <v>7.7</v>
      </c>
      <c r="U22" s="583" t="n">
        <v>1.1</v>
      </c>
      <c r="V22" s="584" t="n">
        <v>4.4</v>
      </c>
      <c r="W22" s="596" t="n">
        <v>0.8</v>
      </c>
      <c r="X22" s="585" t="n">
        <v>7.5</v>
      </c>
      <c r="Y22" s="583" t="n">
        <v>1.4</v>
      </c>
      <c r="Z22" s="584" t="n">
        <v>4.9</v>
      </c>
      <c r="AA22" s="145" t="n">
        <v>1.1</v>
      </c>
      <c r="AB22" s="585" t="n">
        <v>8.300000000000001</v>
      </c>
      <c r="AC22" s="596" t="n">
        <v>1</v>
      </c>
      <c r="AD22" s="584" t="n">
        <v>4.6</v>
      </c>
      <c r="AE22" s="145" t="n">
        <v>0.7</v>
      </c>
      <c r="AF22" s="86" t="n">
        <v>7.7</v>
      </c>
      <c r="AG22" s="613" t="n">
        <v>1.1</v>
      </c>
      <c r="AH22" s="614" t="n">
        <v>5.1</v>
      </c>
      <c r="AI22" s="596" t="n">
        <v>0.8</v>
      </c>
      <c r="AJ22" s="109" t="n">
        <v>8.4</v>
      </c>
      <c r="AK22" s="47" t="n"/>
      <c r="AL22" s="114" t="inlineStr">
        <is>
          <t>TBIL</t>
        </is>
      </c>
      <c r="AM22" s="123" t="n">
        <v>1.1</v>
      </c>
      <c r="AN22" s="123" t="n">
        <v>5.5</v>
      </c>
      <c r="AO22" s="123" t="n"/>
      <c r="AP22" s="600" t="n"/>
      <c r="AQ22" s="601">
        <f>E22/AM22-1</f>
        <v/>
      </c>
      <c r="AR22" s="601">
        <f>F22/AN22-1</f>
        <v/>
      </c>
      <c r="AS22" s="604" t="n"/>
      <c r="AT22" s="605" t="n"/>
    </row>
    <row r="23">
      <c r="C23" s="64" t="inlineStr">
        <is>
          <t>CHOL</t>
        </is>
      </c>
      <c r="D23" s="105" t="inlineStr">
        <is>
          <t>CHOL</t>
        </is>
      </c>
      <c r="E23" s="108" t="n">
        <v>233</v>
      </c>
      <c r="F23" s="95" t="n">
        <v>99</v>
      </c>
      <c r="G23" s="85" t="n">
        <v>113</v>
      </c>
      <c r="H23" s="86" t="n">
        <v>265</v>
      </c>
      <c r="I23" s="108" t="n">
        <v>206</v>
      </c>
      <c r="J23" s="95" t="n">
        <v>104</v>
      </c>
      <c r="K23" s="85" t="n">
        <v>114</v>
      </c>
      <c r="L23" s="148" t="n">
        <v>234</v>
      </c>
      <c r="M23" s="108" t="n">
        <v>206</v>
      </c>
      <c r="N23" s="95" t="n">
        <v>104</v>
      </c>
      <c r="O23" s="85" t="n">
        <v>114</v>
      </c>
      <c r="P23" s="148" t="n">
        <v>234</v>
      </c>
      <c r="Q23" s="108" t="n">
        <v>206</v>
      </c>
      <c r="R23" s="95" t="n">
        <v>104</v>
      </c>
      <c r="S23" s="85" t="n">
        <v>114</v>
      </c>
      <c r="T23" s="148" t="n">
        <v>234</v>
      </c>
      <c r="U23" s="108" t="n">
        <v>238</v>
      </c>
      <c r="V23" s="95" t="n">
        <v>100</v>
      </c>
      <c r="W23" s="85" t="n">
        <v>117</v>
      </c>
      <c r="X23" s="148" t="n">
        <v>303</v>
      </c>
      <c r="Y23" s="108" t="n">
        <v>238</v>
      </c>
      <c r="Z23" s="95" t="n">
        <v>100</v>
      </c>
      <c r="AA23" s="85" t="n">
        <v>117</v>
      </c>
      <c r="AB23" s="148" t="n">
        <v>303</v>
      </c>
      <c r="AC23" s="95" t="n">
        <v>238</v>
      </c>
      <c r="AD23" s="95" t="n">
        <v>100</v>
      </c>
      <c r="AE23" s="85" t="n">
        <v>117</v>
      </c>
      <c r="AF23" s="148" t="n">
        <v>303</v>
      </c>
      <c r="AG23" s="111" t="n">
        <v>228</v>
      </c>
      <c r="AH23" s="112" t="n">
        <v>99</v>
      </c>
      <c r="AI23" s="95" t="n">
        <v>115</v>
      </c>
      <c r="AJ23" s="509" t="n">
        <v>269</v>
      </c>
      <c r="AK23" s="47" t="n"/>
      <c r="AL23" s="114" t="inlineStr">
        <is>
          <t>CHOL</t>
        </is>
      </c>
      <c r="AM23" s="101" t="n">
        <v>228</v>
      </c>
      <c r="AN23" s="101" t="n">
        <v>99</v>
      </c>
      <c r="AO23" s="137" t="n"/>
      <c r="AP23" s="149" t="n"/>
      <c r="AQ23" s="601">
        <f>E23/AM23-1</f>
        <v/>
      </c>
      <c r="AR23" s="601">
        <f>F23/AN23-1</f>
        <v/>
      </c>
      <c r="AS23" s="604" t="n"/>
      <c r="AT23" s="605" t="n"/>
    </row>
    <row r="24">
      <c r="C24" s="64" t="inlineStr">
        <is>
          <t>TP</t>
        </is>
      </c>
      <c r="D24" s="150" t="inlineStr">
        <is>
          <t>TP</t>
        </is>
      </c>
      <c r="E24" s="583" t="n">
        <v>6.5</v>
      </c>
      <c r="F24" s="596" t="n">
        <v>4.3</v>
      </c>
      <c r="G24" s="608" t="n">
        <v>4</v>
      </c>
      <c r="H24" s="609" t="n">
        <v>7.4</v>
      </c>
      <c r="I24" s="583" t="n">
        <v>7</v>
      </c>
      <c r="J24" s="596" t="n">
        <v>4.9</v>
      </c>
      <c r="K24" s="608" t="n">
        <v>4.6</v>
      </c>
      <c r="L24" s="609" t="n">
        <v>7.8</v>
      </c>
      <c r="M24" s="583" t="n">
        <v>6.4</v>
      </c>
      <c r="N24" s="596" t="n">
        <v>4.2</v>
      </c>
      <c r="O24" s="608" t="n">
        <v>4</v>
      </c>
      <c r="P24" s="609" t="n">
        <v>7.3</v>
      </c>
      <c r="Q24" s="583" t="n">
        <v>7.4</v>
      </c>
      <c r="R24" s="596" t="n">
        <v>4.9</v>
      </c>
      <c r="S24" s="608" t="n">
        <v>4.7</v>
      </c>
      <c r="T24" s="609" t="n">
        <v>8.300000000000001</v>
      </c>
      <c r="U24" s="583" t="n">
        <v>5.9</v>
      </c>
      <c r="V24" s="596" t="n">
        <v>4.1</v>
      </c>
      <c r="W24" s="608" t="n">
        <v>4.1</v>
      </c>
      <c r="X24" s="609" t="n">
        <v>6.8</v>
      </c>
      <c r="Y24" s="583" t="n">
        <v>6.2</v>
      </c>
      <c r="Z24" s="596" t="n">
        <v>4.8</v>
      </c>
      <c r="AA24" s="608" t="n">
        <v>4.8</v>
      </c>
      <c r="AB24" s="609" t="n">
        <v>6.9</v>
      </c>
      <c r="AC24" s="596" t="n">
        <v>6.2</v>
      </c>
      <c r="AD24" s="596" t="n">
        <v>4.2</v>
      </c>
      <c r="AE24" s="608" t="n">
        <v>4.1</v>
      </c>
      <c r="AF24" s="609" t="n">
        <v>7.3</v>
      </c>
      <c r="AG24" s="613" t="n">
        <v>6.4</v>
      </c>
      <c r="AH24" s="614" t="n">
        <v>4.1</v>
      </c>
      <c r="AI24" s="596" t="n">
        <v>4.2</v>
      </c>
      <c r="AJ24" s="109" t="n">
        <v>7.5</v>
      </c>
      <c r="AK24" s="47" t="n"/>
      <c r="AL24" s="114" t="inlineStr">
        <is>
          <t>TP</t>
        </is>
      </c>
      <c r="AM24" s="599" t="n">
        <v>6.4</v>
      </c>
      <c r="AN24" s="599" t="n">
        <v>4.1</v>
      </c>
      <c r="AO24" s="101" t="n"/>
      <c r="AP24" s="102" t="n"/>
      <c r="AQ24" s="601">
        <f>E24/AM24-1</f>
        <v/>
      </c>
      <c r="AR24" s="601">
        <f>F24/AN24-1</f>
        <v/>
      </c>
      <c r="AS24" s="604" t="n"/>
      <c r="AT24" s="605" t="n"/>
    </row>
    <row r="25" customFormat="1" s="151">
      <c r="C25" s="152" t="inlineStr">
        <is>
          <t>Mg</t>
        </is>
      </c>
      <c r="D25" s="153" t="inlineStr">
        <is>
          <t>Mg</t>
        </is>
      </c>
      <c r="E25" s="134" t="n">
        <v>2.45</v>
      </c>
      <c r="F25" s="135" t="n">
        <v>4.4</v>
      </c>
      <c r="G25" s="132" t="n">
        <v>1</v>
      </c>
      <c r="H25" s="136" t="n">
        <v>4.07</v>
      </c>
      <c r="I25" s="134" t="n">
        <v>2.69</v>
      </c>
      <c r="J25" s="135" t="n">
        <v>5.05</v>
      </c>
      <c r="K25" s="132" t="n">
        <v>1.38</v>
      </c>
      <c r="L25" s="136" t="n">
        <v>4.26</v>
      </c>
      <c r="M25" s="134" t="n">
        <v>2.83</v>
      </c>
      <c r="N25" s="135" t="n">
        <v>5.08</v>
      </c>
      <c r="O25" s="132" t="n">
        <v>1.57</v>
      </c>
      <c r="P25" s="136" t="n">
        <v>4.33</v>
      </c>
      <c r="Q25" s="134" t="n">
        <v>2.69</v>
      </c>
      <c r="R25" s="135" t="n">
        <v>5.05</v>
      </c>
      <c r="S25" s="132" t="n">
        <v>1.38</v>
      </c>
      <c r="T25" s="136" t="n">
        <v>4.26</v>
      </c>
      <c r="U25" s="108" t="n"/>
      <c r="V25" s="95" t="n"/>
      <c r="W25" s="608" t="n"/>
      <c r="X25" s="609" t="n"/>
      <c r="Y25" s="108" t="n"/>
      <c r="Z25" s="95" t="n"/>
      <c r="AA25" s="608" t="n"/>
      <c r="AB25" s="609" t="n"/>
      <c r="AC25" s="95" t="n"/>
      <c r="AD25" s="95" t="n"/>
      <c r="AE25" s="608" t="n"/>
      <c r="AF25" s="609" t="n"/>
      <c r="AG25" s="622" t="n">
        <v>2.4</v>
      </c>
      <c r="AH25" s="623" t="n">
        <v>4.4</v>
      </c>
      <c r="AI25" s="608" t="n">
        <v>1</v>
      </c>
      <c r="AJ25" s="609" t="n">
        <v>4</v>
      </c>
      <c r="AL25" s="156" t="inlineStr">
        <is>
          <t>Mg</t>
        </is>
      </c>
      <c r="AM25" s="123" t="n">
        <v>2.4</v>
      </c>
      <c r="AN25" s="123" t="n">
        <v>4.4</v>
      </c>
      <c r="AO25" s="123" t="n"/>
      <c r="AP25" s="600" t="n"/>
      <c r="AQ25" s="601">
        <f>E25/AM25-1</f>
        <v/>
      </c>
      <c r="AR25" s="601">
        <f>F25/AN25-1</f>
        <v/>
      </c>
      <c r="AS25" s="604" t="n"/>
      <c r="AT25" s="605" t="n"/>
    </row>
    <row r="26" customFormat="1" s="157">
      <c r="C26" s="152" t="inlineStr">
        <is>
          <t>URIC</t>
        </is>
      </c>
      <c r="D26" s="153" t="inlineStr">
        <is>
          <t>UA</t>
        </is>
      </c>
      <c r="E26" s="620" t="n">
        <v>4.561200670000002</v>
      </c>
      <c r="F26" s="608" t="n">
        <v>9.699999999999999</v>
      </c>
      <c r="G26" s="608" t="n">
        <v>2.7</v>
      </c>
      <c r="H26" s="609" t="n">
        <v>9.699999999999999</v>
      </c>
      <c r="I26" s="620" t="n">
        <v>4.561200670000002</v>
      </c>
      <c r="J26" s="608" t="n">
        <v>9.699999999999999</v>
      </c>
      <c r="K26" s="608" t="n">
        <v>2.7</v>
      </c>
      <c r="L26" s="609" t="n">
        <v>9.699999999999999</v>
      </c>
      <c r="M26" s="620" t="n">
        <v>4.561200670000002</v>
      </c>
      <c r="N26" s="608" t="n">
        <v>9.699999999999999</v>
      </c>
      <c r="O26" s="608" t="n">
        <v>2.7</v>
      </c>
      <c r="P26" s="609" t="n">
        <v>9.699999999999999</v>
      </c>
      <c r="Q26" s="620" t="n">
        <v>4.561200670000002</v>
      </c>
      <c r="R26" s="608" t="n">
        <v>9.699999999999999</v>
      </c>
      <c r="S26" s="608" t="n">
        <v>2.7</v>
      </c>
      <c r="T26" s="609" t="n">
        <v>9.699999999999999</v>
      </c>
      <c r="U26" s="620" t="n">
        <v>4.561200670000002</v>
      </c>
      <c r="V26" s="608" t="n">
        <v>9.699999999999999</v>
      </c>
      <c r="W26" s="608" t="n">
        <v>2.7</v>
      </c>
      <c r="X26" s="609" t="n">
        <v>9.300000000000001</v>
      </c>
      <c r="Y26" s="620" t="n">
        <v>4.561200670000002</v>
      </c>
      <c r="Z26" s="608" t="n">
        <v>9.699999999999999</v>
      </c>
      <c r="AA26" s="608" t="n">
        <v>2.7</v>
      </c>
      <c r="AB26" s="609" t="n">
        <v>9.300000000000001</v>
      </c>
      <c r="AC26" s="621" t="n">
        <v>4.561200670000002</v>
      </c>
      <c r="AD26" s="608" t="n">
        <v>9.699999999999999</v>
      </c>
      <c r="AE26" s="608" t="n">
        <v>2.7</v>
      </c>
      <c r="AF26" s="611" t="n">
        <v>9.300000000000001</v>
      </c>
      <c r="AG26" s="622" t="n">
        <v>4.561200670000002</v>
      </c>
      <c r="AH26" s="623" t="n">
        <v>9.699999999999999</v>
      </c>
      <c r="AI26" s="608" t="n">
        <v>2.7</v>
      </c>
      <c r="AJ26" s="609" t="n">
        <v>9.300000000000001</v>
      </c>
      <c r="AL26" s="158" t="inlineStr">
        <is>
          <t>UA</t>
        </is>
      </c>
      <c r="AM26" s="123" t="n">
        <v>4.5</v>
      </c>
      <c r="AN26" s="123" t="n">
        <v>9.6</v>
      </c>
      <c r="AO26" s="123" t="n"/>
      <c r="AP26" s="124" t="n"/>
      <c r="AQ26" s="601">
        <f>E26/AM26-1</f>
        <v/>
      </c>
      <c r="AR26" s="601">
        <f>F26/AN26-1</f>
        <v/>
      </c>
      <c r="AS26" s="604" t="n"/>
      <c r="AT26" s="605" t="n"/>
    </row>
    <row r="27" customFormat="1" s="159">
      <c r="C27" s="152" t="inlineStr">
        <is>
          <t>TRIG</t>
        </is>
      </c>
      <c r="D27" s="160" t="inlineStr">
        <is>
          <t>TRIG</t>
        </is>
      </c>
      <c r="E27" s="161" t="n">
        <v>182</v>
      </c>
      <c r="F27" s="162" t="n">
        <v>98</v>
      </c>
      <c r="G27" s="163" t="n">
        <v>110</v>
      </c>
      <c r="H27" s="164" t="n">
        <v>227.1762208067941</v>
      </c>
      <c r="I27" s="161" t="n">
        <v>165</v>
      </c>
      <c r="J27" s="162" t="n">
        <v>82</v>
      </c>
      <c r="K27" s="162" t="n">
        <v>94</v>
      </c>
      <c r="L27" s="164" t="n">
        <v>208.067940552017</v>
      </c>
      <c r="M27" s="161" t="n">
        <v>165</v>
      </c>
      <c r="N27" s="162" t="n">
        <v>82</v>
      </c>
      <c r="O27" s="162" t="n">
        <v>94</v>
      </c>
      <c r="P27" s="164" t="n">
        <v>208.067940552017</v>
      </c>
      <c r="Q27" s="161" t="n">
        <v>165</v>
      </c>
      <c r="R27" s="162" t="n">
        <v>82</v>
      </c>
      <c r="S27" s="162" t="n">
        <v>94</v>
      </c>
      <c r="T27" s="164" t="n">
        <v>208.067940552017</v>
      </c>
      <c r="U27" s="108" t="n">
        <v>214</v>
      </c>
      <c r="V27" s="165" t="n">
        <v>86</v>
      </c>
      <c r="W27" s="106" t="n">
        <v>95</v>
      </c>
      <c r="X27" s="509" t="n">
        <v>304</v>
      </c>
      <c r="Y27" s="108" t="n">
        <v>214</v>
      </c>
      <c r="Z27" s="165" t="n">
        <v>86</v>
      </c>
      <c r="AA27" s="106" t="n">
        <v>95</v>
      </c>
      <c r="AB27" s="509" t="n">
        <v>304</v>
      </c>
      <c r="AC27" s="95" t="n">
        <v>214</v>
      </c>
      <c r="AD27" s="95" t="n">
        <v>86</v>
      </c>
      <c r="AE27" s="163" t="n">
        <v>95</v>
      </c>
      <c r="AF27" s="166" t="n">
        <v>304</v>
      </c>
      <c r="AG27" s="111" t="n">
        <v>165</v>
      </c>
      <c r="AH27" s="112" t="n">
        <v>100</v>
      </c>
      <c r="AI27" s="95" t="n">
        <v>110</v>
      </c>
      <c r="AJ27" s="509" t="n">
        <v>214</v>
      </c>
      <c r="AL27" s="158" t="inlineStr">
        <is>
          <t>TRIG</t>
        </is>
      </c>
      <c r="AM27" s="123" t="n"/>
      <c r="AN27" s="123" t="n"/>
      <c r="AO27" s="123" t="n"/>
      <c r="AP27" s="124" t="n"/>
      <c r="AQ27" s="601" t="n"/>
      <c r="AR27" s="601" t="n"/>
      <c r="AS27" s="604" t="n"/>
      <c r="AT27" s="605" t="n"/>
    </row>
    <row r="28" customFormat="1" s="159">
      <c r="C28" s="152" t="inlineStr">
        <is>
          <t>LDH</t>
        </is>
      </c>
      <c r="D28" s="160" t="inlineStr">
        <is>
          <t>LDH</t>
        </is>
      </c>
      <c r="E28" s="167" t="n">
        <v>299</v>
      </c>
      <c r="F28" s="168" t="n">
        <v>666</v>
      </c>
      <c r="G28" s="163" t="n">
        <v>190</v>
      </c>
      <c r="H28" s="166" t="n">
        <v>797</v>
      </c>
      <c r="I28" s="167" t="n">
        <v>421</v>
      </c>
      <c r="J28" s="168" t="n">
        <v>824</v>
      </c>
      <c r="K28" s="169" t="n">
        <v>312</v>
      </c>
      <c r="L28" s="170" t="n">
        <v>1050</v>
      </c>
      <c r="M28" s="167" t="n">
        <v>444</v>
      </c>
      <c r="N28" s="168" t="n">
        <v>884</v>
      </c>
      <c r="O28" s="169" t="n">
        <v>321</v>
      </c>
      <c r="P28" s="170" t="n">
        <v>1127</v>
      </c>
      <c r="Q28" s="167" t="n">
        <v>303</v>
      </c>
      <c r="R28" s="168" t="n">
        <v>656</v>
      </c>
      <c r="S28" s="163" t="n">
        <v>210</v>
      </c>
      <c r="T28" s="166" t="n">
        <v>798</v>
      </c>
      <c r="U28" s="167" t="n">
        <v>225</v>
      </c>
      <c r="V28" s="168" t="n">
        <v>495</v>
      </c>
      <c r="W28" s="169" t="n">
        <v>148</v>
      </c>
      <c r="X28" s="170" t="n">
        <v>658</v>
      </c>
      <c r="Y28" s="167" t="n">
        <v>205</v>
      </c>
      <c r="Z28" s="168" t="n">
        <v>397</v>
      </c>
      <c r="AA28" s="169" t="n">
        <v>146</v>
      </c>
      <c r="AB28" s="170" t="n">
        <v>506</v>
      </c>
      <c r="AC28" s="171" t="n">
        <v>338.5502920468638</v>
      </c>
      <c r="AD28" s="168" t="n">
        <v>677.5998479932769</v>
      </c>
      <c r="AE28" s="163" t="n">
        <v>154</v>
      </c>
      <c r="AF28" s="166" t="n">
        <v>781</v>
      </c>
      <c r="AG28" s="624" t="n"/>
      <c r="AH28" s="625" t="n"/>
      <c r="AI28" s="626" t="n"/>
      <c r="AJ28" s="627" t="n"/>
      <c r="AL28" s="158" t="inlineStr">
        <is>
          <t>LDH</t>
        </is>
      </c>
      <c r="AM28" s="123" t="n"/>
      <c r="AN28" s="123" t="n"/>
      <c r="AO28" s="123" t="n"/>
      <c r="AP28" s="124" t="n"/>
      <c r="AQ28" s="601" t="n"/>
      <c r="AR28" s="601" t="n"/>
      <c r="AS28" s="604" t="n"/>
      <c r="AT28" s="605" t="n"/>
    </row>
    <row r="29" ht="16.5" customFormat="1" customHeight="1" s="176" thickBot="1">
      <c r="C29" s="177" t="inlineStr">
        <is>
          <t>Na</t>
        </is>
      </c>
      <c r="D29" s="178" t="inlineStr">
        <is>
          <t>Na (Fuji -10)</t>
        </is>
      </c>
      <c r="E29" s="179" t="n">
        <v>147</v>
      </c>
      <c r="F29" s="180" t="n">
        <v>136</v>
      </c>
      <c r="G29" s="181" t="n">
        <v>124</v>
      </c>
      <c r="H29" s="182" t="n">
        <v>165</v>
      </c>
      <c r="I29" s="179" t="n">
        <v>149</v>
      </c>
      <c r="J29" s="180" t="n">
        <v>139</v>
      </c>
      <c r="K29" s="181" t="n">
        <v>123</v>
      </c>
      <c r="L29" s="182" t="n">
        <v>170</v>
      </c>
      <c r="M29" s="179" t="n">
        <v>151</v>
      </c>
      <c r="N29" s="180" t="n">
        <v>141</v>
      </c>
      <c r="O29" s="181" t="n">
        <v>126</v>
      </c>
      <c r="P29" s="182" t="n">
        <v>171</v>
      </c>
      <c r="Q29" s="179" t="n">
        <v>147</v>
      </c>
      <c r="R29" s="180" t="n">
        <v>136</v>
      </c>
      <c r="S29" s="181" t="n">
        <v>124</v>
      </c>
      <c r="T29" s="182" t="n">
        <v>165</v>
      </c>
      <c r="U29" s="179" t="n">
        <v>146</v>
      </c>
      <c r="V29" s="180" t="n">
        <v>136</v>
      </c>
      <c r="W29" s="181" t="n">
        <v>124</v>
      </c>
      <c r="X29" s="182" t="n">
        <v>165</v>
      </c>
      <c r="Y29" s="179" t="n">
        <v>147</v>
      </c>
      <c r="Z29" s="180" t="n">
        <v>135</v>
      </c>
      <c r="AA29" s="181" t="n">
        <v>123</v>
      </c>
      <c r="AB29" s="182" t="n">
        <v>165</v>
      </c>
      <c r="AC29" s="183" t="n">
        <v>147</v>
      </c>
      <c r="AD29" s="180" t="n">
        <v>136</v>
      </c>
      <c r="AE29" s="181" t="n">
        <v>124</v>
      </c>
      <c r="AF29" s="182" t="n">
        <v>165</v>
      </c>
      <c r="AG29" s="184" t="n">
        <v>143</v>
      </c>
      <c r="AH29" s="185" t="n">
        <v>129</v>
      </c>
      <c r="AI29" s="181" t="n">
        <v>118</v>
      </c>
      <c r="AJ29" s="182" t="n">
        <v>165</v>
      </c>
      <c r="AL29" s="114" t="inlineStr">
        <is>
          <t xml:space="preserve">Na </t>
        </is>
      </c>
      <c r="AM29" s="123" t="n">
        <v>143</v>
      </c>
      <c r="AN29" s="123" t="n">
        <v>129</v>
      </c>
      <c r="AO29" s="186" t="n"/>
      <c r="AP29" s="187" t="n"/>
      <c r="AQ29" s="601">
        <f>E29/AM29-1</f>
        <v/>
      </c>
      <c r="AR29" s="601">
        <f>F29/AN29-1</f>
        <v/>
      </c>
      <c r="AS29" s="604" t="n"/>
      <c r="AT29" s="605" t="n"/>
    </row>
    <row r="30" customFormat="1" s="176">
      <c r="D30" s="188" t="n"/>
      <c r="E30" s="189" t="n">
        <v>3</v>
      </c>
      <c r="F30" s="190" t="n">
        <v>4</v>
      </c>
      <c r="G30" s="191" t="n">
        <v>5</v>
      </c>
      <c r="H30" s="191" t="n">
        <v>6</v>
      </c>
      <c r="I30" s="192" t="n"/>
      <c r="J30" s="192" t="n"/>
      <c r="K30" s="193" t="n"/>
      <c r="L30" s="193" t="n"/>
      <c r="M30" s="192" t="n"/>
      <c r="N30" s="192" t="n"/>
      <c r="O30" s="193" t="n"/>
      <c r="P30" s="193" t="n"/>
      <c r="Q30" s="192" t="n"/>
      <c r="R30" s="192" t="n"/>
      <c r="S30" s="193" t="n"/>
      <c r="T30" s="193" t="n"/>
      <c r="U30" s="192" t="n"/>
      <c r="V30" s="192" t="n"/>
      <c r="W30" s="193" t="n"/>
      <c r="X30" s="193" t="n"/>
      <c r="Y30" s="192" t="n"/>
      <c r="Z30" s="192" t="n"/>
      <c r="AA30" s="193" t="n"/>
      <c r="AB30" s="193" t="n"/>
      <c r="AC30" s="192" t="n"/>
      <c r="AD30" s="192" t="n"/>
      <c r="AE30" s="193" t="n"/>
      <c r="AF30" s="193" t="n"/>
      <c r="AG30" s="194" t="n"/>
      <c r="AH30" s="194" t="n"/>
      <c r="AI30" s="193" t="n"/>
      <c r="AJ30" s="193" t="n"/>
      <c r="AL30" s="193" t="n"/>
      <c r="AM30" s="195" t="n"/>
      <c r="AN30" s="195" t="n"/>
      <c r="AO30" s="196" t="n"/>
      <c r="AP30" s="196" t="n"/>
      <c r="AQ30" s="628" t="n"/>
      <c r="AR30" s="628" t="n"/>
      <c r="AS30" s="628" t="n"/>
      <c r="AT30" s="628" t="n"/>
    </row>
    <row r="31" ht="16.5" customHeight="1" thickBot="1">
      <c r="AK31" s="47" t="n"/>
      <c r="AL31" s="47" t="n"/>
    </row>
    <row r="32" ht="17.1" customFormat="1" customHeight="1" s="157">
      <c r="B32" s="159" t="n"/>
      <c r="C32" s="159" t="n"/>
      <c r="D32" s="629" t="inlineStr">
        <is>
          <t>BA</t>
        </is>
      </c>
      <c r="E32" s="199" t="inlineStr">
        <is>
          <t>251215 BA2</t>
        </is>
      </c>
      <c r="F32" s="200" t="inlineStr">
        <is>
          <t>251215 BA3</t>
        </is>
      </c>
      <c r="G32" s="587" t="n"/>
      <c r="H32" s="588" t="n"/>
      <c r="I32" s="201" t="n"/>
      <c r="J32" s="202" t="n"/>
      <c r="K32" s="587" t="n"/>
      <c r="L32" s="588" t="n"/>
      <c r="M32" s="201" t="n"/>
      <c r="N32" s="202" t="n"/>
      <c r="O32" s="587" t="n"/>
      <c r="P32" s="588" t="n"/>
      <c r="Q32" s="201" t="n"/>
      <c r="R32" s="202" t="n"/>
      <c r="S32" s="587" t="n"/>
      <c r="T32" s="630" t="n"/>
      <c r="U32" s="201" t="n"/>
      <c r="V32" s="202" t="n"/>
      <c r="W32" s="587" t="n"/>
      <c r="X32" s="588" t="n"/>
      <c r="Y32" s="201" t="n"/>
      <c r="Z32" s="202" t="n"/>
      <c r="AA32" s="587" t="n"/>
      <c r="AB32" s="588" t="n"/>
      <c r="AC32" s="204" t="n"/>
      <c r="AD32" s="202" t="n"/>
      <c r="AE32" s="587" t="n"/>
      <c r="AF32" s="630" t="n"/>
      <c r="AG32" s="631" t="n"/>
      <c r="AH32" s="632" t="n"/>
      <c r="AI32" s="587" t="n"/>
      <c r="AJ32" s="588" t="n"/>
      <c r="AK32" s="47" t="n"/>
      <c r="AL32" s="47" t="n"/>
      <c r="AM32" s="47" t="n"/>
      <c r="AN32" s="47" t="n"/>
      <c r="AO32" s="47" t="n"/>
      <c r="AP32" s="47" t="n"/>
      <c r="AQ32" s="47" t="n"/>
      <c r="AR32" s="47" t="n"/>
      <c r="AS32" s="47" t="n"/>
      <c r="AT32" s="47" t="n"/>
      <c r="AU32" s="47" t="n"/>
      <c r="AV32" s="47" t="n"/>
      <c r="AW32" s="47" t="n"/>
      <c r="AX32" s="47" t="n"/>
      <c r="AY32" s="47" t="n"/>
      <c r="AZ32" s="47" t="n"/>
      <c r="BA32" s="47" t="n"/>
      <c r="BB32" s="47" t="n"/>
      <c r="BC32" s="47" t="n"/>
      <c r="BD32" s="47" t="n"/>
      <c r="BE32" s="47" t="n"/>
      <c r="BF32" s="47" t="n"/>
      <c r="BG32" s="47" t="n"/>
      <c r="BH32" s="47" t="n"/>
      <c r="BI32" s="47" t="n"/>
      <c r="BJ32" s="47" t="n"/>
      <c r="BK32" s="47" t="n"/>
      <c r="BL32" s="47" t="n"/>
      <c r="BM32" s="47" t="n"/>
      <c r="BN32" s="47" t="n"/>
      <c r="BO32" s="47" t="n"/>
      <c r="BP32" s="47" t="n"/>
      <c r="BQ32" s="47" t="n"/>
      <c r="BR32" s="47" t="n"/>
      <c r="BS32" s="47" t="n"/>
      <c r="BT32" s="47" t="n"/>
      <c r="BU32" s="47" t="n"/>
      <c r="BV32" s="47" t="n"/>
      <c r="BW32" s="47" t="n"/>
    </row>
    <row r="33" ht="16.5" customFormat="1" customHeight="1" s="157" thickBot="1">
      <c r="B33" s="159" t="n"/>
      <c r="C33" s="207" t="inlineStr">
        <is>
          <t>BA</t>
        </is>
      </c>
      <c r="D33" s="633" t="n"/>
      <c r="E33" s="208" t="n">
        <v>34.6</v>
      </c>
      <c r="F33" s="209" t="n">
        <v>67.8</v>
      </c>
      <c r="G33" s="634" t="n"/>
      <c r="H33" s="635" t="n"/>
      <c r="I33" s="179" t="n"/>
      <c r="J33" s="209" t="n"/>
      <c r="K33" s="634" t="n"/>
      <c r="L33" s="635" t="n"/>
      <c r="M33" s="179" t="n"/>
      <c r="N33" s="209" t="n"/>
      <c r="O33" s="634" t="n"/>
      <c r="P33" s="635" t="n"/>
      <c r="Q33" s="179" t="n"/>
      <c r="R33" s="209" t="n"/>
      <c r="S33" s="634" t="n"/>
      <c r="T33" s="636" t="n"/>
      <c r="U33" s="179" t="n"/>
      <c r="V33" s="209" t="n"/>
      <c r="W33" s="634" t="n"/>
      <c r="X33" s="635" t="n"/>
      <c r="Y33" s="179" t="n"/>
      <c r="Z33" s="209" t="n"/>
      <c r="AA33" s="634" t="n"/>
      <c r="AB33" s="635" t="n"/>
      <c r="AC33" s="183" t="n"/>
      <c r="AD33" s="209" t="n"/>
      <c r="AE33" s="634" t="n"/>
      <c r="AF33" s="636" t="n"/>
      <c r="AG33" s="637" t="n"/>
      <c r="AH33" s="638" t="n"/>
      <c r="AI33" s="634" t="n"/>
      <c r="AJ33" s="635" t="n"/>
      <c r="AK33" s="47" t="n"/>
      <c r="AL33" s="47" t="n"/>
      <c r="AM33" s="47" t="n"/>
      <c r="AN33" s="47" t="n"/>
      <c r="AO33" s="47" t="n"/>
      <c r="AP33" s="47" t="n"/>
      <c r="AQ33" s="47" t="n"/>
      <c r="AR33" s="47" t="n"/>
      <c r="AS33" s="47" t="n"/>
      <c r="AT33" s="47" t="n"/>
      <c r="AU33" s="47" t="n"/>
      <c r="AV33" s="47" t="n"/>
      <c r="AW33" s="47" t="n"/>
      <c r="AX33" s="47" t="n"/>
      <c r="AY33" s="47" t="n"/>
      <c r="AZ33" s="47" t="n"/>
      <c r="BA33" s="47" t="n"/>
      <c r="BB33" s="47" t="n"/>
      <c r="BC33" s="47" t="n"/>
      <c r="BD33" s="47" t="n"/>
      <c r="BE33" s="47" t="n"/>
      <c r="BF33" s="47" t="n"/>
      <c r="BG33" s="47" t="n"/>
      <c r="BH33" s="47" t="n"/>
      <c r="BI33" s="47" t="n"/>
      <c r="BJ33" s="47" t="n"/>
      <c r="BK33" s="47" t="n"/>
      <c r="BL33" s="47" t="n"/>
      <c r="BM33" s="47" t="n"/>
      <c r="BN33" s="47" t="n"/>
      <c r="BO33" s="47" t="n"/>
      <c r="BP33" s="47" t="n"/>
      <c r="BQ33" s="47" t="n"/>
      <c r="BR33" s="47" t="n"/>
      <c r="BS33" s="47" t="n"/>
      <c r="BT33" s="47" t="n"/>
      <c r="BU33" s="47" t="n"/>
      <c r="BV33" s="47" t="n"/>
      <c r="BW33" s="47" t="n"/>
    </row>
    <row r="34" ht="17.1" customHeight="1">
      <c r="D34" s="639" t="inlineStr">
        <is>
          <t>FRU</t>
        </is>
      </c>
      <c r="E34" s="215" t="inlineStr">
        <is>
          <t>L1_89751</t>
        </is>
      </c>
      <c r="F34" s="216" t="inlineStr">
        <is>
          <t>L2_89752</t>
        </is>
      </c>
      <c r="G34" s="217" t="inlineStr">
        <is>
          <t>F1</t>
        </is>
      </c>
      <c r="H34" s="218" t="inlineStr">
        <is>
          <t>F2</t>
        </is>
      </c>
      <c r="I34" s="215" t="inlineStr">
        <is>
          <t>L1_89751</t>
        </is>
      </c>
      <c r="J34" s="216" t="inlineStr">
        <is>
          <t>L2_89752</t>
        </is>
      </c>
      <c r="K34" s="217" t="inlineStr">
        <is>
          <t>F1</t>
        </is>
      </c>
      <c r="L34" s="218" t="inlineStr">
        <is>
          <t>F2</t>
        </is>
      </c>
      <c r="M34" s="215" t="inlineStr">
        <is>
          <t>L1_89751</t>
        </is>
      </c>
      <c r="N34" s="216" t="inlineStr">
        <is>
          <t>L2_89752</t>
        </is>
      </c>
      <c r="O34" s="217" t="inlineStr">
        <is>
          <t>F1</t>
        </is>
      </c>
      <c r="P34" s="218" t="inlineStr">
        <is>
          <t>F2</t>
        </is>
      </c>
      <c r="Q34" s="215" t="inlineStr">
        <is>
          <t>L1_89751</t>
        </is>
      </c>
      <c r="R34" s="216" t="inlineStr">
        <is>
          <t>L2_89752</t>
        </is>
      </c>
      <c r="S34" s="217" t="inlineStr">
        <is>
          <t>F1</t>
        </is>
      </c>
      <c r="T34" s="219" t="inlineStr">
        <is>
          <t>F2</t>
        </is>
      </c>
      <c r="U34" s="215" t="inlineStr">
        <is>
          <t>L1_89751</t>
        </is>
      </c>
      <c r="V34" s="216" t="inlineStr">
        <is>
          <t>L2_89752</t>
        </is>
      </c>
      <c r="W34" s="217" t="inlineStr">
        <is>
          <t>F1</t>
        </is>
      </c>
      <c r="X34" s="220" t="inlineStr">
        <is>
          <t>F2</t>
        </is>
      </c>
      <c r="Y34" s="215" t="inlineStr">
        <is>
          <t>L1_89751</t>
        </is>
      </c>
      <c r="Z34" s="216" t="inlineStr">
        <is>
          <t>L2_89752</t>
        </is>
      </c>
      <c r="AA34" s="217" t="inlineStr">
        <is>
          <t>F1</t>
        </is>
      </c>
      <c r="AB34" s="220" t="inlineStr">
        <is>
          <t>F2</t>
        </is>
      </c>
      <c r="AC34" s="221" t="inlineStr">
        <is>
          <t>L1_89751</t>
        </is>
      </c>
      <c r="AD34" s="216" t="inlineStr">
        <is>
          <t>L2_89752</t>
        </is>
      </c>
      <c r="AE34" s="217" t="inlineStr">
        <is>
          <t>F1</t>
        </is>
      </c>
      <c r="AF34" s="218" t="inlineStr">
        <is>
          <t>F2</t>
        </is>
      </c>
      <c r="AG34" s="222" t="n"/>
      <c r="AH34" s="223" t="n"/>
      <c r="AI34" s="223" t="n"/>
      <c r="AJ34" s="224" t="n"/>
      <c r="AK34" s="47" t="n"/>
      <c r="AL34" s="47" t="n"/>
    </row>
    <row r="35" ht="16.5" customHeight="1" thickBot="1">
      <c r="C35" s="47" t="inlineStr">
        <is>
          <t>FRU</t>
        </is>
      </c>
      <c r="D35" s="633" t="n"/>
      <c r="E35" s="225" t="n">
        <v>205</v>
      </c>
      <c r="F35" s="226" t="n">
        <v>261</v>
      </c>
      <c r="G35" s="227" t="n">
        <v>144</v>
      </c>
      <c r="H35" s="181" t="n">
        <v>193</v>
      </c>
      <c r="I35" s="228" t="inlineStr">
        <is>
          <t>後續提供</t>
        </is>
      </c>
      <c r="J35" s="229" t="inlineStr">
        <is>
          <t>後續提供</t>
        </is>
      </c>
      <c r="K35" s="181" t="n">
        <v>506</v>
      </c>
      <c r="L35" s="182" t="n">
        <v>841</v>
      </c>
      <c r="M35" s="228" t="inlineStr">
        <is>
          <t>後續提供</t>
        </is>
      </c>
      <c r="N35" s="229" t="inlineStr">
        <is>
          <t>後續提供</t>
        </is>
      </c>
      <c r="O35" s="183" t="n">
        <v>646</v>
      </c>
      <c r="P35" s="209" t="n">
        <v>1192</v>
      </c>
      <c r="Q35" s="179" t="n"/>
      <c r="R35" s="209" t="n"/>
      <c r="S35" s="183" t="n">
        <v>506</v>
      </c>
      <c r="T35" s="230" t="n">
        <v>841</v>
      </c>
      <c r="U35" s="179" t="n"/>
      <c r="V35" s="209" t="n"/>
      <c r="W35" s="183" t="n">
        <v>212.0609873029198</v>
      </c>
      <c r="X35" s="231" t="n">
        <v>295.8581962336154</v>
      </c>
      <c r="Y35" s="179" t="n"/>
      <c r="Z35" s="209" t="n"/>
      <c r="AA35" s="179" t="n">
        <v>171.1265163863623</v>
      </c>
      <c r="AB35" s="231" t="n">
        <v>261.0924586738299</v>
      </c>
      <c r="AC35" s="227" t="n"/>
      <c r="AD35" s="181" t="n"/>
      <c r="AE35" s="227" t="n">
        <v>144</v>
      </c>
      <c r="AF35" s="181" t="n">
        <v>193</v>
      </c>
      <c r="AG35" s="232" t="n"/>
      <c r="AH35" s="181" t="n"/>
      <c r="AI35" s="181" t="n"/>
      <c r="AJ35" s="182" t="n"/>
      <c r="AK35" s="47" t="n"/>
      <c r="AL35" s="47" t="n"/>
    </row>
    <row r="36" ht="17.1" customHeight="1">
      <c r="D36" s="639" t="inlineStr">
        <is>
          <t>NH3</t>
        </is>
      </c>
      <c r="E36" s="215" t="inlineStr">
        <is>
          <t>20250905 N100</t>
        </is>
      </c>
      <c r="F36" s="216" t="inlineStr">
        <is>
          <t>20250905 N300</t>
        </is>
      </c>
      <c r="G36" s="223" t="n"/>
      <c r="H36" s="224" t="n"/>
      <c r="I36" s="233" t="n"/>
      <c r="J36" s="234" t="n"/>
      <c r="K36" s="223" t="n"/>
      <c r="L36" s="224" t="n"/>
      <c r="M36" s="233" t="n"/>
      <c r="N36" s="234" t="n"/>
      <c r="O36" s="640" t="n"/>
      <c r="P36" s="224" t="n"/>
      <c r="Q36" s="236" t="n"/>
      <c r="R36" s="237" t="n"/>
      <c r="S36" s="223" t="n"/>
      <c r="T36" s="238" t="n"/>
      <c r="U36" s="233" t="n"/>
      <c r="V36" s="234" t="n"/>
      <c r="W36" s="223" t="n"/>
      <c r="X36" s="224" t="n"/>
      <c r="Y36" s="233" t="n"/>
      <c r="Z36" s="234" t="n"/>
      <c r="AA36" s="640" t="n"/>
      <c r="AB36" s="224" t="n"/>
      <c r="AC36" s="239" t="n"/>
      <c r="AD36" s="237" t="n"/>
      <c r="AE36" s="223" t="n"/>
      <c r="AF36" s="238" t="n"/>
      <c r="AG36" s="222" t="n"/>
      <c r="AH36" s="223" t="n"/>
      <c r="AI36" s="223" t="n"/>
      <c r="AJ36" s="224" t="n"/>
      <c r="AK36" s="47" t="n"/>
      <c r="AL36" s="47" t="n"/>
    </row>
    <row r="37" ht="16.5" customHeight="1" thickBot="1">
      <c r="C37" s="47" t="inlineStr">
        <is>
          <t>NH3</t>
        </is>
      </c>
      <c r="D37" s="633" t="n"/>
      <c r="E37" s="232" t="n">
        <v>96</v>
      </c>
      <c r="F37" s="181" t="n">
        <v>281</v>
      </c>
      <c r="G37" s="181" t="n"/>
      <c r="H37" s="182" t="n"/>
      <c r="I37" s="232" t="n"/>
      <c r="J37" s="181" t="n"/>
      <c r="K37" s="181" t="n"/>
      <c r="L37" s="182" t="n"/>
      <c r="M37" s="232" t="n"/>
      <c r="N37" s="181" t="n"/>
      <c r="O37" s="181" t="n"/>
      <c r="P37" s="182" t="n"/>
      <c r="Q37" s="232" t="n"/>
      <c r="R37" s="181" t="n"/>
      <c r="S37" s="181" t="n"/>
      <c r="T37" s="240" t="n"/>
      <c r="U37" s="232" t="n"/>
      <c r="V37" s="181" t="n"/>
      <c r="W37" s="181" t="n"/>
      <c r="X37" s="182" t="n"/>
      <c r="Y37" s="232" t="n"/>
      <c r="Z37" s="181" t="n"/>
      <c r="AA37" s="181" t="n"/>
      <c r="AB37" s="182" t="n"/>
      <c r="AC37" s="227" t="n"/>
      <c r="AD37" s="181" t="n"/>
      <c r="AE37" s="181" t="n"/>
      <c r="AF37" s="240" t="n"/>
      <c r="AG37" s="232" t="n"/>
      <c r="AH37" s="181" t="n"/>
      <c r="AI37" s="181" t="n"/>
      <c r="AJ37" s="182" t="n"/>
      <c r="AK37" s="47" t="n"/>
      <c r="AL37" s="47" t="n"/>
    </row>
    <row r="38">
      <c r="D38" s="241" t="n"/>
      <c r="E38" s="242" t="inlineStr">
        <is>
          <t>U1_97491</t>
        </is>
      </c>
      <c r="F38" s="243" t="inlineStr">
        <is>
          <t>U2_97492</t>
        </is>
      </c>
      <c r="G38" s="244" t="inlineStr">
        <is>
          <t>U3_97491+97492</t>
        </is>
      </c>
      <c r="H38" s="224" t="n"/>
      <c r="I38" s="245" t="inlineStr">
        <is>
          <t>U1_97491</t>
        </is>
      </c>
      <c r="J38" s="246" t="inlineStr">
        <is>
          <t>U2_97492</t>
        </is>
      </c>
      <c r="K38" s="247" t="inlineStr">
        <is>
          <t>U3_97491+97492</t>
        </is>
      </c>
      <c r="L38" s="224" t="n"/>
      <c r="M38" s="245" t="inlineStr">
        <is>
          <t>U1_97491</t>
        </is>
      </c>
      <c r="N38" s="246" t="inlineStr">
        <is>
          <t>U2_97492</t>
        </is>
      </c>
      <c r="O38" s="247" t="inlineStr">
        <is>
          <t>U3_97491+97492</t>
        </is>
      </c>
      <c r="P38" s="224" t="n"/>
      <c r="Q38" s="236" t="n"/>
      <c r="R38" s="237" t="n"/>
      <c r="S38" s="223" t="n"/>
      <c r="T38" s="238" t="n"/>
      <c r="U38" s="222" t="n"/>
      <c r="V38" s="223" t="n"/>
      <c r="W38" s="223" t="n"/>
      <c r="X38" s="224" t="n"/>
      <c r="Y38" s="222" t="n"/>
      <c r="Z38" s="223" t="n"/>
      <c r="AA38" s="223" t="n"/>
      <c r="AB38" s="224" t="n"/>
      <c r="AC38" s="248" t="n"/>
      <c r="AD38" s="223" t="n"/>
      <c r="AE38" s="223" t="n"/>
      <c r="AF38" s="238" t="n"/>
      <c r="AG38" s="222" t="n"/>
      <c r="AH38" s="223" t="n"/>
      <c r="AI38" s="223" t="n"/>
      <c r="AJ38" s="224" t="n"/>
      <c r="AK38" s="47" t="n"/>
      <c r="AL38" s="47" t="n"/>
    </row>
    <row r="39">
      <c r="C39" s="47" t="inlineStr">
        <is>
          <t>UPRO</t>
        </is>
      </c>
      <c r="D39" s="249" t="inlineStr">
        <is>
          <t>UCRE</t>
        </is>
      </c>
      <c r="E39" s="250" t="n">
        <v>59.4</v>
      </c>
      <c r="F39" s="251" t="n">
        <v>158.7</v>
      </c>
      <c r="G39" s="251" t="n">
        <v>108</v>
      </c>
      <c r="H39" s="78" t="n"/>
      <c r="I39" s="250" t="n">
        <v>63.3</v>
      </c>
      <c r="J39" s="251" t="n">
        <v>155.7</v>
      </c>
      <c r="K39" s="251" t="n">
        <v>105.4</v>
      </c>
      <c r="L39" s="78" t="n"/>
      <c r="M39" s="250" t="n">
        <v>63.3</v>
      </c>
      <c r="N39" s="251" t="n">
        <v>155.7</v>
      </c>
      <c r="O39" s="251" t="n">
        <v>105.4</v>
      </c>
      <c r="P39" s="78" t="n"/>
      <c r="Q39" s="76" t="n"/>
      <c r="R39" s="77" t="n"/>
      <c r="S39" s="77" t="n"/>
      <c r="T39" s="252" t="n"/>
      <c r="U39" s="76" t="n"/>
      <c r="V39" s="77" t="n"/>
      <c r="W39" s="77" t="n"/>
      <c r="X39" s="78" t="n"/>
      <c r="Y39" s="76" t="n"/>
      <c r="Z39" s="77" t="n"/>
      <c r="AA39" s="77" t="n"/>
      <c r="AB39" s="78" t="n"/>
      <c r="AC39" s="125" t="n"/>
      <c r="AD39" s="77" t="n"/>
      <c r="AE39" s="77" t="n"/>
      <c r="AF39" s="252" t="n"/>
      <c r="AG39" s="76" t="n"/>
      <c r="AH39" s="77" t="n"/>
      <c r="AI39" s="77" t="n"/>
      <c r="AJ39" s="78" t="n"/>
    </row>
    <row r="40" ht="16.5" customHeight="1" thickBot="1">
      <c r="C40" s="47" t="inlineStr">
        <is>
          <t>UCRE</t>
        </is>
      </c>
      <c r="D40" s="254" t="inlineStr">
        <is>
          <t>UPRO</t>
        </is>
      </c>
      <c r="E40" s="255" t="n">
        <v>18.3</v>
      </c>
      <c r="F40" s="256" t="n">
        <v>55.8</v>
      </c>
      <c r="G40" s="256" t="n">
        <v>35.6</v>
      </c>
      <c r="H40" s="182" t="n"/>
      <c r="I40" s="255" t="n">
        <v>26.7</v>
      </c>
      <c r="J40" s="256" t="n">
        <v>58.2</v>
      </c>
      <c r="K40" s="256" t="n">
        <v>40.9</v>
      </c>
      <c r="L40" s="182" t="n"/>
      <c r="M40" s="255" t="n">
        <v>26.7</v>
      </c>
      <c r="N40" s="256" t="n">
        <v>58.2</v>
      </c>
      <c r="O40" s="256" t="n">
        <v>40.9</v>
      </c>
      <c r="P40" s="182" t="n"/>
      <c r="Q40" s="232" t="n"/>
      <c r="R40" s="181" t="n"/>
      <c r="S40" s="181" t="n"/>
      <c r="T40" s="240" t="n"/>
      <c r="U40" s="232" t="n"/>
      <c r="V40" s="181" t="n"/>
      <c r="W40" s="181" t="n"/>
      <c r="X40" s="182" t="n"/>
      <c r="Y40" s="232" t="n"/>
      <c r="Z40" s="181" t="n"/>
      <c r="AA40" s="181" t="n"/>
      <c r="AB40" s="182" t="n"/>
      <c r="AC40" s="227" t="n"/>
      <c r="AD40" s="181" t="n"/>
      <c r="AE40" s="181" t="n"/>
      <c r="AF40" s="240" t="n"/>
      <c r="AG40" s="232" t="n"/>
      <c r="AH40" s="181" t="n"/>
      <c r="AI40" s="181" t="n"/>
      <c r="AJ40" s="182" t="n"/>
    </row>
    <row r="42" ht="16.5" customHeight="1" thickBot="1"/>
    <row r="43" ht="17.25" customHeight="1" thickBot="1">
      <c r="D43" s="641" t="inlineStr">
        <is>
          <t>比濁
請提供干擾修正後定值!!!!</t>
        </is>
      </c>
      <c r="E43" s="642" t="inlineStr">
        <is>
          <t>Control mode  (Tutti)</t>
        </is>
      </c>
      <c r="F43" s="570" t="n"/>
      <c r="G43" s="570" t="n"/>
      <c r="H43" s="571" t="n"/>
      <c r="I43" s="643" t="inlineStr">
        <is>
          <t>Real mode 定值</t>
        </is>
      </c>
      <c r="J43" s="572" t="n"/>
      <c r="K43" s="572" t="n"/>
      <c r="L43" s="572" t="n"/>
      <c r="M43" s="572" t="n"/>
      <c r="N43" s="572" t="n"/>
      <c r="O43" s="572" t="n"/>
      <c r="P43" s="573" t="n"/>
    </row>
    <row r="44" ht="16.5" customHeight="1" thickBot="1">
      <c r="D44" s="633" t="n"/>
      <c r="E44" s="576" t="n"/>
      <c r="F44" s="577" t="n"/>
      <c r="G44" s="577" t="n"/>
      <c r="H44" s="578" t="n"/>
      <c r="I44" s="644" t="inlineStr">
        <is>
          <t>Canine</t>
        </is>
      </c>
      <c r="J44" s="572" t="n"/>
      <c r="K44" s="572" t="n"/>
      <c r="L44" s="573" t="n"/>
      <c r="M44" s="645" t="inlineStr">
        <is>
          <t>Feline</t>
        </is>
      </c>
      <c r="N44" s="572" t="n"/>
      <c r="O44" s="572" t="n"/>
      <c r="P44" s="573" t="n"/>
    </row>
    <row r="45" ht="94.5" customHeight="1">
      <c r="D45" s="646" t="inlineStr">
        <is>
          <t>SDMA</t>
        </is>
      </c>
      <c r="E45" s="257" t="inlineStr">
        <is>
          <t>Eurolyser SDMA Control Kit-L (VBR0203)_2509-1</t>
        </is>
      </c>
      <c r="F45" s="258" t="inlineStr">
        <is>
          <t>Eurolyser SDMA Control Kit-H (VBR0203)_2509-1</t>
        </is>
      </c>
      <c r="G45" s="587" t="n"/>
      <c r="H45" s="588" t="n"/>
      <c r="I45" s="257" t="inlineStr">
        <is>
          <t>Eurolyser SDMA Control Kit-L (VBR0203)_2509-1</t>
        </is>
      </c>
      <c r="J45" s="258" t="inlineStr">
        <is>
          <t>Eurolyser SDMA Control Kit-H (VBR0203)_2509-1</t>
        </is>
      </c>
      <c r="K45" s="587" t="n"/>
      <c r="L45" s="588" t="n"/>
      <c r="M45" s="257" t="inlineStr">
        <is>
          <t>Eurolyser SDMA Control Kit-L (VBR0203)_2509-1</t>
        </is>
      </c>
      <c r="N45" s="258" t="inlineStr">
        <is>
          <t>Eurolyser SDMA Control Kit-H (VBR0203)_2509-1</t>
        </is>
      </c>
      <c r="O45" s="587" t="n"/>
      <c r="P45" s="588" t="n"/>
    </row>
    <row r="46" ht="16.5" customHeight="1" thickBot="1">
      <c r="C46" s="47" t="inlineStr">
        <is>
          <t>S-DMA</t>
        </is>
      </c>
      <c r="D46" s="633" t="n"/>
      <c r="E46" s="647" t="n">
        <v>12.3</v>
      </c>
      <c r="F46" s="634" t="n">
        <v>40.6</v>
      </c>
      <c r="G46" s="634" t="n"/>
      <c r="H46" s="635" t="n"/>
      <c r="I46" s="647" t="n">
        <v>12.2</v>
      </c>
      <c r="J46" s="634" t="n">
        <v>62.2</v>
      </c>
      <c r="K46" s="634" t="n"/>
      <c r="L46" s="635" t="n"/>
      <c r="M46" s="647" t="n">
        <v>10.2</v>
      </c>
      <c r="N46" s="634" t="n">
        <v>43.4</v>
      </c>
      <c r="O46" s="634" t="n"/>
      <c r="P46" s="635" t="n"/>
    </row>
    <row r="47" ht="63" customHeight="1">
      <c r="D47" s="646" t="inlineStr">
        <is>
          <t>cCRP</t>
        </is>
      </c>
      <c r="E47" s="257" t="inlineStr">
        <is>
          <t>SHIMA Canine CRP Control-L_CR012S</t>
        </is>
      </c>
      <c r="F47" s="258" t="inlineStr">
        <is>
          <t>SHIMA Canine CRP Control-H_CR012S</t>
        </is>
      </c>
      <c r="G47" s="587" t="n"/>
      <c r="H47" s="588" t="n"/>
      <c r="I47" s="257" t="inlineStr">
        <is>
          <t>SHIMA Canine CRP Control-L_CR012S</t>
        </is>
      </c>
      <c r="J47" s="258" t="inlineStr">
        <is>
          <t>SHIMA Canine CRP Control-H_CR012S</t>
        </is>
      </c>
      <c r="K47" s="587" t="n"/>
      <c r="L47" s="588" t="n"/>
      <c r="M47" s="201" t="n"/>
      <c r="N47" s="202" t="n"/>
      <c r="O47" s="587" t="n"/>
      <c r="P47" s="588" t="n"/>
    </row>
    <row r="48" ht="16.5" customHeight="1" thickBot="1">
      <c r="C48" s="47" t="inlineStr">
        <is>
          <t>cCRP</t>
        </is>
      </c>
      <c r="D48" s="633" t="n"/>
      <c r="E48" s="647" t="n">
        <v>28.4</v>
      </c>
      <c r="F48" s="634" t="n">
        <v>106.3</v>
      </c>
      <c r="G48" s="634" t="n"/>
      <c r="H48" s="635" t="n"/>
      <c r="I48" s="647" t="n">
        <v>28.4</v>
      </c>
      <c r="J48" s="634" t="n">
        <v>106.3</v>
      </c>
      <c r="K48" s="634" t="n"/>
      <c r="L48" s="635" t="n"/>
      <c r="M48" s="179" t="n"/>
      <c r="N48" s="209" t="n"/>
      <c r="O48" s="634" t="n"/>
      <c r="P48" s="635" t="n"/>
    </row>
    <row r="49" ht="78.75" customHeight="1">
      <c r="D49" s="646" t="inlineStr">
        <is>
          <t>SAA</t>
        </is>
      </c>
      <c r="E49" s="257" t="inlineStr">
        <is>
          <t xml:space="preserve"> RUO QC-SAA L EIKEN (V-SZ13)_57003</t>
        </is>
      </c>
      <c r="F49" s="258" t="inlineStr">
        <is>
          <t>RUO QC-SAA H EIKEN (V-SZ14)_57003</t>
        </is>
      </c>
      <c r="G49" s="587" t="n"/>
      <c r="H49" s="588" t="n"/>
      <c r="I49" s="201" t="n"/>
      <c r="J49" s="202" t="n"/>
      <c r="K49" s="587" t="n"/>
      <c r="L49" s="588" t="n"/>
      <c r="M49" s="257" t="inlineStr">
        <is>
          <t xml:space="preserve"> RUO QC-SAA L EIKEN (V-SZ13)_57003</t>
        </is>
      </c>
      <c r="N49" s="258" t="inlineStr">
        <is>
          <t>RUO QC-SAA H EIKEN (V-SZ14)_57003</t>
        </is>
      </c>
      <c r="O49" s="587" t="n"/>
      <c r="P49" s="588" t="n"/>
    </row>
    <row r="50" ht="16.5" customHeight="1" thickBot="1">
      <c r="C50" s="47" t="inlineStr">
        <is>
          <t>SAA</t>
        </is>
      </c>
      <c r="D50" s="633" t="n"/>
      <c r="E50" s="179" t="n">
        <v>22</v>
      </c>
      <c r="F50" s="209" t="n">
        <v>100</v>
      </c>
      <c r="G50" s="634" t="n"/>
      <c r="H50" s="635" t="n"/>
      <c r="I50" s="179" t="n"/>
      <c r="J50" s="209" t="n"/>
      <c r="K50" s="634" t="n"/>
      <c r="L50" s="635" t="n"/>
      <c r="M50" s="647" t="n">
        <v>6.1</v>
      </c>
      <c r="N50" s="634" t="n">
        <v>132.2</v>
      </c>
      <c r="O50" s="634" t="n"/>
      <c r="P50" s="635" t="n"/>
    </row>
    <row r="51" ht="31.5" customHeight="1">
      <c r="D51" s="646" t="inlineStr">
        <is>
          <t>PHBR</t>
        </is>
      </c>
      <c r="E51" s="648" t="inlineStr">
        <is>
          <t>371.5_40450</t>
        </is>
      </c>
      <c r="F51" s="649" t="inlineStr">
        <is>
          <t>372.5_40450</t>
        </is>
      </c>
      <c r="G51" s="587" t="n"/>
      <c r="H51" s="588" t="n"/>
      <c r="I51" s="648" t="inlineStr">
        <is>
          <t>371.5_40450</t>
        </is>
      </c>
      <c r="J51" s="649" t="inlineStr">
        <is>
          <t>372.5_40450</t>
        </is>
      </c>
      <c r="K51" s="587" t="n"/>
      <c r="L51" s="588" t="n"/>
      <c r="M51" s="648" t="inlineStr">
        <is>
          <t>371.5_40450</t>
        </is>
      </c>
      <c r="N51" s="649" t="inlineStr">
        <is>
          <t>372.5_40450</t>
        </is>
      </c>
      <c r="O51" s="587" t="n"/>
      <c r="P51" s="588" t="n"/>
    </row>
    <row r="52" ht="16.5" customHeight="1" thickBot="1">
      <c r="C52" s="47" t="inlineStr">
        <is>
          <t>PHBR</t>
        </is>
      </c>
      <c r="D52" s="633" t="n"/>
      <c r="E52" s="647" t="n">
        <v>24.7</v>
      </c>
      <c r="F52" s="634" t="n">
        <v>48.1</v>
      </c>
      <c r="G52" s="634" t="n"/>
      <c r="H52" s="635" t="n"/>
      <c r="I52" s="647" t="n">
        <v>24.7</v>
      </c>
      <c r="J52" s="634" t="n">
        <v>48.1</v>
      </c>
      <c r="K52" s="634" t="n"/>
      <c r="L52" s="635" t="n"/>
      <c r="M52" s="647" t="n">
        <v>24.7</v>
      </c>
      <c r="N52" s="634" t="n">
        <v>48.1</v>
      </c>
      <c r="O52" s="634" t="n"/>
      <c r="P52" s="635" t="n"/>
    </row>
    <row r="53" ht="141.75" customHeight="1">
      <c r="D53" s="646" t="inlineStr">
        <is>
          <t>TT4</t>
        </is>
      </c>
      <c r="E53" s="257" t="inlineStr">
        <is>
          <t>Control L (1/2 Bioworld Canine Serum Lot#24082801 + 1/2 D.D.Water)</t>
        </is>
      </c>
      <c r="F53" s="258" t="inlineStr">
        <is>
          <t>Control M (1/4 L1_89751 + 3/4 Bioworld Canine Serum Lot#24082801 )</t>
        </is>
      </c>
      <c r="G53" s="258" t="inlineStr">
        <is>
          <t>Control H
 (L1_89751)</t>
        </is>
      </c>
      <c r="H53" s="262" t="inlineStr">
        <is>
          <t>Control HH
 (N3_45983)</t>
        </is>
      </c>
      <c r="I53" s="257" t="inlineStr">
        <is>
          <t>Control L (1/2 Bioworld Canine Serum Lot#24082801 + 1/2 D.D.Water)</t>
        </is>
      </c>
      <c r="J53" s="258" t="inlineStr">
        <is>
          <t>Control M (1/4 L1_89751 + 3/4 Bioworld Canine Serum Lot#24082801 )</t>
        </is>
      </c>
      <c r="K53" s="258" t="inlineStr">
        <is>
          <t>Control H
 (L1_89751)</t>
        </is>
      </c>
      <c r="L53" s="262" t="inlineStr">
        <is>
          <t>Control HH
 (N3_45983)</t>
        </is>
      </c>
      <c r="M53" s="257" t="inlineStr">
        <is>
          <t>Control L (1/2 Bioworld Canine Serum Lot#24082801 + 1/2 D.D.Water)</t>
        </is>
      </c>
      <c r="N53" s="258" t="inlineStr">
        <is>
          <t>Control M (1/4 L1_89751 + 3/4 Bioworld Canine Serum Lot#24082801 )</t>
        </is>
      </c>
      <c r="O53" s="258" t="inlineStr">
        <is>
          <t>Control H
 (L1_89751)</t>
        </is>
      </c>
      <c r="P53" s="262" t="inlineStr">
        <is>
          <t>Control HH
 (N3_45983)</t>
        </is>
      </c>
    </row>
    <row r="54" ht="16.5" customHeight="1" thickBot="1">
      <c r="C54" s="47" t="inlineStr">
        <is>
          <t>TT4</t>
        </is>
      </c>
      <c r="D54" s="633" t="n"/>
      <c r="E54" s="647" t="n">
        <v>1.1</v>
      </c>
      <c r="F54" s="634" t="n">
        <v>2.1</v>
      </c>
      <c r="G54" s="634" t="n">
        <v>6.3</v>
      </c>
      <c r="H54" s="635" t="n">
        <v>9.9</v>
      </c>
      <c r="I54" s="647" t="n">
        <v>0.1</v>
      </c>
      <c r="J54" s="634" t="n">
        <v>2.1</v>
      </c>
      <c r="K54" s="634" t="n">
        <v>7.8</v>
      </c>
      <c r="L54" s="635" t="n">
        <v>11.7</v>
      </c>
      <c r="M54" s="647" t="inlineStr">
        <is>
          <t>-</t>
        </is>
      </c>
      <c r="N54" s="634" t="n">
        <v>0.8</v>
      </c>
      <c r="O54" s="634" t="n">
        <v>5.8</v>
      </c>
      <c r="P54" s="635" t="n">
        <v>10</v>
      </c>
    </row>
    <row r="55" ht="16.5" customHeight="1" thickBot="1">
      <c r="D55" s="263" t="n"/>
      <c r="E55" s="264" t="n"/>
      <c r="F55" s="264" t="n"/>
      <c r="G55" s="264" t="n"/>
      <c r="H55" s="264" t="n"/>
      <c r="I55" s="264" t="n"/>
      <c r="J55" s="264" t="n"/>
      <c r="K55" s="264" t="n"/>
      <c r="L55" s="264" t="n"/>
      <c r="M55" s="264" t="n"/>
      <c r="N55" s="264" t="n"/>
      <c r="O55" s="264" t="n"/>
      <c r="P55" s="264" t="n"/>
    </row>
    <row r="56" ht="17.25" customHeight="1" thickBot="1">
      <c r="D56" s="641" t="inlineStr">
        <is>
          <t>ELISA
請提供干擾修正後定值!!!!</t>
        </is>
      </c>
      <c r="E56" s="642" t="inlineStr">
        <is>
          <t>Control mode  (Tutti)</t>
        </is>
      </c>
      <c r="F56" s="570" t="n"/>
      <c r="G56" s="570" t="n"/>
      <c r="H56" s="571" t="n"/>
      <c r="I56" s="643" t="inlineStr">
        <is>
          <t>Real mode 定值</t>
        </is>
      </c>
      <c r="J56" s="572" t="n"/>
      <c r="K56" s="572" t="n"/>
      <c r="L56" s="572" t="n"/>
      <c r="M56" s="572" t="n"/>
      <c r="N56" s="572" t="n"/>
      <c r="O56" s="572" t="n"/>
      <c r="P56" s="573" t="n"/>
    </row>
    <row r="57" ht="16.5" customHeight="1" thickBot="1">
      <c r="D57" s="633" t="n"/>
      <c r="E57" s="576" t="n"/>
      <c r="F57" s="577" t="n"/>
      <c r="G57" s="577" t="n"/>
      <c r="H57" s="578" t="n"/>
      <c r="I57" s="644" t="inlineStr">
        <is>
          <t>Canine</t>
        </is>
      </c>
      <c r="J57" s="572" t="n"/>
      <c r="K57" s="572" t="n"/>
      <c r="L57" s="573" t="n"/>
      <c r="M57" s="645" t="inlineStr">
        <is>
          <t>Feline</t>
        </is>
      </c>
      <c r="N57" s="572" t="n"/>
      <c r="O57" s="572" t="n"/>
      <c r="P57" s="573" t="n"/>
    </row>
    <row r="58" ht="31.5" customHeight="1">
      <c r="D58" s="650" t="inlineStr">
        <is>
          <t>cPROG</t>
        </is>
      </c>
      <c r="E58" s="258" t="inlineStr">
        <is>
          <t>371_40451</t>
        </is>
      </c>
      <c r="F58" s="258" t="inlineStr">
        <is>
          <t>371.25_
40451+40452</t>
        </is>
      </c>
      <c r="G58" s="258" t="inlineStr">
        <is>
          <t>372_40452</t>
        </is>
      </c>
      <c r="H58" s="588" t="n"/>
      <c r="I58" s="648" t="n"/>
      <c r="J58" s="258" t="n"/>
      <c r="K58" s="258" t="n"/>
      <c r="L58" s="588" t="n"/>
      <c r="M58" s="201" t="inlineStr">
        <is>
          <t>-</t>
        </is>
      </c>
      <c r="N58" s="202" t="inlineStr">
        <is>
          <t>-</t>
        </is>
      </c>
      <c r="O58" s="587" t="inlineStr">
        <is>
          <t>-</t>
        </is>
      </c>
      <c r="P58" s="588" t="inlineStr">
        <is>
          <t>-</t>
        </is>
      </c>
    </row>
    <row r="59" ht="16.5" customHeight="1" thickBot="1">
      <c r="C59" s="47" t="inlineStr">
        <is>
          <t>cPROG</t>
        </is>
      </c>
      <c r="D59" s="633" t="n"/>
      <c r="E59" s="651" t="n">
        <v>1.8</v>
      </c>
      <c r="F59" s="634" t="n">
        <v>5.2</v>
      </c>
      <c r="G59" s="634" t="n">
        <v>17.9</v>
      </c>
      <c r="H59" s="635" t="n"/>
      <c r="I59" s="208" t="n"/>
      <c r="J59" s="209" t="n"/>
      <c r="K59" s="634" t="n"/>
      <c r="L59" s="635" t="n"/>
      <c r="M59" s="179" t="inlineStr">
        <is>
          <t>-</t>
        </is>
      </c>
      <c r="N59" s="209" t="inlineStr">
        <is>
          <t>-</t>
        </is>
      </c>
      <c r="O59" s="634" t="inlineStr">
        <is>
          <t>-</t>
        </is>
      </c>
      <c r="P59" s="635" t="inlineStr">
        <is>
          <t>-</t>
        </is>
      </c>
    </row>
    <row r="60">
      <c r="D60" s="650" t="inlineStr">
        <is>
          <t>cCOR</t>
        </is>
      </c>
      <c r="E60" s="648" t="inlineStr">
        <is>
          <t>L1_89751</t>
        </is>
      </c>
      <c r="F60" s="258" t="inlineStr">
        <is>
          <t>372_40452</t>
        </is>
      </c>
      <c r="G60" s="258" t="inlineStr">
        <is>
          <t>L2_89752</t>
        </is>
      </c>
      <c r="H60" s="588" t="n"/>
      <c r="I60" s="648" t="n"/>
      <c r="J60" s="258" t="n"/>
      <c r="K60" s="258" t="n"/>
      <c r="L60" s="588" t="n"/>
      <c r="M60" s="201" t="inlineStr">
        <is>
          <t>-</t>
        </is>
      </c>
      <c r="N60" s="202" t="inlineStr">
        <is>
          <t>-</t>
        </is>
      </c>
      <c r="O60" s="587" t="inlineStr">
        <is>
          <t>-</t>
        </is>
      </c>
      <c r="P60" s="588" t="inlineStr">
        <is>
          <t>-</t>
        </is>
      </c>
    </row>
    <row r="61" ht="16.5" customHeight="1" thickBot="1">
      <c r="C61" s="47" t="inlineStr">
        <is>
          <t>cCORT</t>
        </is>
      </c>
      <c r="D61" s="633" t="n"/>
      <c r="E61" s="651" t="n">
        <v>5.2</v>
      </c>
      <c r="F61" s="634" t="n">
        <v>11.6</v>
      </c>
      <c r="G61" s="634" t="n"/>
      <c r="H61" s="635" t="n"/>
      <c r="I61" s="208" t="n"/>
      <c r="J61" s="209" t="n"/>
      <c r="K61" s="634" t="n"/>
      <c r="L61" s="635" t="n"/>
      <c r="M61" s="179" t="inlineStr">
        <is>
          <t>-</t>
        </is>
      </c>
      <c r="N61" s="209" t="inlineStr">
        <is>
          <t>-</t>
        </is>
      </c>
      <c r="O61" s="634" t="inlineStr">
        <is>
          <t>-</t>
        </is>
      </c>
      <c r="P61" s="635" t="inlineStr">
        <is>
          <t>-</t>
        </is>
      </c>
    </row>
    <row r="62">
      <c r="D62" s="650" t="inlineStr">
        <is>
          <t>cTSH</t>
        </is>
      </c>
      <c r="E62" s="648" t="inlineStr">
        <is>
          <t>L1_89751</t>
        </is>
      </c>
      <c r="F62" s="258" t="inlineStr">
        <is>
          <t>L2_89752</t>
        </is>
      </c>
      <c r="G62" s="258" t="inlineStr">
        <is>
          <t>372_40452</t>
        </is>
      </c>
      <c r="H62" s="588" t="n"/>
      <c r="I62" s="648" t="inlineStr">
        <is>
          <t>L1_89751</t>
        </is>
      </c>
      <c r="J62" s="258" t="inlineStr">
        <is>
          <t>L2_89752</t>
        </is>
      </c>
      <c r="K62" s="258" t="inlineStr">
        <is>
          <t>372_40452</t>
        </is>
      </c>
      <c r="L62" s="588" t="n"/>
      <c r="M62" s="201" t="inlineStr">
        <is>
          <t>-</t>
        </is>
      </c>
      <c r="N62" s="202" t="inlineStr">
        <is>
          <t>-</t>
        </is>
      </c>
      <c r="O62" s="587" t="inlineStr">
        <is>
          <t>-</t>
        </is>
      </c>
      <c r="P62" s="588" t="inlineStr">
        <is>
          <t>-</t>
        </is>
      </c>
    </row>
    <row r="63" ht="16.5" customHeight="1" thickBot="1">
      <c r="C63" s="47" t="inlineStr">
        <is>
          <t>cTSH</t>
        </is>
      </c>
      <c r="D63" s="633" t="n"/>
      <c r="E63" s="266" t="n">
        <v>0.3</v>
      </c>
      <c r="F63" s="267" t="n">
        <v>3.3</v>
      </c>
      <c r="G63" s="267" t="n">
        <v>1</v>
      </c>
      <c r="H63" s="635" t="n"/>
      <c r="I63" s="266" t="n">
        <v>0.3</v>
      </c>
      <c r="J63" s="267" t="n">
        <v>2.2</v>
      </c>
      <c r="K63" s="267" t="n">
        <v>0.7</v>
      </c>
      <c r="L63" s="635" t="n"/>
      <c r="M63" s="179" t="inlineStr">
        <is>
          <t>-</t>
        </is>
      </c>
      <c r="N63" s="209" t="inlineStr">
        <is>
          <t>-</t>
        </is>
      </c>
      <c r="O63" s="634" t="inlineStr">
        <is>
          <t>-</t>
        </is>
      </c>
      <c r="P63" s="635" t="inlineStr">
        <is>
          <t>-</t>
        </is>
      </c>
    </row>
    <row r="64" ht="16.5" customHeight="1" thickBot="1">
      <c r="D64" s="264" t="n"/>
      <c r="E64" s="50" t="inlineStr">
        <is>
          <t>L1_89751</t>
        </is>
      </c>
      <c r="F64" s="51" t="inlineStr">
        <is>
          <t>L2_89752</t>
        </is>
      </c>
      <c r="G64" s="52" t="inlineStr">
        <is>
          <t>N1_45981</t>
        </is>
      </c>
      <c r="H64" s="53" t="inlineStr">
        <is>
          <t>N3_45983</t>
        </is>
      </c>
      <c r="I64" s="50" t="inlineStr">
        <is>
          <t>L1_89751</t>
        </is>
      </c>
      <c r="J64" s="51" t="inlineStr">
        <is>
          <t>L2_89752</t>
        </is>
      </c>
      <c r="K64" s="52" t="inlineStr">
        <is>
          <t>N1_45981</t>
        </is>
      </c>
      <c r="L64" s="53" t="inlineStr">
        <is>
          <t>N3_45983</t>
        </is>
      </c>
      <c r="M64" s="50" t="inlineStr">
        <is>
          <t>L1_89751</t>
        </is>
      </c>
      <c r="N64" s="51" t="inlineStr">
        <is>
          <t>L2_89752</t>
        </is>
      </c>
      <c r="O64" s="52" t="inlineStr">
        <is>
          <t>N1_45981</t>
        </is>
      </c>
      <c r="P64" s="53" t="inlineStr">
        <is>
          <t>N3_45983</t>
        </is>
      </c>
    </row>
    <row r="65">
      <c r="C65" s="47" t="inlineStr">
        <is>
          <t>cPL</t>
        </is>
      </c>
      <c r="D65" s="268" t="inlineStr">
        <is>
          <t>cPL</t>
        </is>
      </c>
      <c r="E65" s="76" t="n">
        <v>120</v>
      </c>
      <c r="F65" s="77" t="n">
        <v>280</v>
      </c>
      <c r="G65" s="77" t="inlineStr">
        <is>
          <t>10 (&lt;30)</t>
        </is>
      </c>
      <c r="H65" s="78" t="n">
        <v>400</v>
      </c>
      <c r="I65" s="76" t="n">
        <v>120</v>
      </c>
      <c r="J65" s="77" t="n">
        <v>280</v>
      </c>
      <c r="K65" s="77" t="inlineStr">
        <is>
          <t>10 (&lt;30)</t>
        </is>
      </c>
      <c r="L65" s="78" t="n">
        <v>400</v>
      </c>
      <c r="M65" s="201" t="inlineStr">
        <is>
          <t>-</t>
        </is>
      </c>
      <c r="N65" s="202" t="inlineStr">
        <is>
          <t>-</t>
        </is>
      </c>
      <c r="O65" s="587" t="inlineStr">
        <is>
          <t>-</t>
        </is>
      </c>
      <c r="P65" s="588" t="inlineStr">
        <is>
          <t>-</t>
        </is>
      </c>
    </row>
    <row r="66" ht="16.5" customHeight="1" thickBot="1">
      <c r="C66" s="47" t="inlineStr">
        <is>
          <t>fPL</t>
        </is>
      </c>
      <c r="D66" s="269" t="inlineStr">
        <is>
          <t>fPL, ng/ml</t>
        </is>
      </c>
      <c r="E66" s="232" t="n">
        <v>17</v>
      </c>
      <c r="F66" s="181" t="n">
        <v>29</v>
      </c>
      <c r="G66" s="181" t="n">
        <v>2.2</v>
      </c>
      <c r="H66" s="182" t="n">
        <v>45</v>
      </c>
      <c r="I66" s="179" t="inlineStr">
        <is>
          <t>-</t>
        </is>
      </c>
      <c r="J66" s="209" t="inlineStr">
        <is>
          <t>-</t>
        </is>
      </c>
      <c r="K66" s="634" t="inlineStr">
        <is>
          <t>-</t>
        </is>
      </c>
      <c r="L66" s="635" t="inlineStr">
        <is>
          <t>-</t>
        </is>
      </c>
      <c r="M66" s="232" t="n">
        <v>17</v>
      </c>
      <c r="N66" s="181" t="n">
        <v>29</v>
      </c>
      <c r="O66" s="181" t="n">
        <v>2.2</v>
      </c>
      <c r="P66" s="182" t="n">
        <v>45</v>
      </c>
    </row>
    <row r="67">
      <c r="D67" s="650" t="inlineStr">
        <is>
          <t>cNT-pBNP</t>
        </is>
      </c>
      <c r="E67" s="648" t="inlineStr">
        <is>
          <t>L</t>
        </is>
      </c>
      <c r="F67" s="258" t="inlineStr">
        <is>
          <t>H</t>
        </is>
      </c>
      <c r="G67" s="258" t="inlineStr">
        <is>
          <t>372_40450</t>
        </is>
      </c>
      <c r="H67" s="588" t="n"/>
      <c r="I67" s="648" t="inlineStr">
        <is>
          <t>L</t>
        </is>
      </c>
      <c r="J67" s="258" t="inlineStr">
        <is>
          <t>H</t>
        </is>
      </c>
      <c r="K67" s="258" t="inlineStr">
        <is>
          <t>372_40450</t>
        </is>
      </c>
      <c r="L67" s="588" t="n"/>
      <c r="M67" s="201" t="inlineStr">
        <is>
          <t>-</t>
        </is>
      </c>
      <c r="N67" s="202" t="inlineStr">
        <is>
          <t>-</t>
        </is>
      </c>
      <c r="O67" s="587" t="inlineStr">
        <is>
          <t>-</t>
        </is>
      </c>
      <c r="P67" s="588" t="inlineStr">
        <is>
          <t>-</t>
        </is>
      </c>
    </row>
    <row r="68" ht="16.5" customHeight="1" thickBot="1">
      <c r="C68" s="47" t="inlineStr">
        <is>
          <t>cNT-pBNP</t>
        </is>
      </c>
      <c r="D68" s="633" t="n"/>
      <c r="E68" s="270" t="n">
        <v>1113</v>
      </c>
      <c r="F68" s="271" t="n">
        <v>5902</v>
      </c>
      <c r="G68" s="634" t="inlineStr">
        <is>
          <t>後續提供</t>
        </is>
      </c>
      <c r="H68" s="635" t="n"/>
      <c r="I68" s="208" t="inlineStr">
        <is>
          <t>後續提供</t>
        </is>
      </c>
      <c r="J68" s="209" t="inlineStr">
        <is>
          <t>後續提供</t>
        </is>
      </c>
      <c r="K68" s="634" t="inlineStr">
        <is>
          <t>後續提供</t>
        </is>
      </c>
      <c r="L68" s="635" t="n"/>
      <c r="M68" s="179" t="inlineStr">
        <is>
          <t>-</t>
        </is>
      </c>
      <c r="N68" s="209" t="inlineStr">
        <is>
          <t>-</t>
        </is>
      </c>
      <c r="O68" s="634" t="inlineStr">
        <is>
          <t>-</t>
        </is>
      </c>
      <c r="P68" s="635" t="inlineStr">
        <is>
          <t>-</t>
        </is>
      </c>
    </row>
    <row r="69">
      <c r="D69" s="272" t="n"/>
      <c r="E69" s="264" t="n"/>
      <c r="F69" s="264" t="n"/>
      <c r="G69" s="264" t="n"/>
      <c r="H69" s="264" t="n"/>
      <c r="I69" s="168" t="n"/>
      <c r="J69" s="168" t="n"/>
      <c r="K69" s="652" t="n"/>
      <c r="L69" s="652" t="n"/>
      <c r="M69" s="264" t="n"/>
      <c r="N69" s="264" t="n"/>
      <c r="O69" s="264" t="n"/>
      <c r="P69" s="264" t="n"/>
    </row>
    <row r="70" ht="16.5" customHeight="1" thickBot="1">
      <c r="D70" s="263" t="n"/>
      <c r="E70" s="264" t="n"/>
      <c r="F70" s="264" t="n"/>
      <c r="G70" s="264" t="n"/>
      <c r="H70" s="264" t="n"/>
      <c r="I70" s="264" t="n"/>
      <c r="J70" s="264" t="n"/>
      <c r="K70" s="264" t="n"/>
      <c r="L70" s="264" t="n"/>
      <c r="M70" s="264" t="n"/>
      <c r="N70" s="264" t="n"/>
      <c r="O70" s="264" t="n"/>
      <c r="P70" s="264" t="n"/>
    </row>
    <row r="71" ht="17.25" customHeight="1" thickBot="1">
      <c r="D71" s="641" t="inlineStr">
        <is>
          <t>凝血
請提供干擾修正後定值!!!!</t>
        </is>
      </c>
      <c r="E71" s="642" t="inlineStr">
        <is>
          <t>Control mode  (Tutti)</t>
        </is>
      </c>
      <c r="F71" s="570" t="n"/>
      <c r="G71" s="570" t="n"/>
      <c r="H71" s="571" t="n"/>
      <c r="I71" s="643" t="inlineStr">
        <is>
          <t>Real mode 定值</t>
        </is>
      </c>
      <c r="J71" s="572" t="n"/>
      <c r="K71" s="572" t="n"/>
      <c r="L71" s="572" t="n"/>
      <c r="M71" s="572" t="n"/>
      <c r="N71" s="572" t="n"/>
      <c r="O71" s="572" t="n"/>
      <c r="P71" s="573" t="n"/>
    </row>
    <row r="72" ht="16.5" customHeight="1" thickBot="1">
      <c r="D72" s="633" t="n"/>
      <c r="E72" s="576" t="n"/>
      <c r="F72" s="577" t="n"/>
      <c r="G72" s="577" t="n"/>
      <c r="H72" s="578" t="n"/>
      <c r="I72" s="644" t="inlineStr">
        <is>
          <t>Canine</t>
        </is>
      </c>
      <c r="J72" s="572" t="n"/>
      <c r="K72" s="572" t="n"/>
      <c r="L72" s="573" t="n"/>
      <c r="M72" s="645" t="inlineStr">
        <is>
          <t>Feline</t>
        </is>
      </c>
      <c r="N72" s="572" t="n"/>
      <c r="O72" s="572" t="n"/>
      <c r="P72" s="573" t="n"/>
    </row>
    <row r="73" ht="47.25" customHeight="1">
      <c r="D73" s="653" t="inlineStr">
        <is>
          <t>PT</t>
        </is>
      </c>
      <c r="E73" s="274" t="inlineStr">
        <is>
          <t>Dade Ci-Trol 1
564904A</t>
        </is>
      </c>
      <c r="F73" s="275" t="inlineStr">
        <is>
          <t>Dade Ci-Trol 2
548551A</t>
        </is>
      </c>
      <c r="G73" s="258" t="inlineStr">
        <is>
          <t>Control P
556758E</t>
        </is>
      </c>
      <c r="H73" s="588" t="n"/>
      <c r="I73" s="257" t="inlineStr">
        <is>
          <t>Dade Ci-Trol 1
564904A</t>
        </is>
      </c>
      <c r="J73" s="258" t="inlineStr">
        <is>
          <t>Dade Ci-Trol 2
548551A</t>
        </is>
      </c>
      <c r="K73" s="258" t="inlineStr">
        <is>
          <t>Control P
556758E</t>
        </is>
      </c>
      <c r="L73" s="588" t="n"/>
      <c r="M73" s="274" t="inlineStr">
        <is>
          <t>Dade Ci-Trol 1
564904A</t>
        </is>
      </c>
      <c r="N73" s="275" t="inlineStr">
        <is>
          <t>Dade Ci-Trol 2
548551A</t>
        </is>
      </c>
      <c r="O73" s="258" t="inlineStr">
        <is>
          <t>Control P
556758E</t>
        </is>
      </c>
      <c r="P73" s="588" t="n"/>
    </row>
    <row r="74" ht="16.5" customHeight="1" thickBot="1">
      <c r="C74" s="47" t="inlineStr">
        <is>
          <t>PT</t>
        </is>
      </c>
      <c r="D74" s="633" t="n"/>
      <c r="E74" s="654" t="n">
        <v>15.6</v>
      </c>
      <c r="F74" s="277" t="inlineStr">
        <is>
          <t>-</t>
        </is>
      </c>
      <c r="G74" s="655" t="n">
        <v>18.1</v>
      </c>
      <c r="H74" s="635" t="n"/>
      <c r="I74" s="654" t="n">
        <v>15.6</v>
      </c>
      <c r="J74" s="277" t="inlineStr">
        <is>
          <t>-</t>
        </is>
      </c>
      <c r="K74" s="655" t="n">
        <v>18.1</v>
      </c>
      <c r="L74" s="635" t="n"/>
      <c r="M74" s="654" t="n">
        <v>16.9</v>
      </c>
      <c r="N74" s="277" t="n"/>
      <c r="O74" s="655" t="n">
        <v>18.7</v>
      </c>
      <c r="P74" s="635" t="n"/>
    </row>
    <row r="75" ht="47.25" customHeight="1">
      <c r="D75" s="653" t="inlineStr">
        <is>
          <t>APTT</t>
        </is>
      </c>
      <c r="E75" s="274" t="inlineStr">
        <is>
          <t>Dade Ci-Trol 1
564904A</t>
        </is>
      </c>
      <c r="F75" s="275" t="inlineStr">
        <is>
          <t>Dade Ci-Trol 2
548551A</t>
        </is>
      </c>
      <c r="G75" s="258" t="inlineStr">
        <is>
          <t>Control P
556758E</t>
        </is>
      </c>
      <c r="H75" s="588" t="n"/>
      <c r="I75" s="257" t="inlineStr">
        <is>
          <t>Dade Ci-Trol 1
564904A</t>
        </is>
      </c>
      <c r="J75" s="258" t="inlineStr">
        <is>
          <t>Dade Ci-Trol 2
548551A</t>
        </is>
      </c>
      <c r="K75" s="258" t="inlineStr">
        <is>
          <t>Control P
556758E</t>
        </is>
      </c>
      <c r="L75" s="588" t="n"/>
      <c r="M75" s="274" t="inlineStr">
        <is>
          <t>Dade Ci-Trol 1
564904A</t>
        </is>
      </c>
      <c r="N75" s="275" t="inlineStr">
        <is>
          <t>Dade Ci-Trol 2
548551A</t>
        </is>
      </c>
      <c r="O75" s="258" t="inlineStr">
        <is>
          <t>Control P
556758E</t>
        </is>
      </c>
      <c r="P75" s="588" t="n"/>
    </row>
    <row r="76" ht="16.5" customHeight="1" thickBot="1">
      <c r="C76" s="47" t="inlineStr">
        <is>
          <t>APTT</t>
        </is>
      </c>
      <c r="D76" s="633" t="n"/>
      <c r="E76" s="654" t="n">
        <v>109.7</v>
      </c>
      <c r="F76" s="655" t="n">
        <v>120.1</v>
      </c>
      <c r="G76" s="655" t="n">
        <v>127.9</v>
      </c>
      <c r="H76" s="635" t="n"/>
      <c r="I76" s="654" t="n">
        <v>109.7</v>
      </c>
      <c r="J76" s="655" t="n">
        <v>120.1</v>
      </c>
      <c r="K76" s="655" t="n">
        <v>127.9</v>
      </c>
      <c r="L76" s="635" t="n"/>
      <c r="M76" s="654" t="n">
        <v>109.7</v>
      </c>
      <c r="N76" s="655" t="n">
        <v>120.1</v>
      </c>
      <c r="O76" s="655" t="n">
        <v>127.9</v>
      </c>
      <c r="P76" s="635" t="n"/>
    </row>
    <row r="77" ht="47.25" customHeight="1">
      <c r="D77" s="653" t="inlineStr">
        <is>
          <t>FIB</t>
        </is>
      </c>
      <c r="E77" s="274" t="inlineStr">
        <is>
          <t>Dade Ci-Trol 1
564904A</t>
        </is>
      </c>
      <c r="F77" s="275" t="inlineStr">
        <is>
          <t>Dade Ci-Trol 2
548551A</t>
        </is>
      </c>
      <c r="G77" s="258" t="inlineStr">
        <is>
          <t>Control P
556758E</t>
        </is>
      </c>
      <c r="H77" s="588" t="n"/>
      <c r="I77" s="257" t="inlineStr">
        <is>
          <t>Dade Ci-Trol 1
564904A</t>
        </is>
      </c>
      <c r="J77" s="258" t="inlineStr">
        <is>
          <t>Dade Ci-Trol 2
548551A</t>
        </is>
      </c>
      <c r="K77" s="258" t="inlineStr">
        <is>
          <t>Control P
556758E</t>
        </is>
      </c>
      <c r="L77" s="588" t="n"/>
      <c r="M77" s="274" t="inlineStr">
        <is>
          <t>Dade Ci-Trol 1
564904A</t>
        </is>
      </c>
      <c r="N77" s="275" t="inlineStr">
        <is>
          <t>Dade Ci-Trol 2
548551A</t>
        </is>
      </c>
      <c r="O77" s="258" t="inlineStr">
        <is>
          <t>Control P
556758E</t>
        </is>
      </c>
      <c r="P77" s="588" t="n"/>
    </row>
    <row r="78" ht="16.5" customHeight="1" thickBot="1">
      <c r="C78" s="47" t="inlineStr">
        <is>
          <t>FIB</t>
        </is>
      </c>
      <c r="D78" s="633" t="n"/>
      <c r="E78" s="279" t="n">
        <v>229</v>
      </c>
      <c r="F78" s="277" t="n">
        <v>220</v>
      </c>
      <c r="G78" s="277" t="n">
        <v>100</v>
      </c>
      <c r="H78" s="635" t="n"/>
      <c r="I78" s="179" t="n">
        <v>241</v>
      </c>
      <c r="J78" s="209" t="inlineStr">
        <is>
          <t>後續提供</t>
        </is>
      </c>
      <c r="K78" s="634" t="inlineStr">
        <is>
          <t>後續提供</t>
        </is>
      </c>
      <c r="L78" s="635" t="n"/>
      <c r="M78" s="280" t="n">
        <v>366</v>
      </c>
      <c r="N78" s="209" t="inlineStr">
        <is>
          <t>後續提供</t>
        </is>
      </c>
      <c r="O78" s="634" t="inlineStr">
        <is>
          <t>後續提供</t>
        </is>
      </c>
      <c r="P78" s="635" t="n"/>
    </row>
    <row r="83">
      <c r="E83" s="281">
        <f>_xlfn.XLOOKUP(IF(#REF!="","",_xlfn.XLOOKUP(#REF!,[1]參照!$AS$2:$AS$34,[1]參照!$AR$2:$AR$34,0)),[1]參照!$AR$2:$AR$34,[1]參照!AU$2:AU$34,0)</f>
        <v/>
      </c>
      <c r="F83" s="281">
        <f>_xlfn.XLOOKUP(IF(#REF!="","",_xlfn.XLOOKUP(#REF!,[1]參照!$AS$2:$AS$34,[1]參照!$AR$2:$AR$34,0)),[1]參照!$AR$2:$AR$34,[1]參照!AV$2:AV$34,0)</f>
        <v/>
      </c>
      <c r="G83" s="281">
        <f>_xlfn.XLOOKUP(IF(#REF!="","",_xlfn.XLOOKUP(#REF!,[1]參照!$AS$2:$AS$34,[1]參照!$AR$2:$AR$34,0)),[1]參照!$AR$2:$AR$34,[1]參照!AW$2:AW$34,0)</f>
        <v/>
      </c>
      <c r="H83" s="281">
        <f>_xlfn.XLOOKUP(IF(#REF!="","",_xlfn.XLOOKUP(#REF!,[1]參照!$AS$2:$AS$34,[1]參照!$AR$2:$AR$34,0)),[1]參照!$AR$2:$AR$34,[1]參照!AX$2:AX$34,0)</f>
        <v/>
      </c>
    </row>
  </sheetData>
  <mergeCells count="46">
    <mergeCell ref="D49:D50"/>
    <mergeCell ref="I44:L44"/>
    <mergeCell ref="M57:P57"/>
    <mergeCell ref="AC6:AF6"/>
    <mergeCell ref="D77:D78"/>
    <mergeCell ref="Q2:T2"/>
    <mergeCell ref="AC2:AF2"/>
    <mergeCell ref="D36:D37"/>
    <mergeCell ref="M72:P72"/>
    <mergeCell ref="E1:H2"/>
    <mergeCell ref="D45:D46"/>
    <mergeCell ref="D32:D33"/>
    <mergeCell ref="D75:D76"/>
    <mergeCell ref="D56:D57"/>
    <mergeCell ref="AM2:AP2"/>
    <mergeCell ref="D47:D48"/>
    <mergeCell ref="I1:T1"/>
    <mergeCell ref="I2:L2"/>
    <mergeCell ref="M44:P44"/>
    <mergeCell ref="I56:P56"/>
    <mergeCell ref="I71:P71"/>
    <mergeCell ref="D62:D63"/>
    <mergeCell ref="AM1:AT1"/>
    <mergeCell ref="D53:D54"/>
    <mergeCell ref="D71:D72"/>
    <mergeCell ref="I43:P43"/>
    <mergeCell ref="D43:D44"/>
    <mergeCell ref="I57:L57"/>
    <mergeCell ref="U1:AF1"/>
    <mergeCell ref="U2:X2"/>
    <mergeCell ref="M2:P2"/>
    <mergeCell ref="D73:D74"/>
    <mergeCell ref="Y2:AB2"/>
    <mergeCell ref="I72:L72"/>
    <mergeCell ref="D58:D59"/>
    <mergeCell ref="D67:D68"/>
    <mergeCell ref="AL1:AL2"/>
    <mergeCell ref="E56:H57"/>
    <mergeCell ref="D51:D52"/>
    <mergeCell ref="E71:H72"/>
    <mergeCell ref="D60:D61"/>
    <mergeCell ref="D1:D2"/>
    <mergeCell ref="AQ2:AT2"/>
    <mergeCell ref="D34:D35"/>
    <mergeCell ref="AG1:AJ2"/>
    <mergeCell ref="E43:H44"/>
  </mergeCells>
  <conditionalFormatting sqref="AQ4:AT4 AQ5:AR30 AS5:AT13 AS15:AT30">
    <cfRule type="cellIs" priority="1" operator="lessThan" dxfId="1">
      <formula>-0.1</formula>
    </cfRule>
    <cfRule type="cellIs" priority="2" operator="greaterThan" dxfId="0">
      <formula>0.1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53"/>
  <sheetViews>
    <sheetView zoomScale="70" zoomScaleNormal="70" workbookViewId="0">
      <pane ySplit="3" topLeftCell="A4" activePane="bottomLeft" state="frozen"/>
      <selection pane="bottomLeft" activeCell="O26" sqref="O26"/>
    </sheetView>
  </sheetViews>
  <sheetFormatPr baseColWidth="8" defaultRowHeight="15.75"/>
  <cols>
    <col width="8" customWidth="1" style="465" min="1" max="1"/>
    <col width="8" customWidth="1" style="285" min="2" max="41"/>
    <col width="3.625" customWidth="1" style="285" min="42" max="42"/>
    <col width="4.625" customWidth="1" style="285" min="43" max="43"/>
    <col width="9" customWidth="1" style="286" min="44" max="44"/>
    <col width="17.875" customWidth="1" style="285" min="45" max="45"/>
    <col width="16.875" customWidth="1" style="285" min="46" max="46"/>
    <col width="18.125" customWidth="1" style="427" min="47" max="47"/>
    <col width="22.25" customWidth="1" style="427" min="48" max="48"/>
    <col width="18.125" customWidth="1" style="427" min="49" max="50"/>
    <col width="9" customWidth="1" style="289" min="51" max="51"/>
    <col width="9" customWidth="1" style="285" min="52" max="16384"/>
  </cols>
  <sheetData>
    <row r="1" ht="16.5" customHeight="1" thickBot="1">
      <c r="A1" s="282" t="n"/>
      <c r="B1" s="283" t="n">
        <v>2</v>
      </c>
      <c r="C1" s="284" t="n">
        <v>3</v>
      </c>
      <c r="D1" s="284" t="n">
        <v>4</v>
      </c>
      <c r="E1" s="284" t="n">
        <v>5</v>
      </c>
      <c r="F1" s="284" t="n">
        <v>6</v>
      </c>
      <c r="G1" s="284" t="n">
        <v>7</v>
      </c>
      <c r="H1" s="284" t="n">
        <v>8</v>
      </c>
      <c r="I1" s="284" t="n">
        <v>9</v>
      </c>
      <c r="K1" s="554" t="inlineStr">
        <is>
          <t>CV 規格-Tutti marker CV SPEC_v4</t>
        </is>
      </c>
      <c r="AS1" s="287" t="inlineStr">
        <is>
          <t>Panel Name:</t>
        </is>
      </c>
      <c r="AT1" s="287" t="inlineStr">
        <is>
          <t>marker list</t>
        </is>
      </c>
      <c r="AU1" s="555" t="inlineStr">
        <is>
          <t>使用Control</t>
        </is>
      </c>
      <c r="AV1" s="606" t="n"/>
      <c r="AW1" s="606" t="n"/>
      <c r="AX1" s="656" t="n"/>
    </row>
    <row r="2" ht="17.25" customHeight="1" thickBot="1">
      <c r="A2" s="290" t="n"/>
      <c r="B2" s="291" t="n"/>
      <c r="C2" s="657" t="inlineStr">
        <is>
          <t>TEa</t>
        </is>
      </c>
      <c r="D2" s="656" t="n"/>
      <c r="E2" s="292" t="inlineStr">
        <is>
          <t>位數</t>
        </is>
      </c>
      <c r="F2" s="657" t="inlineStr">
        <is>
          <t>1→%    0→</t>
        </is>
      </c>
      <c r="G2" s="656" t="n"/>
      <c r="H2" s="657" t="inlineStr">
        <is>
          <t>1→%    0→ CV呈現</t>
        </is>
      </c>
      <c r="I2" s="656" t="n"/>
      <c r="K2" s="293" t="n"/>
      <c r="L2" s="300" t="inlineStr">
        <is>
          <t>L1</t>
        </is>
      </c>
      <c r="M2" s="656" t="n"/>
      <c r="N2" s="300" t="inlineStr">
        <is>
          <t>L2</t>
        </is>
      </c>
      <c r="O2" s="656" t="n"/>
      <c r="P2" s="300" t="inlineStr">
        <is>
          <t>N1</t>
        </is>
      </c>
      <c r="Q2" s="656" t="n"/>
      <c r="R2" s="300" t="inlineStr">
        <is>
          <t>N3</t>
        </is>
      </c>
      <c r="S2" s="656" t="n"/>
      <c r="U2" s="296" t="n"/>
      <c r="V2" s="658" t="inlineStr">
        <is>
          <t>超出此規格需要立即停線</t>
        </is>
      </c>
      <c r="W2" s="572" t="n"/>
      <c r="X2" s="572" t="n"/>
      <c r="Y2" s="573" t="n"/>
      <c r="Z2" s="659" t="inlineStr">
        <is>
          <t>出貨規格 (超出此規格需要通報QC leader)-2026/5/7修改</t>
        </is>
      </c>
      <c r="AA2" s="572" t="n"/>
      <c r="AB2" s="572" t="n"/>
      <c r="AC2" s="572" t="n"/>
      <c r="AD2" s="572" t="n"/>
      <c r="AE2" s="572" t="n"/>
      <c r="AF2" s="572" t="n"/>
      <c r="AG2" s="573" t="n"/>
      <c r="AH2" s="660" t="inlineStr">
        <is>
          <t>(代入real ) 出貨規格 (超出此規格需要通報QC leader)</t>
        </is>
      </c>
      <c r="AI2" s="572" t="n"/>
      <c r="AJ2" s="572" t="n"/>
      <c r="AK2" s="572" t="n"/>
      <c r="AL2" s="572" t="n"/>
      <c r="AM2" s="572" t="n"/>
      <c r="AN2" s="572" t="n"/>
      <c r="AO2" s="573" t="n"/>
      <c r="AQ2" s="285" t="inlineStr">
        <is>
          <t>建線</t>
        </is>
      </c>
      <c r="AR2" s="286" t="n">
        <v>1</v>
      </c>
      <c r="AS2" s="287" t="inlineStr">
        <is>
          <t>Core Chem 13</t>
        </is>
      </c>
      <c r="AT2" s="287" t="inlineStr">
        <is>
          <t>GLU, CREA, BUN, TP, ALB, ALT, ALP</t>
        </is>
      </c>
      <c r="AU2" s="555" t="inlineStr">
        <is>
          <t>L1_89751</t>
        </is>
      </c>
      <c r="AV2" s="555" t="inlineStr">
        <is>
          <t>L2_89752</t>
        </is>
      </c>
      <c r="AW2" s="555" t="inlineStr">
        <is>
          <t>N1_45981</t>
        </is>
      </c>
      <c r="AX2" s="555" t="inlineStr">
        <is>
          <t>N3_45983</t>
        </is>
      </c>
    </row>
    <row r="3" ht="32.25" customHeight="1" thickBot="1">
      <c r="A3" s="290" t="inlineStr">
        <is>
          <t>Marker</t>
        </is>
      </c>
      <c r="B3" s="297" t="inlineStr">
        <is>
          <t>測值界線</t>
        </is>
      </c>
      <c r="C3" s="292" t="inlineStr">
        <is>
          <t>低值</t>
        </is>
      </c>
      <c r="D3" s="292" t="inlineStr">
        <is>
          <t>高值</t>
        </is>
      </c>
      <c r="E3" s="292" t="n"/>
      <c r="F3" s="292" t="inlineStr">
        <is>
          <t>低值</t>
        </is>
      </c>
      <c r="G3" s="292" t="inlineStr">
        <is>
          <t>高值</t>
        </is>
      </c>
      <c r="H3" s="292" t="inlineStr">
        <is>
          <t>低值</t>
        </is>
      </c>
      <c r="I3" s="292" t="inlineStr">
        <is>
          <t>高值</t>
        </is>
      </c>
      <c r="K3" s="298" t="inlineStr">
        <is>
          <t>Marker</t>
        </is>
      </c>
      <c r="L3" s="299" t="inlineStr">
        <is>
          <t>Our target</t>
        </is>
      </c>
      <c r="M3" s="300" t="inlineStr">
        <is>
          <t>Tutti</t>
        </is>
      </c>
      <c r="N3" s="299" t="inlineStr">
        <is>
          <t>Our target</t>
        </is>
      </c>
      <c r="O3" s="300" t="inlineStr">
        <is>
          <t>Tutti</t>
        </is>
      </c>
      <c r="P3" s="299" t="inlineStr">
        <is>
          <t>Our target</t>
        </is>
      </c>
      <c r="Q3" s="300" t="inlineStr">
        <is>
          <t>Tutti</t>
        </is>
      </c>
      <c r="R3" s="299" t="inlineStr">
        <is>
          <t>Our target</t>
        </is>
      </c>
      <c r="S3" s="300" t="inlineStr">
        <is>
          <t>Tutti</t>
        </is>
      </c>
      <c r="U3" s="301" t="n"/>
      <c r="V3" s="661" t="inlineStr">
        <is>
          <t>TEa</t>
        </is>
      </c>
      <c r="W3" s="572" t="n"/>
      <c r="X3" s="572" t="n"/>
      <c r="Y3" s="573" t="n"/>
      <c r="Z3" s="551" t="inlineStr">
        <is>
          <t>L1</t>
        </is>
      </c>
      <c r="AA3" s="662" t="n"/>
      <c r="AB3" s="552" t="inlineStr">
        <is>
          <t>L2</t>
        </is>
      </c>
      <c r="AC3" s="662" t="n"/>
      <c r="AD3" s="552" t="inlineStr">
        <is>
          <t>N1</t>
        </is>
      </c>
      <c r="AE3" s="662" t="n"/>
      <c r="AF3" s="552" t="inlineStr">
        <is>
          <t>N3</t>
        </is>
      </c>
      <c r="AG3" s="662" t="n"/>
      <c r="AH3" s="550" t="inlineStr">
        <is>
          <t>L1</t>
        </is>
      </c>
      <c r="AI3" s="572" t="n"/>
      <c r="AJ3" s="540" t="inlineStr">
        <is>
          <t>L2</t>
        </is>
      </c>
      <c r="AK3" s="572" t="n"/>
      <c r="AL3" s="540" t="inlineStr">
        <is>
          <t>N1</t>
        </is>
      </c>
      <c r="AM3" s="572" t="n"/>
      <c r="AN3" s="541" t="inlineStr">
        <is>
          <t>N3</t>
        </is>
      </c>
      <c r="AO3" s="573" t="n"/>
      <c r="AQ3" s="285" t="inlineStr">
        <is>
          <t>生產</t>
        </is>
      </c>
      <c r="AR3" s="286" t="n">
        <v>1</v>
      </c>
      <c r="AS3" s="287" t="inlineStr">
        <is>
          <t>Diagnosis Plus 27</t>
        </is>
      </c>
      <c r="AT3" s="287" t="inlineStr">
        <is>
          <t>GLU, CREA, BUN, PHOS, Ca, Na, K, TP, ALB, ALT, ALP, GGT, TBIL, AMY, CHOL</t>
        </is>
      </c>
      <c r="AU3" s="555" t="inlineStr">
        <is>
          <t>L1_89751</t>
        </is>
      </c>
      <c r="AV3" s="555" t="inlineStr">
        <is>
          <t>L2_89752</t>
        </is>
      </c>
      <c r="AW3" s="555" t="inlineStr">
        <is>
          <t>N1_45981</t>
        </is>
      </c>
      <c r="AX3" s="555" t="inlineStr">
        <is>
          <t>N3_45983</t>
        </is>
      </c>
    </row>
    <row r="4" ht="19.5" customHeight="1">
      <c r="A4" s="290" t="inlineStr">
        <is>
          <t>ALB</t>
        </is>
      </c>
      <c r="B4" s="297" t="n">
        <v>0</v>
      </c>
      <c r="C4" s="302" t="n">
        <v>0.08</v>
      </c>
      <c r="D4" s="302" t="n">
        <v>0.08</v>
      </c>
      <c r="E4" s="292" t="n">
        <v>1</v>
      </c>
      <c r="F4" s="292" t="n">
        <v>1</v>
      </c>
      <c r="G4" s="292" t="n">
        <v>1</v>
      </c>
      <c r="H4" s="292" t="n">
        <v>1</v>
      </c>
      <c r="I4" s="292" t="n">
        <v>1</v>
      </c>
      <c r="K4" s="303" t="inlineStr">
        <is>
          <t>ALB</t>
        </is>
      </c>
      <c r="L4" s="663" t="n">
        <v>0.05</v>
      </c>
      <c r="M4" s="664" t="n">
        <v>0.022</v>
      </c>
      <c r="N4" s="663" t="n">
        <v>0.05</v>
      </c>
      <c r="O4" s="664" t="n">
        <v>0.018</v>
      </c>
      <c r="P4" s="663" t="n">
        <v>0.05</v>
      </c>
      <c r="Q4" s="664" t="n"/>
      <c r="R4" s="663" t="n">
        <v>0.05</v>
      </c>
      <c r="S4" s="306" t="n"/>
      <c r="U4" s="307" t="inlineStr">
        <is>
          <t>Marker</t>
        </is>
      </c>
      <c r="V4" s="308" t="inlineStr">
        <is>
          <t>L1</t>
        </is>
      </c>
      <c r="W4" s="309" t="inlineStr">
        <is>
          <t>L2</t>
        </is>
      </c>
      <c r="X4" s="309" t="inlineStr">
        <is>
          <t>N1</t>
        </is>
      </c>
      <c r="Y4" s="310" t="inlineStr">
        <is>
          <t>N3</t>
        </is>
      </c>
      <c r="Z4" s="308" t="inlineStr">
        <is>
          <t>UCL</t>
        </is>
      </c>
      <c r="AA4" s="309" t="inlineStr">
        <is>
          <t>LCL</t>
        </is>
      </c>
      <c r="AB4" s="309" t="inlineStr">
        <is>
          <t>UCL</t>
        </is>
      </c>
      <c r="AC4" s="309" t="inlineStr">
        <is>
          <t>LCL</t>
        </is>
      </c>
      <c r="AD4" s="309" t="inlineStr">
        <is>
          <t>UCL</t>
        </is>
      </c>
      <c r="AE4" s="309" t="inlineStr">
        <is>
          <t>LCL</t>
        </is>
      </c>
      <c r="AF4" s="309" t="inlineStr">
        <is>
          <t>UCL</t>
        </is>
      </c>
      <c r="AG4" s="310" t="inlineStr">
        <is>
          <t>LCL</t>
        </is>
      </c>
      <c r="AH4" s="311" t="inlineStr">
        <is>
          <t>UCL</t>
        </is>
      </c>
      <c r="AI4" s="312" t="inlineStr">
        <is>
          <t>LCL</t>
        </is>
      </c>
      <c r="AJ4" s="312" t="inlineStr">
        <is>
          <t>UCL</t>
        </is>
      </c>
      <c r="AK4" s="312" t="inlineStr">
        <is>
          <t>LCL</t>
        </is>
      </c>
      <c r="AL4" s="312" t="inlineStr">
        <is>
          <t>UCL</t>
        </is>
      </c>
      <c r="AM4" s="312" t="inlineStr">
        <is>
          <t>LCL</t>
        </is>
      </c>
      <c r="AN4" s="312" t="inlineStr">
        <is>
          <t>UCL</t>
        </is>
      </c>
      <c r="AO4" s="313" t="inlineStr">
        <is>
          <t>LCL</t>
        </is>
      </c>
      <c r="AR4" s="286" t="n">
        <v>1</v>
      </c>
      <c r="AS4" s="287" t="inlineStr">
        <is>
          <t>General Chem 26</t>
        </is>
      </c>
      <c r="AT4" s="287" t="inlineStr">
        <is>
          <t>GLU, CREA, BUN, PHOS, Ca, TP, ALB, ALT, AST, ALP, GGT, TBIL, AMY, CK, CHOL</t>
        </is>
      </c>
      <c r="AU4" s="555" t="inlineStr">
        <is>
          <t>L1_89751</t>
        </is>
      </c>
      <c r="AV4" s="555" t="inlineStr">
        <is>
          <t>L2_89752</t>
        </is>
      </c>
      <c r="AW4" s="555" t="inlineStr">
        <is>
          <t>N1_45981</t>
        </is>
      </c>
      <c r="AX4" s="555" t="inlineStr">
        <is>
          <t>N3_45983</t>
        </is>
      </c>
    </row>
    <row r="5" ht="19.5" customHeight="1">
      <c r="A5" s="290" t="inlineStr">
        <is>
          <t>ALP</t>
        </is>
      </c>
      <c r="B5" s="297" t="n">
        <v>0</v>
      </c>
      <c r="C5" s="302" t="n">
        <v>0.2</v>
      </c>
      <c r="D5" s="302" t="n">
        <v>0.2</v>
      </c>
      <c r="E5" s="292" t="n">
        <v>0</v>
      </c>
      <c r="F5" s="292" t="n">
        <v>1</v>
      </c>
      <c r="G5" s="292" t="n">
        <v>1</v>
      </c>
      <c r="H5" s="292" t="n">
        <v>1</v>
      </c>
      <c r="I5" s="292" t="n">
        <v>1</v>
      </c>
      <c r="K5" s="303" t="inlineStr">
        <is>
          <t>ALT</t>
        </is>
      </c>
      <c r="L5" s="665" t="n">
        <v>0.1</v>
      </c>
      <c r="M5" s="666" t="n">
        <v>0.049</v>
      </c>
      <c r="N5" s="667" t="n">
        <v>0.05</v>
      </c>
      <c r="O5" s="666" t="n">
        <v>0.011</v>
      </c>
      <c r="P5" s="665" t="n">
        <v>0.1</v>
      </c>
      <c r="Q5" s="666" t="n"/>
      <c r="R5" s="667" t="n">
        <v>0.05</v>
      </c>
      <c r="S5" s="317" t="n"/>
      <c r="U5" s="318" t="inlineStr">
        <is>
          <t>ALB</t>
        </is>
      </c>
      <c r="V5" s="319" t="n">
        <v>0.08</v>
      </c>
      <c r="W5" s="320" t="n">
        <v>0.08</v>
      </c>
      <c r="X5" s="320" t="n">
        <v>0.08</v>
      </c>
      <c r="Y5" s="321" t="n">
        <v>0.08</v>
      </c>
      <c r="Z5" s="322">
        <f>V5/2</f>
        <v/>
      </c>
      <c r="AA5" s="323">
        <f>-V5/2</f>
        <v/>
      </c>
      <c r="AB5" s="324" t="n">
        <v>0.04</v>
      </c>
      <c r="AC5" s="324" t="n">
        <v>-0.04</v>
      </c>
      <c r="AD5" s="324" t="n">
        <v>0.04</v>
      </c>
      <c r="AE5" s="324" t="n">
        <v>-0.04</v>
      </c>
      <c r="AF5" s="323">
        <f>Y5/2</f>
        <v/>
      </c>
      <c r="AG5" s="325">
        <f>-Y5/2</f>
        <v/>
      </c>
      <c r="AH5" s="326" t="n">
        <v>0.04</v>
      </c>
      <c r="AI5" s="324" t="n">
        <v>-0.04</v>
      </c>
      <c r="AJ5" s="327" t="n">
        <v>0.04</v>
      </c>
      <c r="AK5" s="324" t="n">
        <v>-0.04</v>
      </c>
      <c r="AL5" s="324" t="n">
        <v>0.04</v>
      </c>
      <c r="AM5" s="324" t="n">
        <v>-0.04</v>
      </c>
      <c r="AN5" s="324" t="n">
        <v>0.04</v>
      </c>
      <c r="AO5" s="328" t="n">
        <v>-0.04</v>
      </c>
      <c r="AR5" s="286" t="n">
        <v>1</v>
      </c>
      <c r="AS5" s="287" t="inlineStr">
        <is>
          <t>Optimum Wellness 37</t>
        </is>
      </c>
      <c r="AT5" s="287" t="inlineStr">
        <is>
          <t>GLU, CREA, BUN, PHOS, Ca, Na, K, Cl, TCO2, TP, ALB, ALT, AST, ALP, GGT, TBIL, BA, AMY, P-LIPA, CHOL, TRIG, CK</t>
        </is>
      </c>
      <c r="AU5" s="555" t="inlineStr">
        <is>
          <t>L1_89751</t>
        </is>
      </c>
      <c r="AV5" s="555" t="inlineStr">
        <is>
          <t>L2_89752</t>
        </is>
      </c>
      <c r="AW5" s="555" t="inlineStr">
        <is>
          <t>N1_45981</t>
        </is>
      </c>
      <c r="AX5" s="555" t="inlineStr">
        <is>
          <t>N3_45983</t>
        </is>
      </c>
    </row>
    <row r="6" ht="19.5" customHeight="1">
      <c r="A6" s="290" t="inlineStr">
        <is>
          <t>ALT</t>
        </is>
      </c>
      <c r="B6" s="297">
        <f>C6/D6</f>
        <v/>
      </c>
      <c r="C6" s="668" t="n">
        <v>6</v>
      </c>
      <c r="D6" s="302" t="n">
        <v>0.15</v>
      </c>
      <c r="E6" s="292" t="n">
        <v>0</v>
      </c>
      <c r="F6" s="292" t="n">
        <v>0</v>
      </c>
      <c r="G6" s="292" t="n">
        <v>1</v>
      </c>
      <c r="H6" s="292" t="n">
        <v>1</v>
      </c>
      <c r="I6" s="292" t="n">
        <v>1</v>
      </c>
      <c r="K6" s="303" t="inlineStr">
        <is>
          <t>ALP</t>
        </is>
      </c>
      <c r="L6" s="667" t="n">
        <v>0.05</v>
      </c>
      <c r="M6" s="666" t="n">
        <v>0.016</v>
      </c>
      <c r="N6" s="667" t="n">
        <v>0.05</v>
      </c>
      <c r="O6" s="666" t="n">
        <v>0.012</v>
      </c>
      <c r="P6" s="667" t="n">
        <v>0.05</v>
      </c>
      <c r="Q6" s="666" t="n"/>
      <c r="R6" s="667" t="n">
        <v>0.05</v>
      </c>
      <c r="S6" s="317" t="n"/>
      <c r="U6" s="318" t="inlineStr">
        <is>
          <t>ALP</t>
        </is>
      </c>
      <c r="V6" s="319" t="n">
        <v>0.2</v>
      </c>
      <c r="W6" s="320" t="n">
        <v>0.2</v>
      </c>
      <c r="X6" s="320" t="n">
        <v>0.2</v>
      </c>
      <c r="Y6" s="321" t="n">
        <v>0.2</v>
      </c>
      <c r="Z6" s="669">
        <f>V6/3</f>
        <v/>
      </c>
      <c r="AA6" s="670">
        <f>-V6/3</f>
        <v/>
      </c>
      <c r="AB6" s="670">
        <f>W6/3</f>
        <v/>
      </c>
      <c r="AC6" s="670">
        <f>-W6/3</f>
        <v/>
      </c>
      <c r="AD6" s="671">
        <f>X6/3</f>
        <v/>
      </c>
      <c r="AE6" s="671">
        <f>-X6/3</f>
        <v/>
      </c>
      <c r="AF6" s="670">
        <f>Y6/3</f>
        <v/>
      </c>
      <c r="AG6" s="672">
        <f>-Y6/3</f>
        <v/>
      </c>
      <c r="AH6" s="334" t="n">
        <v>0.1</v>
      </c>
      <c r="AI6" s="320" t="n">
        <v>-0.1</v>
      </c>
      <c r="AJ6" s="320" t="n">
        <v>0.1</v>
      </c>
      <c r="AK6" s="320" t="n">
        <v>-0.1</v>
      </c>
      <c r="AL6" s="335" t="n">
        <v>1</v>
      </c>
      <c r="AM6" s="336" t="n">
        <v>-1</v>
      </c>
      <c r="AN6" s="320" t="n">
        <v>0.15</v>
      </c>
      <c r="AO6" s="321" t="n">
        <v>-0.15</v>
      </c>
      <c r="AR6" s="286" t="n">
        <v>1</v>
      </c>
      <c r="AS6" s="287" t="inlineStr">
        <is>
          <t>Renal 15</t>
        </is>
      </c>
      <c r="AT6" s="287" t="inlineStr">
        <is>
          <t>GLU, CREA, BUN, PHOS, Ca, TP, ALB</t>
        </is>
      </c>
      <c r="AU6" s="555" t="inlineStr">
        <is>
          <t>L1_89751</t>
        </is>
      </c>
      <c r="AV6" s="555" t="inlineStr">
        <is>
          <t>L2_89752</t>
        </is>
      </c>
      <c r="AW6" s="555" t="inlineStr">
        <is>
          <t>N1_45981</t>
        </is>
      </c>
      <c r="AX6" s="555" t="inlineStr">
        <is>
          <t>N3_45983</t>
        </is>
      </c>
    </row>
    <row r="7" ht="19.5" customHeight="1">
      <c r="A7" s="290" t="inlineStr">
        <is>
          <t>AMY</t>
        </is>
      </c>
      <c r="B7" s="297" t="n">
        <v>0</v>
      </c>
      <c r="C7" s="302" t="n">
        <v>0.1</v>
      </c>
      <c r="D7" s="302" t="n">
        <v>0.1</v>
      </c>
      <c r="E7" s="292" t="n">
        <v>0</v>
      </c>
      <c r="F7" s="292" t="n">
        <v>1</v>
      </c>
      <c r="G7" s="292" t="n">
        <v>1</v>
      </c>
      <c r="H7" s="292" t="n">
        <v>1</v>
      </c>
      <c r="I7" s="292" t="n">
        <v>1</v>
      </c>
      <c r="K7" s="303" t="inlineStr">
        <is>
          <t>AMY</t>
        </is>
      </c>
      <c r="L7" s="667" t="n">
        <v>0.05</v>
      </c>
      <c r="M7" s="666" t="n">
        <v>0.01</v>
      </c>
      <c r="N7" s="667" t="n">
        <v>0.05</v>
      </c>
      <c r="O7" s="666" t="n">
        <v>0.01</v>
      </c>
      <c r="P7" s="667" t="n">
        <v>0.05</v>
      </c>
      <c r="Q7" s="666" t="n"/>
      <c r="R7" s="667" t="n">
        <v>0.05</v>
      </c>
      <c r="S7" s="317" t="n"/>
      <c r="U7" s="318" t="inlineStr">
        <is>
          <t>ALT</t>
        </is>
      </c>
      <c r="V7" s="673" t="n">
        <v>6</v>
      </c>
      <c r="W7" s="320" t="n">
        <v>0.15</v>
      </c>
      <c r="X7" s="673" t="n">
        <v>6</v>
      </c>
      <c r="Y7" s="321" t="n">
        <v>0.15</v>
      </c>
      <c r="Z7" s="674">
        <f>V7/2</f>
        <v/>
      </c>
      <c r="AA7" s="675">
        <f>-V7/2</f>
        <v/>
      </c>
      <c r="AB7" s="670">
        <f>W7/3</f>
        <v/>
      </c>
      <c r="AC7" s="670">
        <f>-W7/3</f>
        <v/>
      </c>
      <c r="AD7" s="675">
        <f>X7/2</f>
        <v/>
      </c>
      <c r="AE7" s="675">
        <f>-X7/2</f>
        <v/>
      </c>
      <c r="AF7" s="670">
        <f>Y7/3</f>
        <v/>
      </c>
      <c r="AG7" s="672">
        <f>-Y7/3</f>
        <v/>
      </c>
      <c r="AH7" s="334" t="n">
        <v>0.15</v>
      </c>
      <c r="AI7" s="320" t="n">
        <v>-0.15</v>
      </c>
      <c r="AJ7" s="670" t="n">
        <v>0.1</v>
      </c>
      <c r="AK7" s="670" t="n">
        <v>-0.1</v>
      </c>
      <c r="AL7" s="320" t="n">
        <v>0.15</v>
      </c>
      <c r="AM7" s="320" t="n">
        <v>-0.15</v>
      </c>
      <c r="AN7" s="670" t="n">
        <v>0.1</v>
      </c>
      <c r="AO7" s="672" t="n">
        <v>-0.1</v>
      </c>
      <c r="AR7" s="286" t="n">
        <v>1</v>
      </c>
      <c r="AS7" s="287" t="inlineStr">
        <is>
          <t>Liver 11</t>
        </is>
      </c>
      <c r="AT7" s="287" t="inlineStr">
        <is>
          <t>GLU, ALB, ALT, AST, ALP, GGT, TBIL, BA</t>
        </is>
      </c>
      <c r="AU7" s="555" t="inlineStr">
        <is>
          <t>L1_89751</t>
        </is>
      </c>
      <c r="AV7" s="555" t="inlineStr">
        <is>
          <t>L2_89752</t>
        </is>
      </c>
      <c r="AW7" s="555" t="inlineStr">
        <is>
          <t>N1_45981</t>
        </is>
      </c>
      <c r="AX7" s="555" t="inlineStr">
        <is>
          <t>N3_45983</t>
        </is>
      </c>
    </row>
    <row r="8" ht="19.5" customHeight="1">
      <c r="A8" s="290" t="inlineStr">
        <is>
          <t>AST</t>
        </is>
      </c>
      <c r="B8" s="297" t="n">
        <v>46</v>
      </c>
      <c r="C8" s="668" t="n">
        <v>6</v>
      </c>
      <c r="D8" s="302" t="n">
        <v>0.15</v>
      </c>
      <c r="E8" s="292" t="n">
        <v>0</v>
      </c>
      <c r="F8" s="292" t="n">
        <v>0</v>
      </c>
      <c r="G8" s="292" t="n">
        <v>1</v>
      </c>
      <c r="H8" s="292" t="n">
        <v>1</v>
      </c>
      <c r="I8" s="292" t="n">
        <v>1</v>
      </c>
      <c r="K8" s="303" t="inlineStr">
        <is>
          <t>AST</t>
        </is>
      </c>
      <c r="L8" s="667" t="n">
        <v>0.05</v>
      </c>
      <c r="M8" s="666" t="n">
        <v>0.027</v>
      </c>
      <c r="N8" s="667" t="n">
        <v>0.05</v>
      </c>
      <c r="O8" s="666" t="n">
        <v>0.006</v>
      </c>
      <c r="P8" s="667" t="n">
        <v>0.05</v>
      </c>
      <c r="Q8" s="666" t="n"/>
      <c r="R8" s="667" t="n">
        <v>0.05</v>
      </c>
      <c r="S8" s="317" t="n"/>
      <c r="U8" s="318" t="inlineStr">
        <is>
          <t>AMY</t>
        </is>
      </c>
      <c r="V8" s="319" t="n">
        <v>0.1</v>
      </c>
      <c r="W8" s="320" t="n">
        <v>0.1</v>
      </c>
      <c r="X8" s="320" t="n">
        <v>0.1</v>
      </c>
      <c r="Y8" s="321" t="n">
        <v>0.1</v>
      </c>
      <c r="Z8" s="669">
        <f>V8/3</f>
        <v/>
      </c>
      <c r="AA8" s="671">
        <f>-V8/3</f>
        <v/>
      </c>
      <c r="AB8" s="670">
        <f>W8/3</f>
        <v/>
      </c>
      <c r="AC8" s="671">
        <f>-W8/3</f>
        <v/>
      </c>
      <c r="AD8" s="670">
        <f>X8/3</f>
        <v/>
      </c>
      <c r="AE8" s="671">
        <f>-X8/3</f>
        <v/>
      </c>
      <c r="AF8" s="670">
        <f>Y8/3</f>
        <v/>
      </c>
      <c r="AG8" s="676">
        <f>-Y8/3</f>
        <v/>
      </c>
      <c r="AH8" s="334" t="n">
        <v>0.05</v>
      </c>
      <c r="AI8" s="324" t="n">
        <v>-0.05</v>
      </c>
      <c r="AJ8" s="320" t="n">
        <v>0.05</v>
      </c>
      <c r="AK8" s="320" t="n">
        <v>-0.05</v>
      </c>
      <c r="AL8" s="320" t="n">
        <v>0.05</v>
      </c>
      <c r="AM8" s="320" t="n">
        <v>-0.05</v>
      </c>
      <c r="AN8" s="320" t="n">
        <v>0.05</v>
      </c>
      <c r="AO8" s="328" t="n">
        <v>-0.05</v>
      </c>
      <c r="AR8" s="286" t="n">
        <v>1</v>
      </c>
      <c r="AS8" s="287" t="inlineStr">
        <is>
          <t>Critical Care 26</t>
        </is>
      </c>
      <c r="AT8" s="287" t="inlineStr">
        <is>
          <t>GLU, CREA, BUN, Ca, Na, K, Cl, TCO2, TP, ALB, ALT, ALP,  CK, LAC</t>
        </is>
      </c>
      <c r="AU8" s="555" t="inlineStr">
        <is>
          <t>L1_89751</t>
        </is>
      </c>
      <c r="AV8" s="555" t="inlineStr">
        <is>
          <t>L2_89752</t>
        </is>
      </c>
      <c r="AW8" s="555" t="inlineStr">
        <is>
          <t>N1_45981</t>
        </is>
      </c>
      <c r="AX8" s="555" t="inlineStr">
        <is>
          <t>N3_45983</t>
        </is>
      </c>
    </row>
    <row r="9" ht="19.5" customHeight="1">
      <c r="A9" s="290" t="inlineStr">
        <is>
          <t>BUN</t>
        </is>
      </c>
      <c r="B9" s="677" t="n">
        <v>22.22222222222222</v>
      </c>
      <c r="C9" s="292" t="n">
        <v>2</v>
      </c>
      <c r="D9" s="302" t="n">
        <v>0.09</v>
      </c>
      <c r="E9" s="292" t="n">
        <v>1</v>
      </c>
      <c r="F9" s="292" t="n">
        <v>0</v>
      </c>
      <c r="G9" s="292" t="n">
        <v>1</v>
      </c>
      <c r="H9" s="292" t="n">
        <v>1</v>
      </c>
      <c r="I9" s="292" t="n">
        <v>1</v>
      </c>
      <c r="K9" s="303" t="inlineStr">
        <is>
          <t>BUN</t>
        </is>
      </c>
      <c r="L9" s="667" t="n">
        <v>0.045</v>
      </c>
      <c r="M9" s="666" t="n">
        <v>0.013</v>
      </c>
      <c r="N9" s="667" t="n">
        <v>0.045</v>
      </c>
      <c r="O9" s="666" t="n">
        <v>0.012</v>
      </c>
      <c r="P9" s="667" t="n">
        <v>0.045</v>
      </c>
      <c r="Q9" s="666" t="n"/>
      <c r="R9" s="667" t="n">
        <v>0.045</v>
      </c>
      <c r="S9" s="317" t="n"/>
      <c r="U9" s="318" t="inlineStr">
        <is>
          <t>AST</t>
        </is>
      </c>
      <c r="V9" s="673" t="n">
        <v>6</v>
      </c>
      <c r="W9" s="320" t="n">
        <v>0.15</v>
      </c>
      <c r="X9" s="673" t="n">
        <v>6</v>
      </c>
      <c r="Y9" s="321" t="n">
        <v>0.15</v>
      </c>
      <c r="Z9" s="674">
        <f>V9/2</f>
        <v/>
      </c>
      <c r="AA9" s="675">
        <f>-V9/2</f>
        <v/>
      </c>
      <c r="AB9" s="670">
        <f>W9/3</f>
        <v/>
      </c>
      <c r="AC9" s="670">
        <f>-W9/3</f>
        <v/>
      </c>
      <c r="AD9" s="675">
        <f>X9/2</f>
        <v/>
      </c>
      <c r="AE9" s="675">
        <f>-X9/2</f>
        <v/>
      </c>
      <c r="AF9" s="670">
        <f>Y9/3</f>
        <v/>
      </c>
      <c r="AG9" s="672">
        <f>-Y9/3</f>
        <v/>
      </c>
      <c r="AH9" s="678" t="n">
        <v>0.075</v>
      </c>
      <c r="AI9" s="671" t="n">
        <v>-0.075</v>
      </c>
      <c r="AJ9" s="670" t="n">
        <v>0.075</v>
      </c>
      <c r="AK9" s="670" t="n">
        <v>-0.075</v>
      </c>
      <c r="AL9" s="671" t="n">
        <v>0.075</v>
      </c>
      <c r="AM9" s="671" t="n">
        <v>-0.075</v>
      </c>
      <c r="AN9" s="671" t="n">
        <v>0.075</v>
      </c>
      <c r="AO9" s="676" t="n">
        <v>-0.075</v>
      </c>
      <c r="AR9" s="286" t="n">
        <v>1</v>
      </c>
      <c r="AS9" s="287" t="inlineStr">
        <is>
          <t>Critical Care add-on 10</t>
        </is>
      </c>
      <c r="AT9" s="287" t="inlineStr">
        <is>
          <t>Ca, Na, K, Cl, TCO2, CK, LAC</t>
        </is>
      </c>
      <c r="AU9" s="555" t="inlineStr">
        <is>
          <t>L1_89751</t>
        </is>
      </c>
      <c r="AV9" s="555" t="inlineStr">
        <is>
          <t>L2_89752</t>
        </is>
      </c>
      <c r="AW9" s="555" t="inlineStr">
        <is>
          <t>N1_45981</t>
        </is>
      </c>
      <c r="AX9" s="555" t="inlineStr">
        <is>
          <t>N3_45983</t>
        </is>
      </c>
    </row>
    <row r="10" ht="19.5" customHeight="1">
      <c r="A10" s="290" t="inlineStr">
        <is>
          <t>Ca</t>
        </is>
      </c>
      <c r="B10" s="297" t="n">
        <v>0</v>
      </c>
      <c r="C10" s="292" t="n">
        <v>1</v>
      </c>
      <c r="D10" s="292" t="n">
        <v>1</v>
      </c>
      <c r="E10" s="292" t="n">
        <v>1</v>
      </c>
      <c r="F10" s="292" t="n">
        <v>0</v>
      </c>
      <c r="G10" s="292" t="n">
        <v>0</v>
      </c>
      <c r="H10" s="292" t="n">
        <v>1</v>
      </c>
      <c r="I10" s="292" t="n">
        <v>1</v>
      </c>
      <c r="K10" s="303" t="inlineStr">
        <is>
          <t>Ca</t>
        </is>
      </c>
      <c r="L10" s="667" t="n">
        <v>0.05</v>
      </c>
      <c r="M10" s="666" t="n">
        <v>0.031</v>
      </c>
      <c r="N10" s="667" t="n">
        <v>0.05</v>
      </c>
      <c r="O10" s="666" t="n">
        <v>0.042</v>
      </c>
      <c r="P10" s="667" t="n">
        <v>0.05</v>
      </c>
      <c r="Q10" s="666" t="n"/>
      <c r="R10" s="667" t="n">
        <v>0.05</v>
      </c>
      <c r="S10" s="317" t="n"/>
      <c r="U10" s="318" t="inlineStr">
        <is>
          <t>BUN</t>
        </is>
      </c>
      <c r="V10" s="343" t="n">
        <v>2</v>
      </c>
      <c r="W10" s="320" t="n">
        <v>0.09</v>
      </c>
      <c r="X10" s="344" t="n">
        <v>2</v>
      </c>
      <c r="Y10" s="321" t="n">
        <v>0.09</v>
      </c>
      <c r="Z10" s="345">
        <f>V10/3</f>
        <v/>
      </c>
      <c r="AA10" s="346">
        <f>-V10/3</f>
        <v/>
      </c>
      <c r="AB10" s="670">
        <f>W10/3</f>
        <v/>
      </c>
      <c r="AC10" s="670">
        <f>-W10/3</f>
        <v/>
      </c>
      <c r="AD10" s="346">
        <f>X10/3</f>
        <v/>
      </c>
      <c r="AE10" s="346">
        <f>-X10/3</f>
        <v/>
      </c>
      <c r="AF10" s="670">
        <f>Y10/3</f>
        <v/>
      </c>
      <c r="AG10" s="672">
        <f>-Y10/3</f>
        <v/>
      </c>
      <c r="AH10" s="347" t="n">
        <v>1</v>
      </c>
      <c r="AI10" s="344" t="n">
        <v>-1</v>
      </c>
      <c r="AJ10" s="670" t="n">
        <v>0.045</v>
      </c>
      <c r="AK10" s="670" t="n">
        <v>-0.045</v>
      </c>
      <c r="AL10" s="344" t="n">
        <v>1</v>
      </c>
      <c r="AM10" s="344" t="n">
        <v>-1</v>
      </c>
      <c r="AN10" s="670" t="n">
        <v>0.045</v>
      </c>
      <c r="AO10" s="672" t="n">
        <v>-0.045</v>
      </c>
      <c r="AR10" s="286" t="n">
        <v>1</v>
      </c>
      <c r="AS10" s="287" t="inlineStr">
        <is>
          <t>Electrolyte 7</t>
        </is>
      </c>
      <c r="AT10" s="287" t="inlineStr">
        <is>
          <t>Na, K, Cl, TCO2</t>
        </is>
      </c>
      <c r="AU10" s="555" t="inlineStr">
        <is>
          <t>L1_89751</t>
        </is>
      </c>
      <c r="AV10" s="555" t="inlineStr">
        <is>
          <t>L2_89752</t>
        </is>
      </c>
      <c r="AW10" s="555" t="inlineStr">
        <is>
          <t>N1_45981</t>
        </is>
      </c>
      <c r="AX10" s="555" t="inlineStr">
        <is>
          <t>N3_45983</t>
        </is>
      </c>
    </row>
    <row r="11" ht="19.5" customHeight="1">
      <c r="A11" s="290" t="inlineStr">
        <is>
          <t>Cl</t>
        </is>
      </c>
      <c r="B11" s="297" t="n">
        <v>0</v>
      </c>
      <c r="C11" s="302" t="n">
        <v>0.05</v>
      </c>
      <c r="D11" s="302" t="n">
        <v>0.05</v>
      </c>
      <c r="E11" s="292" t="n">
        <v>0</v>
      </c>
      <c r="F11" s="292" t="n">
        <v>1</v>
      </c>
      <c r="G11" s="292" t="n">
        <v>1</v>
      </c>
      <c r="H11" s="292" t="n">
        <v>1</v>
      </c>
      <c r="I11" s="292" t="n">
        <v>1</v>
      </c>
      <c r="K11" s="303" t="inlineStr">
        <is>
          <t>CHOL</t>
        </is>
      </c>
      <c r="L11" s="667" t="n">
        <v>0.05</v>
      </c>
      <c r="M11" s="666" t="n">
        <v>0.015</v>
      </c>
      <c r="N11" s="667" t="n">
        <v>0.05</v>
      </c>
      <c r="O11" s="666" t="n">
        <v>0.01</v>
      </c>
      <c r="P11" s="667" t="n">
        <v>0.05</v>
      </c>
      <c r="Q11" s="666" t="n"/>
      <c r="R11" s="667" t="n">
        <v>0.05</v>
      </c>
      <c r="S11" s="317" t="n"/>
      <c r="U11" s="318" t="inlineStr">
        <is>
          <t>Ca</t>
        </is>
      </c>
      <c r="V11" s="343" t="n">
        <v>1</v>
      </c>
      <c r="W11" s="344" t="n">
        <v>1</v>
      </c>
      <c r="X11" s="344" t="n">
        <v>1</v>
      </c>
      <c r="Y11" s="348" t="n">
        <v>1</v>
      </c>
      <c r="Z11" s="679">
        <f>V11*0.4</f>
        <v/>
      </c>
      <c r="AA11" s="680">
        <f>-W11*0.4</f>
        <v/>
      </c>
      <c r="AB11" s="680">
        <f>X11*0.4</f>
        <v/>
      </c>
      <c r="AC11" s="680">
        <f>Y11*-0.4</f>
        <v/>
      </c>
      <c r="AD11" s="680">
        <f>X11*0.4</f>
        <v/>
      </c>
      <c r="AE11" s="680">
        <f>-X11*0.4</f>
        <v/>
      </c>
      <c r="AF11" s="680">
        <f>Y11*0.4</f>
        <v/>
      </c>
      <c r="AG11" s="681">
        <f>-Y11*0.4</f>
        <v/>
      </c>
      <c r="AH11" s="347" t="n">
        <v>0.5</v>
      </c>
      <c r="AI11" s="344" t="n">
        <v>-0.5</v>
      </c>
      <c r="AJ11" s="344" t="n">
        <v>0.5</v>
      </c>
      <c r="AK11" s="344" t="n">
        <v>-0.5</v>
      </c>
      <c r="AL11" s="344" t="n">
        <v>0.5</v>
      </c>
      <c r="AM11" s="344" t="n">
        <v>-0.5</v>
      </c>
      <c r="AN11" s="344" t="n">
        <v>0.5</v>
      </c>
      <c r="AO11" s="348" t="n">
        <v>-0.5</v>
      </c>
      <c r="AR11" s="286" t="n">
        <v>1</v>
      </c>
      <c r="AS11" s="287" t="inlineStr">
        <is>
          <t>Equine 26</t>
        </is>
      </c>
      <c r="AT11" s="287" t="inlineStr">
        <is>
          <t>GLU, CREA, BUN, PHOS, Ca, Na, K, TP, ALB, AST, ALP, GGT, TBIL, CK, LDH</t>
        </is>
      </c>
      <c r="AU11" s="555" t="inlineStr">
        <is>
          <t>L1_89751</t>
        </is>
      </c>
      <c r="AV11" s="555" t="inlineStr">
        <is>
          <t>L2_89752</t>
        </is>
      </c>
      <c r="AW11" s="555" t="inlineStr">
        <is>
          <t>N1_45981</t>
        </is>
      </c>
      <c r="AX11" s="555" t="inlineStr">
        <is>
          <t>N3_45983</t>
        </is>
      </c>
    </row>
    <row r="12" ht="19.5" customHeight="1">
      <c r="A12" s="290" t="inlineStr">
        <is>
          <t>CK</t>
        </is>
      </c>
      <c r="B12" s="297" t="n">
        <v>0</v>
      </c>
      <c r="C12" s="302" t="n">
        <v>0.2</v>
      </c>
      <c r="D12" s="302" t="n">
        <v>0.2</v>
      </c>
      <c r="E12" s="292" t="n">
        <v>0</v>
      </c>
      <c r="F12" s="292" t="n">
        <v>1</v>
      </c>
      <c r="G12" s="292" t="n">
        <v>1</v>
      </c>
      <c r="H12" s="292" t="n">
        <v>1</v>
      </c>
      <c r="I12" s="292" t="n">
        <v>1</v>
      </c>
      <c r="K12" s="303" t="inlineStr">
        <is>
          <t>CREA</t>
        </is>
      </c>
      <c r="L12" s="667" t="n">
        <v>0.07000000000000001</v>
      </c>
      <c r="M12" s="666" t="n">
        <v>0.04</v>
      </c>
      <c r="N12" s="667" t="n">
        <v>0.07000000000000001</v>
      </c>
      <c r="O12" s="666" t="n">
        <v>0.011</v>
      </c>
      <c r="P12" s="667" t="n">
        <v>0.07000000000000001</v>
      </c>
      <c r="Q12" s="666" t="n"/>
      <c r="R12" s="667" t="n">
        <v>0.07000000000000001</v>
      </c>
      <c r="S12" s="317" t="n"/>
      <c r="U12" s="318" t="inlineStr">
        <is>
          <t>Cl</t>
        </is>
      </c>
      <c r="V12" s="319" t="n">
        <v>0.05</v>
      </c>
      <c r="W12" s="320" t="n">
        <v>0.05</v>
      </c>
      <c r="X12" s="320" t="n">
        <v>0.05</v>
      </c>
      <c r="Y12" s="321" t="n">
        <v>0.05</v>
      </c>
      <c r="Z12" s="682" t="n">
        <v>0.025</v>
      </c>
      <c r="AA12" s="671" t="n">
        <v>-0.025</v>
      </c>
      <c r="AB12" s="671" t="n">
        <v>0.025</v>
      </c>
      <c r="AC12" s="671" t="n">
        <v>-0.025</v>
      </c>
      <c r="AD12" s="671" t="n">
        <v>0.025</v>
      </c>
      <c r="AE12" s="671" t="n">
        <v>-0.025</v>
      </c>
      <c r="AF12" s="671" t="n">
        <v>0.025</v>
      </c>
      <c r="AG12" s="676" t="n">
        <v>-0.025</v>
      </c>
      <c r="AH12" s="347" t="n">
        <v>1</v>
      </c>
      <c r="AI12" s="344" t="n">
        <v>-1</v>
      </c>
      <c r="AJ12" s="344" t="n">
        <v>1</v>
      </c>
      <c r="AK12" s="344" t="n">
        <v>-1</v>
      </c>
      <c r="AL12" s="671" t="n">
        <v>0.025</v>
      </c>
      <c r="AM12" s="671" t="n">
        <v>-0.025</v>
      </c>
      <c r="AN12" s="671" t="n">
        <v>0.025</v>
      </c>
      <c r="AO12" s="676" t="n">
        <v>-0.025</v>
      </c>
      <c r="AR12" s="286" t="n">
        <v>1</v>
      </c>
      <c r="AS12" s="287" t="inlineStr">
        <is>
          <t>Large Animal 25</t>
        </is>
      </c>
      <c r="AT12" s="287" t="inlineStr">
        <is>
          <t>GLU, BUN, PHOS, Ca, Na, K, Cl, Mg, TP, ALB, AST, ALP, GGT, CK, LDH</t>
        </is>
      </c>
      <c r="AU12" s="555" t="inlineStr">
        <is>
          <t>L1_89751</t>
        </is>
      </c>
      <c r="AV12" s="555" t="inlineStr">
        <is>
          <t>L2_89752</t>
        </is>
      </c>
      <c r="AW12" s="555" t="inlineStr">
        <is>
          <t>N1_45981</t>
        </is>
      </c>
      <c r="AX12" s="555" t="inlineStr">
        <is>
          <t>N3_45983</t>
        </is>
      </c>
    </row>
    <row r="13" ht="19.5" customHeight="1">
      <c r="A13" s="290" t="inlineStr">
        <is>
          <t>CREA</t>
        </is>
      </c>
      <c r="B13" s="297" t="n">
        <v>2</v>
      </c>
      <c r="C13" s="292" t="n">
        <v>0.2</v>
      </c>
      <c r="D13" s="302" t="n">
        <v>0.1</v>
      </c>
      <c r="E13" s="292" t="n">
        <v>2</v>
      </c>
      <c r="F13" s="292" t="n">
        <v>0</v>
      </c>
      <c r="G13" s="292" t="n">
        <v>1</v>
      </c>
      <c r="H13" s="292" t="n">
        <v>1</v>
      </c>
      <c r="I13" s="292" t="n">
        <v>1</v>
      </c>
      <c r="K13" s="303" t="inlineStr">
        <is>
          <t>CK</t>
        </is>
      </c>
      <c r="L13" s="667" t="n">
        <v>0.05</v>
      </c>
      <c r="M13" s="666" t="n">
        <v>0.03</v>
      </c>
      <c r="N13" s="667" t="n">
        <v>0.05</v>
      </c>
      <c r="O13" s="666" t="n">
        <v>0.017</v>
      </c>
      <c r="P13" s="667" t="n">
        <v>0.05</v>
      </c>
      <c r="Q13" s="666" t="n"/>
      <c r="R13" s="667" t="n">
        <v>0.05</v>
      </c>
      <c r="S13" s="317" t="n"/>
      <c r="U13" s="318" t="inlineStr">
        <is>
          <t>CK</t>
        </is>
      </c>
      <c r="V13" s="319" t="n">
        <v>0.2</v>
      </c>
      <c r="W13" s="320" t="n">
        <v>0.2</v>
      </c>
      <c r="X13" s="320" t="n">
        <v>0.2</v>
      </c>
      <c r="Y13" s="321" t="n">
        <v>0.2</v>
      </c>
      <c r="Z13" s="319">
        <f>V13/3</f>
        <v/>
      </c>
      <c r="AA13" s="320">
        <f>-V13/3</f>
        <v/>
      </c>
      <c r="AB13" s="320">
        <f>W13/3</f>
        <v/>
      </c>
      <c r="AC13" s="320">
        <f>-W13/3</f>
        <v/>
      </c>
      <c r="AD13" s="324">
        <f>X13/3</f>
        <v/>
      </c>
      <c r="AE13" s="324">
        <f>-X13/3</f>
        <v/>
      </c>
      <c r="AF13" s="324">
        <f>Y13/3</f>
        <v/>
      </c>
      <c r="AG13" s="328">
        <f>-Y13/3</f>
        <v/>
      </c>
      <c r="AH13" s="334" t="n">
        <v>0.1</v>
      </c>
      <c r="AI13" s="320" t="n">
        <v>-0.1</v>
      </c>
      <c r="AJ13" s="320" t="n">
        <v>0.1</v>
      </c>
      <c r="AK13" s="320" t="n">
        <v>-0.1</v>
      </c>
      <c r="AL13" s="324" t="n">
        <v>0.1</v>
      </c>
      <c r="AM13" s="324" t="n">
        <v>-0.1</v>
      </c>
      <c r="AN13" s="324" t="n">
        <v>0.1</v>
      </c>
      <c r="AO13" s="328" t="n">
        <v>-0.1</v>
      </c>
      <c r="AR13" s="286" t="n">
        <v>1</v>
      </c>
      <c r="AS13" s="287" t="inlineStr">
        <is>
          <t>Exotic Pets 13</t>
        </is>
      </c>
      <c r="AT13" s="287" t="inlineStr">
        <is>
          <t>GLU, URIC, PHOS, Ca, TP, ALB, AST, CK</t>
        </is>
      </c>
      <c r="AU13" s="555" t="inlineStr">
        <is>
          <t>L1_89751</t>
        </is>
      </c>
      <c r="AV13" s="555" t="inlineStr">
        <is>
          <t>L2_89752</t>
        </is>
      </c>
      <c r="AW13" s="555" t="inlineStr">
        <is>
          <t>N1_45981</t>
        </is>
      </c>
      <c r="AX13" s="555" t="inlineStr">
        <is>
          <t>N3_45983</t>
        </is>
      </c>
    </row>
    <row r="14" ht="19.5" customHeight="1">
      <c r="A14" s="290" t="inlineStr">
        <is>
          <t>tCO2</t>
        </is>
      </c>
      <c r="B14" s="297" t="n">
        <v>20</v>
      </c>
      <c r="C14" s="668" t="n">
        <v>4</v>
      </c>
      <c r="D14" s="302" t="n">
        <v>0.2</v>
      </c>
      <c r="E14" s="292" t="n">
        <v>1</v>
      </c>
      <c r="F14" s="292" t="n">
        <v>0</v>
      </c>
      <c r="G14" s="292" t="n">
        <v>1</v>
      </c>
      <c r="H14" s="292" t="n">
        <v>1</v>
      </c>
      <c r="I14" s="292" t="n">
        <v>1</v>
      </c>
      <c r="K14" s="303" t="inlineStr">
        <is>
          <t>GGT</t>
        </is>
      </c>
      <c r="L14" s="667" t="n">
        <v>0.05</v>
      </c>
      <c r="M14" s="666" t="n">
        <v>0.017</v>
      </c>
      <c r="N14" s="667" t="n">
        <v>0.05</v>
      </c>
      <c r="O14" s="666" t="n">
        <v>0.007</v>
      </c>
      <c r="P14" s="667" t="n">
        <v>0.05</v>
      </c>
      <c r="Q14" s="666" t="n"/>
      <c r="R14" s="667" t="n">
        <v>0.05</v>
      </c>
      <c r="S14" s="317" t="n"/>
      <c r="U14" s="318" t="inlineStr">
        <is>
          <t>CREA</t>
        </is>
      </c>
      <c r="V14" s="343" t="n">
        <v>0.2</v>
      </c>
      <c r="W14" s="320" t="n">
        <v>0.1</v>
      </c>
      <c r="X14" s="344" t="n">
        <v>0.2</v>
      </c>
      <c r="Y14" s="321" t="n">
        <v>0.1</v>
      </c>
      <c r="Z14" s="345">
        <f>V14/3</f>
        <v/>
      </c>
      <c r="AA14" s="346">
        <f>-V14/3</f>
        <v/>
      </c>
      <c r="AB14" s="670">
        <f>W14/3</f>
        <v/>
      </c>
      <c r="AC14" s="670">
        <f>-W14/3</f>
        <v/>
      </c>
      <c r="AD14" s="346">
        <f>X14/3</f>
        <v/>
      </c>
      <c r="AE14" s="346">
        <f>-X14/3</f>
        <v/>
      </c>
      <c r="AF14" s="670">
        <f>Y14/3</f>
        <v/>
      </c>
      <c r="AG14" s="672">
        <f>-Y14/3</f>
        <v/>
      </c>
      <c r="AH14" s="347" t="n">
        <v>0.1</v>
      </c>
      <c r="AI14" s="344" t="n">
        <v>-0.1</v>
      </c>
      <c r="AJ14" s="320" t="n">
        <v>0.05</v>
      </c>
      <c r="AK14" s="320" t="n">
        <v>-0.05</v>
      </c>
      <c r="AL14" s="344" t="n">
        <v>0.1</v>
      </c>
      <c r="AM14" s="344" t="n">
        <v>-0.1</v>
      </c>
      <c r="AN14" s="320" t="n">
        <v>0.05</v>
      </c>
      <c r="AO14" s="321" t="n">
        <v>-0.05</v>
      </c>
      <c r="AR14" s="286" t="n">
        <v>1</v>
      </c>
      <c r="AS14" s="287" t="inlineStr">
        <is>
          <t>Avian &amp; Reptile 26</t>
        </is>
      </c>
      <c r="AT14" s="287" t="inlineStr">
        <is>
          <t>GLU, BUN, URIC, PHOS, Ca, Na, K, TP, ALB, AST, ALP, GGT, BA, CHOL, CK, LDH</t>
        </is>
      </c>
      <c r="AU14" s="555" t="inlineStr">
        <is>
          <t>L1_89751</t>
        </is>
      </c>
      <c r="AV14" s="555" t="inlineStr">
        <is>
          <t>L2_89752</t>
        </is>
      </c>
      <c r="AW14" s="555" t="inlineStr">
        <is>
          <t>N1_45981</t>
        </is>
      </c>
      <c r="AX14" s="555" t="inlineStr">
        <is>
          <t>N3_45983</t>
        </is>
      </c>
    </row>
    <row r="15" ht="19.5" customHeight="1">
      <c r="A15" s="290" t="inlineStr">
        <is>
          <t>GGT</t>
        </is>
      </c>
      <c r="B15" s="353" t="n">
        <v>33.33333333333334</v>
      </c>
      <c r="C15" s="668" t="n">
        <v>5</v>
      </c>
      <c r="D15" s="302" t="n">
        <v>0.15</v>
      </c>
      <c r="E15" s="292" t="n">
        <v>0</v>
      </c>
      <c r="F15" s="292" t="n">
        <v>0</v>
      </c>
      <c r="G15" s="292" t="n">
        <v>1</v>
      </c>
      <c r="H15" s="292" t="n">
        <v>1</v>
      </c>
      <c r="I15" s="292" t="n">
        <v>1</v>
      </c>
      <c r="K15" s="303" t="inlineStr">
        <is>
          <t>GLU</t>
        </is>
      </c>
      <c r="L15" s="667" t="n">
        <v>0.05</v>
      </c>
      <c r="M15" s="666" t="n">
        <v>0.02</v>
      </c>
      <c r="N15" s="667" t="n">
        <v>0.05</v>
      </c>
      <c r="O15" s="666" t="n">
        <v>0.014</v>
      </c>
      <c r="P15" s="667" t="n">
        <v>0.05</v>
      </c>
      <c r="Q15" s="666" t="n"/>
      <c r="R15" s="667" t="n">
        <v>0.05</v>
      </c>
      <c r="S15" s="317" t="n"/>
      <c r="U15" s="318" t="inlineStr">
        <is>
          <t>TCO2</t>
        </is>
      </c>
      <c r="V15" s="319" t="n">
        <v>0.2</v>
      </c>
      <c r="W15" s="320" t="n">
        <v>0.2</v>
      </c>
      <c r="X15" s="344" t="n">
        <v>4</v>
      </c>
      <c r="Y15" s="321" t="n">
        <v>0.2</v>
      </c>
      <c r="Z15" s="327">
        <f>V15/3</f>
        <v/>
      </c>
      <c r="AA15" s="320">
        <f>-V15/3</f>
        <v/>
      </c>
      <c r="AB15" s="324">
        <f>W15/3</f>
        <v/>
      </c>
      <c r="AC15" s="320">
        <f>-W15/3</f>
        <v/>
      </c>
      <c r="AD15" s="346">
        <f>X15/3</f>
        <v/>
      </c>
      <c r="AE15" s="346">
        <f>-X15/3</f>
        <v/>
      </c>
      <c r="AF15" s="324">
        <f>Y15/3</f>
        <v/>
      </c>
      <c r="AG15" s="321">
        <f>-Y15/3</f>
        <v/>
      </c>
      <c r="AH15" s="326" t="n">
        <v>0.1</v>
      </c>
      <c r="AI15" s="320" t="n">
        <v>-0.1</v>
      </c>
      <c r="AJ15" s="320" t="n">
        <v>0.1</v>
      </c>
      <c r="AK15" s="320" t="n">
        <v>-0.1</v>
      </c>
      <c r="AL15" s="344" t="n">
        <v>2</v>
      </c>
      <c r="AM15" s="344" t="n">
        <v>-2</v>
      </c>
      <c r="AN15" s="320" t="n">
        <v>0.1</v>
      </c>
      <c r="AO15" s="321" t="n">
        <v>-0.1</v>
      </c>
      <c r="AR15" s="286" t="n">
        <v>1</v>
      </c>
      <c r="AS15" s="287" t="inlineStr">
        <is>
          <t>Diabetes 10</t>
        </is>
      </c>
      <c r="AT15" s="287" t="inlineStr">
        <is>
          <t>GLU, FRU, TP, ALB, AMY, P-LIPA, CHOL,TRIG</t>
        </is>
      </c>
      <c r="AU15" s="555" t="inlineStr">
        <is>
          <t>L1_89751</t>
        </is>
      </c>
      <c r="AV15" s="555" t="inlineStr">
        <is>
          <t>L2_89752</t>
        </is>
      </c>
      <c r="AW15" s="555" t="inlineStr">
        <is>
          <t>N1_45981</t>
        </is>
      </c>
      <c r="AX15" s="555" t="inlineStr">
        <is>
          <t>N3_45983</t>
        </is>
      </c>
    </row>
    <row r="16" ht="19.5" customHeight="1">
      <c r="A16" s="290" t="inlineStr">
        <is>
          <t>GLU</t>
        </is>
      </c>
      <c r="B16" s="297" t="n">
        <v>75</v>
      </c>
      <c r="C16" s="668" t="n">
        <v>6</v>
      </c>
      <c r="D16" s="302" t="n">
        <v>0.08</v>
      </c>
      <c r="E16" s="292" t="n">
        <v>0</v>
      </c>
      <c r="F16" s="292" t="n">
        <v>0</v>
      </c>
      <c r="G16" s="292" t="n">
        <v>1</v>
      </c>
      <c r="H16" s="292" t="n">
        <v>1</v>
      </c>
      <c r="I16" s="292" t="n">
        <v>1</v>
      </c>
      <c r="K16" s="303" t="inlineStr">
        <is>
          <t>K</t>
        </is>
      </c>
      <c r="L16" s="667" t="n">
        <v>0.025</v>
      </c>
      <c r="M16" s="666" t="n">
        <v>0.022</v>
      </c>
      <c r="N16" s="667" t="n">
        <v>0.025</v>
      </c>
      <c r="O16" s="666" t="n">
        <v>0.018</v>
      </c>
      <c r="P16" s="665" t="n">
        <v>0.04</v>
      </c>
      <c r="Q16" s="666" t="n"/>
      <c r="R16" s="667" t="n">
        <v>0.025</v>
      </c>
      <c r="S16" s="317" t="n"/>
      <c r="U16" s="318" t="inlineStr">
        <is>
          <t>GGT</t>
        </is>
      </c>
      <c r="V16" s="319" t="n">
        <v>0.15</v>
      </c>
      <c r="W16" s="320" t="n">
        <v>0.15</v>
      </c>
      <c r="X16" s="344" t="n">
        <v>5</v>
      </c>
      <c r="Y16" s="321" t="n">
        <v>0.15</v>
      </c>
      <c r="Z16" s="669">
        <f>V16/3</f>
        <v/>
      </c>
      <c r="AA16" s="670">
        <f>-V16/3</f>
        <v/>
      </c>
      <c r="AB16" s="670">
        <f>W16/3</f>
        <v/>
      </c>
      <c r="AC16" s="670">
        <f>-W16/3</f>
        <v/>
      </c>
      <c r="AD16" s="346">
        <f>X16/3</f>
        <v/>
      </c>
      <c r="AE16" s="346">
        <f>-X16/3</f>
        <v/>
      </c>
      <c r="AF16" s="670">
        <f>Y16/3</f>
        <v/>
      </c>
      <c r="AG16" s="672">
        <f>-Y16/3</f>
        <v/>
      </c>
      <c r="AH16" s="678" t="n">
        <v>0.075</v>
      </c>
      <c r="AI16" s="670" t="n">
        <v>-0.075</v>
      </c>
      <c r="AJ16" s="670" t="n">
        <v>0.075</v>
      </c>
      <c r="AK16" s="670" t="n">
        <v>-0.075</v>
      </c>
      <c r="AL16" s="344" t="n">
        <v>2.5</v>
      </c>
      <c r="AM16" s="344" t="n">
        <v>-2.5</v>
      </c>
      <c r="AN16" s="670" t="n">
        <v>0.075</v>
      </c>
      <c r="AO16" s="672" t="n">
        <v>-0.075</v>
      </c>
      <c r="AR16" s="286" t="n">
        <v>12</v>
      </c>
      <c r="AS16" s="287" t="inlineStr">
        <is>
          <t>Specific Test 1</t>
        </is>
      </c>
      <c r="AT16" s="287" t="inlineStr">
        <is>
          <t>NH3</t>
        </is>
      </c>
      <c r="AU16" s="555" t="inlineStr">
        <is>
          <t>20250905 N100</t>
        </is>
      </c>
      <c r="AV16" s="555" t="inlineStr">
        <is>
          <t>20250905 N300</t>
        </is>
      </c>
      <c r="AW16" s="555" t="n"/>
      <c r="AX16" s="555" t="n"/>
    </row>
    <row r="17" ht="19.5" customHeight="1">
      <c r="A17" s="290" t="inlineStr">
        <is>
          <t>K</t>
        </is>
      </c>
      <c r="B17" s="297" t="n">
        <v>0</v>
      </c>
      <c r="C17" s="292" t="n">
        <v>0.5</v>
      </c>
      <c r="D17" s="292" t="n">
        <v>0.5</v>
      </c>
      <c r="E17" s="292" t="n">
        <v>1</v>
      </c>
      <c r="F17" s="292" t="n">
        <v>0</v>
      </c>
      <c r="G17" s="292" t="n">
        <v>0</v>
      </c>
      <c r="H17" s="292" t="n">
        <v>1</v>
      </c>
      <c r="I17" s="292" t="n">
        <v>1</v>
      </c>
      <c r="K17" s="303" t="inlineStr">
        <is>
          <t>Cl</t>
        </is>
      </c>
      <c r="L17" s="667" t="n">
        <v>0.02</v>
      </c>
      <c r="M17" s="666" t="n">
        <v>0.012</v>
      </c>
      <c r="N17" s="667" t="n">
        <v>0.02</v>
      </c>
      <c r="O17" s="666" t="n">
        <v>0.02</v>
      </c>
      <c r="P17" s="667" t="n">
        <v>0.025</v>
      </c>
      <c r="Q17" s="666" t="n"/>
      <c r="R17" s="667" t="n">
        <v>0.02</v>
      </c>
      <c r="S17" s="317" t="n"/>
      <c r="U17" s="318" t="inlineStr">
        <is>
          <t>GLU</t>
        </is>
      </c>
      <c r="V17" s="319" t="n">
        <v>0.08</v>
      </c>
      <c r="W17" s="320" t="n">
        <v>0.08</v>
      </c>
      <c r="X17" s="344" t="n">
        <v>6</v>
      </c>
      <c r="Y17" s="321" t="n">
        <v>0.08</v>
      </c>
      <c r="Z17" s="327">
        <f>V17/3</f>
        <v/>
      </c>
      <c r="AA17" s="324">
        <f>-V17/3</f>
        <v/>
      </c>
      <c r="AB17" s="324">
        <f>W17/3</f>
        <v/>
      </c>
      <c r="AC17" s="324">
        <f>-W17/3</f>
        <v/>
      </c>
      <c r="AD17" s="683">
        <f>X17/3</f>
        <v/>
      </c>
      <c r="AE17" s="683">
        <f>-X17/3</f>
        <v/>
      </c>
      <c r="AF17" s="324">
        <f>Y17/3</f>
        <v/>
      </c>
      <c r="AG17" s="328">
        <f>-Y17/3</f>
        <v/>
      </c>
      <c r="AH17" s="326" t="n">
        <v>0.04</v>
      </c>
      <c r="AI17" s="324" t="n">
        <v>-0.04</v>
      </c>
      <c r="AJ17" s="324" t="n">
        <v>0.04</v>
      </c>
      <c r="AK17" s="324" t="n">
        <v>-0.04</v>
      </c>
      <c r="AL17" s="684" t="n">
        <v>3</v>
      </c>
      <c r="AM17" s="684" t="n">
        <v>-3</v>
      </c>
      <c r="AN17" s="324" t="n">
        <v>0.04</v>
      </c>
      <c r="AO17" s="328" t="n">
        <v>-0.04</v>
      </c>
      <c r="AR17" s="286" t="n">
        <v>1</v>
      </c>
      <c r="AS17" s="287" t="inlineStr">
        <is>
          <t>Specific Test 2</t>
        </is>
      </c>
      <c r="AT17" s="287" t="inlineStr">
        <is>
          <t>A: BUN, CREA
B: GLU, TP, ALB</t>
        </is>
      </c>
      <c r="AU17" s="555" t="inlineStr">
        <is>
          <t>L1_89751</t>
        </is>
      </c>
      <c r="AV17" s="555" t="inlineStr">
        <is>
          <t>L2_89752</t>
        </is>
      </c>
      <c r="AW17" s="555" t="inlineStr">
        <is>
          <t>N1_45981</t>
        </is>
      </c>
      <c r="AX17" s="555" t="inlineStr">
        <is>
          <t>N3_45983</t>
        </is>
      </c>
    </row>
    <row r="18" ht="19.5" customHeight="1">
      <c r="A18" s="290" t="inlineStr">
        <is>
          <t>LIPA</t>
        </is>
      </c>
      <c r="B18" s="297" t="n">
        <v>0</v>
      </c>
      <c r="C18" s="302" t="n">
        <v>0.3</v>
      </c>
      <c r="D18" s="302" t="n">
        <v>0.3</v>
      </c>
      <c r="E18" s="292" t="n">
        <v>0</v>
      </c>
      <c r="F18" s="292" t="n">
        <v>1</v>
      </c>
      <c r="G18" s="292" t="n">
        <v>1</v>
      </c>
      <c r="H18" s="292" t="n">
        <v>1</v>
      </c>
      <c r="I18" s="292" t="n">
        <v>1</v>
      </c>
      <c r="K18" s="303" t="inlineStr">
        <is>
          <t>Na</t>
        </is>
      </c>
      <c r="L18" s="667" t="n">
        <v>0.013</v>
      </c>
      <c r="M18" s="666" t="n">
        <v>0.004</v>
      </c>
      <c r="N18" s="667" t="n">
        <v>0.013</v>
      </c>
      <c r="O18" s="666" t="n">
        <v>0.01</v>
      </c>
      <c r="P18" s="667" t="n">
        <v>0.013</v>
      </c>
      <c r="Q18" s="666" t="n"/>
      <c r="R18" s="667" t="n">
        <v>0.013</v>
      </c>
      <c r="S18" s="317" t="n"/>
      <c r="U18" s="318" t="inlineStr">
        <is>
          <t>K</t>
        </is>
      </c>
      <c r="V18" s="343" t="n">
        <v>0.5</v>
      </c>
      <c r="W18" s="344" t="n">
        <v>0.5</v>
      </c>
      <c r="X18" s="344" t="n">
        <v>0.5</v>
      </c>
      <c r="Y18" s="348" t="n">
        <v>0.5</v>
      </c>
      <c r="Z18" s="343" t="n">
        <v>0.25</v>
      </c>
      <c r="AA18" s="344" t="n">
        <v>-0.25</v>
      </c>
      <c r="AB18" s="344" t="n">
        <v>0.25</v>
      </c>
      <c r="AC18" s="344" t="n">
        <v>-0.25</v>
      </c>
      <c r="AD18" s="344" t="n">
        <v>0.25</v>
      </c>
      <c r="AE18" s="344" t="n">
        <v>-0.25</v>
      </c>
      <c r="AF18" s="344" t="n">
        <v>0.25</v>
      </c>
      <c r="AG18" s="348" t="n">
        <v>-0.25</v>
      </c>
      <c r="AH18" s="347" t="n">
        <v>0.5</v>
      </c>
      <c r="AI18" s="344" t="n">
        <v>-0.5</v>
      </c>
      <c r="AJ18" s="344" t="n">
        <v>0.5</v>
      </c>
      <c r="AK18" s="344" t="n">
        <v>-0.5</v>
      </c>
      <c r="AL18" s="344" t="n">
        <v>0.5</v>
      </c>
      <c r="AM18" s="344" t="n">
        <v>-0.5</v>
      </c>
      <c r="AN18" s="344" t="n">
        <v>0.5</v>
      </c>
      <c r="AO18" s="348" t="n">
        <v>-0.5</v>
      </c>
      <c r="AR18" s="286" t="n">
        <v>1</v>
      </c>
      <c r="AS18" s="287" t="inlineStr">
        <is>
          <t>Specific Test 3</t>
        </is>
      </c>
      <c r="AT18" s="287" t="inlineStr">
        <is>
          <t>A: TBIL, GGT
B: LAC, CK, LDH</t>
        </is>
      </c>
      <c r="AU18" s="555" t="inlineStr">
        <is>
          <t>L1_89751</t>
        </is>
      </c>
      <c r="AV18" s="555" t="inlineStr">
        <is>
          <t>L2_89752</t>
        </is>
      </c>
      <c r="AW18" s="555" t="inlineStr">
        <is>
          <t>N1_45981</t>
        </is>
      </c>
      <c r="AX18" s="555" t="inlineStr">
        <is>
          <t>N3_45983</t>
        </is>
      </c>
    </row>
    <row r="19" ht="16.5" customHeight="1">
      <c r="A19" s="290" t="inlineStr">
        <is>
          <t>P-LIPA</t>
        </is>
      </c>
      <c r="B19" s="297" t="n">
        <v>0</v>
      </c>
      <c r="C19" s="302" t="n">
        <v>0.3</v>
      </c>
      <c r="D19" s="302" t="n">
        <v>0.3</v>
      </c>
      <c r="E19" s="292" t="n">
        <v>0</v>
      </c>
      <c r="F19" s="292" t="n">
        <v>1</v>
      </c>
      <c r="G19" s="292" t="n">
        <v>1</v>
      </c>
      <c r="H19" s="292" t="n">
        <v>1</v>
      </c>
      <c r="I19" s="292" t="n">
        <v>1</v>
      </c>
      <c r="K19" s="303" t="inlineStr">
        <is>
          <t>LDH</t>
        </is>
      </c>
      <c r="L19" s="667" t="n">
        <v>0.05</v>
      </c>
      <c r="M19" s="666" t="n">
        <v>0.01</v>
      </c>
      <c r="N19" s="667" t="n">
        <v>0.05</v>
      </c>
      <c r="O19" s="666" t="n">
        <v>0.005</v>
      </c>
      <c r="P19" s="667" t="n">
        <v>0.05</v>
      </c>
      <c r="Q19" s="666" t="n"/>
      <c r="R19" s="667" t="n">
        <v>0.05</v>
      </c>
      <c r="S19" s="317" t="n"/>
      <c r="U19" s="356" t="inlineStr">
        <is>
          <t>P-LIPA</t>
        </is>
      </c>
      <c r="V19" s="319" t="n">
        <v>0.3</v>
      </c>
      <c r="W19" s="320" t="n">
        <v>0.3</v>
      </c>
      <c r="X19" s="320" t="n">
        <v>0.3</v>
      </c>
      <c r="Y19" s="321" t="n">
        <v>0.3</v>
      </c>
      <c r="Z19" s="327">
        <f>V19/3</f>
        <v/>
      </c>
      <c r="AA19" s="324">
        <f>-V19/3</f>
        <v/>
      </c>
      <c r="AB19" s="324">
        <f>W19/3</f>
        <v/>
      </c>
      <c r="AC19" s="324">
        <f>-W19/3</f>
        <v/>
      </c>
      <c r="AD19" s="324">
        <f>X19/3</f>
        <v/>
      </c>
      <c r="AE19" s="324">
        <f>-X19/3</f>
        <v/>
      </c>
      <c r="AF19" s="324">
        <f>Y19/3</f>
        <v/>
      </c>
      <c r="AG19" s="328">
        <f>-Y19/3</f>
        <v/>
      </c>
      <c r="AH19" s="326" t="n">
        <v>0.15</v>
      </c>
      <c r="AI19" s="324" t="n">
        <v>-0.15</v>
      </c>
      <c r="AJ19" s="324" t="n">
        <v>0.15</v>
      </c>
      <c r="AK19" s="324" t="n">
        <v>-0.15</v>
      </c>
      <c r="AL19" s="324" t="n">
        <v>0.15</v>
      </c>
      <c r="AM19" s="324" t="n">
        <v>-0.15</v>
      </c>
      <c r="AN19" s="324" t="n">
        <v>0.15</v>
      </c>
      <c r="AO19" s="328" t="n">
        <v>-0.15</v>
      </c>
      <c r="AR19" s="286" t="n">
        <v>1</v>
      </c>
      <c r="AS19" s="287" t="inlineStr">
        <is>
          <t>Specific Test 4</t>
        </is>
      </c>
      <c r="AT19" s="287" t="inlineStr">
        <is>
          <t>A: ALP, ALT, AST
B: Ca, PHOS, Mg</t>
        </is>
      </c>
      <c r="AU19" s="555" t="inlineStr">
        <is>
          <t>L1_89751</t>
        </is>
      </c>
      <c r="AV19" s="555" t="inlineStr">
        <is>
          <t>L2_89752</t>
        </is>
      </c>
      <c r="AW19" s="555" t="inlineStr">
        <is>
          <t>N1_45981</t>
        </is>
      </c>
      <c r="AX19" s="555" t="inlineStr">
        <is>
          <t>N3_45983</t>
        </is>
      </c>
    </row>
    <row r="20" ht="19.5" customHeight="1">
      <c r="A20" s="290" t="inlineStr">
        <is>
          <t>Na</t>
        </is>
      </c>
      <c r="B20" s="297" t="n">
        <v>0</v>
      </c>
      <c r="C20" s="292" t="n">
        <v>4</v>
      </c>
      <c r="D20" s="292" t="n">
        <v>4</v>
      </c>
      <c r="E20" s="292" t="n">
        <v>0</v>
      </c>
      <c r="F20" s="292" t="n">
        <v>0</v>
      </c>
      <c r="G20" s="292" t="n">
        <v>0</v>
      </c>
      <c r="H20" s="292" t="n">
        <v>1</v>
      </c>
      <c r="I20" s="292" t="n">
        <v>1</v>
      </c>
      <c r="K20" s="303" t="inlineStr">
        <is>
          <t>PLIPA</t>
        </is>
      </c>
      <c r="L20" s="667" t="n">
        <v>0.1</v>
      </c>
      <c r="M20" s="666" t="n">
        <v>0.031</v>
      </c>
      <c r="N20" s="667" t="n">
        <v>0.1</v>
      </c>
      <c r="O20" s="666" t="n">
        <v>0.023</v>
      </c>
      <c r="P20" s="667" t="n">
        <v>0.1</v>
      </c>
      <c r="Q20" s="666" t="n"/>
      <c r="R20" s="667" t="n">
        <v>0.1</v>
      </c>
      <c r="S20" s="317" t="n"/>
      <c r="U20" s="318" t="inlineStr">
        <is>
          <t>Na</t>
        </is>
      </c>
      <c r="V20" s="343" t="n">
        <v>4</v>
      </c>
      <c r="W20" s="344" t="n">
        <v>4</v>
      </c>
      <c r="X20" s="344" t="n">
        <v>4</v>
      </c>
      <c r="Y20" s="348" t="n">
        <v>4</v>
      </c>
      <c r="Z20" s="343" t="n">
        <v>2</v>
      </c>
      <c r="AA20" s="344" t="n">
        <v>-2</v>
      </c>
      <c r="AB20" s="344" t="n">
        <v>2</v>
      </c>
      <c r="AC20" s="344" t="n">
        <v>-2</v>
      </c>
      <c r="AD20" s="344" t="n">
        <v>2</v>
      </c>
      <c r="AE20" s="344" t="n">
        <v>-2</v>
      </c>
      <c r="AF20" s="344" t="n">
        <v>2</v>
      </c>
      <c r="AG20" s="348" t="n">
        <v>-2</v>
      </c>
      <c r="AH20" s="347" t="n">
        <v>4</v>
      </c>
      <c r="AI20" s="344" t="n">
        <v>-4</v>
      </c>
      <c r="AJ20" s="344" t="n">
        <v>4</v>
      </c>
      <c r="AK20" s="344" t="n">
        <v>-4</v>
      </c>
      <c r="AL20" s="344" t="n">
        <v>4</v>
      </c>
      <c r="AM20" s="344" t="n">
        <v>-4</v>
      </c>
      <c r="AN20" s="344" t="n">
        <v>4</v>
      </c>
      <c r="AO20" s="348" t="n">
        <v>-4</v>
      </c>
      <c r="AR20" s="286" t="n">
        <v>1</v>
      </c>
      <c r="AS20" s="287" t="inlineStr">
        <is>
          <t>Specific Test 5</t>
        </is>
      </c>
      <c r="AT20" s="287" t="inlineStr">
        <is>
          <t>TRIG, CHOL, GLU</t>
        </is>
      </c>
      <c r="AU20" s="555" t="inlineStr">
        <is>
          <t>L1_89751</t>
        </is>
      </c>
      <c r="AV20" s="555" t="inlineStr">
        <is>
          <t>L2_89752</t>
        </is>
      </c>
      <c r="AW20" s="555" t="inlineStr">
        <is>
          <t>N1_45981</t>
        </is>
      </c>
      <c r="AX20" s="555" t="inlineStr">
        <is>
          <t>N3_45983</t>
        </is>
      </c>
    </row>
    <row r="21" ht="19.5" customHeight="1">
      <c r="A21" s="290" t="inlineStr">
        <is>
          <t>PHOS</t>
        </is>
      </c>
      <c r="B21" s="677" t="n">
        <v>3.461538461538462</v>
      </c>
      <c r="C21" s="292" t="n">
        <v>0.45</v>
      </c>
      <c r="D21" s="302" t="n">
        <v>0.13</v>
      </c>
      <c r="E21" s="292" t="n">
        <v>1</v>
      </c>
      <c r="F21" s="292" t="n">
        <v>0</v>
      </c>
      <c r="G21" s="292" t="n">
        <v>1</v>
      </c>
      <c r="H21" s="292" t="n">
        <v>1</v>
      </c>
      <c r="I21" s="292" t="n">
        <v>1</v>
      </c>
      <c r="K21" s="303" t="inlineStr">
        <is>
          <t>PHOS</t>
        </is>
      </c>
      <c r="L21" s="667" t="n">
        <v>0.05</v>
      </c>
      <c r="M21" s="666" t="n">
        <v>0.023</v>
      </c>
      <c r="N21" s="667" t="n">
        <v>0.05</v>
      </c>
      <c r="O21" s="666" t="n">
        <v>0.018</v>
      </c>
      <c r="P21" s="667" t="n">
        <v>0.05</v>
      </c>
      <c r="Q21" s="666" t="n"/>
      <c r="R21" s="667" t="n">
        <v>0.05</v>
      </c>
      <c r="S21" s="317" t="n"/>
      <c r="U21" s="318" t="inlineStr">
        <is>
          <t>PHOS</t>
        </is>
      </c>
      <c r="V21" s="357" t="n">
        <v>0.45</v>
      </c>
      <c r="W21" s="358" t="n">
        <v>0.13</v>
      </c>
      <c r="X21" s="359" t="n">
        <v>0.45</v>
      </c>
      <c r="Y21" s="360" t="n">
        <v>0.13</v>
      </c>
      <c r="Z21" s="343">
        <f>V21/3</f>
        <v/>
      </c>
      <c r="AA21" s="344">
        <f>-V21/3</f>
        <v/>
      </c>
      <c r="AB21" s="361">
        <f>W21/3</f>
        <v/>
      </c>
      <c r="AC21" s="361">
        <f>-W21/3</f>
        <v/>
      </c>
      <c r="AD21" s="344">
        <f>X21/3</f>
        <v/>
      </c>
      <c r="AE21" s="344">
        <f>-X21/3</f>
        <v/>
      </c>
      <c r="AF21" s="361">
        <f>Y21/3</f>
        <v/>
      </c>
      <c r="AG21" s="362">
        <f>-Y21/3</f>
        <v/>
      </c>
      <c r="AH21" s="363" t="n">
        <v>0.225</v>
      </c>
      <c r="AI21" s="359" t="n">
        <v>-0.225</v>
      </c>
      <c r="AJ21" s="685" t="n">
        <v>0.065</v>
      </c>
      <c r="AK21" s="685" t="n">
        <v>-0.065</v>
      </c>
      <c r="AL21" s="359" t="n">
        <v>0.225</v>
      </c>
      <c r="AM21" s="359" t="n">
        <v>-0.225</v>
      </c>
      <c r="AN21" s="685" t="n">
        <v>0.065</v>
      </c>
      <c r="AO21" s="686" t="n">
        <v>-0.065</v>
      </c>
      <c r="AR21" s="286" t="n">
        <v>1</v>
      </c>
      <c r="AS21" s="287" t="inlineStr">
        <is>
          <t>Specific Test 6</t>
        </is>
      </c>
      <c r="AT21" s="287" t="inlineStr">
        <is>
          <t>P-LIPA, AMY</t>
        </is>
      </c>
      <c r="AU21" s="555" t="inlineStr">
        <is>
          <t>L1_89751</t>
        </is>
      </c>
      <c r="AV21" s="555" t="inlineStr">
        <is>
          <t>L2_89752</t>
        </is>
      </c>
      <c r="AW21" s="555" t="inlineStr">
        <is>
          <t>N1_45981</t>
        </is>
      </c>
      <c r="AX21" s="555" t="inlineStr">
        <is>
          <t>N3_45983</t>
        </is>
      </c>
    </row>
    <row r="22" ht="31.5" customHeight="1">
      <c r="A22" s="290" t="inlineStr">
        <is>
          <t>LAC</t>
        </is>
      </c>
      <c r="B22" s="297" t="n">
        <v>0</v>
      </c>
      <c r="C22" s="302" t="n">
        <v>0.3</v>
      </c>
      <c r="D22" s="302" t="n">
        <v>0.3</v>
      </c>
      <c r="E22" s="292" t="n">
        <v>2</v>
      </c>
      <c r="F22" s="292" t="n">
        <v>1</v>
      </c>
      <c r="G22" s="292" t="n">
        <v>1</v>
      </c>
      <c r="H22" s="292" t="n">
        <v>1</v>
      </c>
      <c r="I22" s="292" t="n">
        <v>1</v>
      </c>
      <c r="K22" s="303" t="inlineStr">
        <is>
          <t>TBIL</t>
        </is>
      </c>
      <c r="L22" s="667" t="n">
        <v>0.1</v>
      </c>
      <c r="M22" s="666" t="n">
        <v>0.038</v>
      </c>
      <c r="N22" s="667" t="n">
        <v>0.05</v>
      </c>
      <c r="O22" s="666" t="n">
        <v>0.018</v>
      </c>
      <c r="P22" s="687" t="n">
        <v>0.1</v>
      </c>
      <c r="Q22" s="666" t="n"/>
      <c r="R22" s="667" t="n">
        <v>0.05</v>
      </c>
      <c r="S22" s="317" t="n"/>
      <c r="U22" s="318" t="inlineStr">
        <is>
          <t>LAC</t>
        </is>
      </c>
      <c r="V22" s="319" t="n">
        <v>0.3</v>
      </c>
      <c r="W22" s="320" t="n">
        <v>0.3</v>
      </c>
      <c r="X22" s="320" t="n">
        <v>0.3</v>
      </c>
      <c r="Y22" s="321" t="n">
        <v>0.3</v>
      </c>
      <c r="Z22" s="327">
        <f>V22/3</f>
        <v/>
      </c>
      <c r="AA22" s="324">
        <f>-V22/3</f>
        <v/>
      </c>
      <c r="AB22" s="324">
        <f>W22/3</f>
        <v/>
      </c>
      <c r="AC22" s="324">
        <f>-W22/3</f>
        <v/>
      </c>
      <c r="AD22" s="324">
        <f>X22/3</f>
        <v/>
      </c>
      <c r="AE22" s="324">
        <f>-X22/3</f>
        <v/>
      </c>
      <c r="AF22" s="324">
        <f>Y22/3</f>
        <v/>
      </c>
      <c r="AG22" s="328">
        <f>-Y22/3</f>
        <v/>
      </c>
      <c r="AH22" s="334" t="n">
        <v>0.1</v>
      </c>
      <c r="AI22" s="324" t="n">
        <v>-0.1</v>
      </c>
      <c r="AJ22" s="320" t="n">
        <v>0.1</v>
      </c>
      <c r="AK22" s="324" t="n">
        <v>-0.1</v>
      </c>
      <c r="AL22" s="320" t="n">
        <v>0.1</v>
      </c>
      <c r="AM22" s="324" t="n">
        <v>-0.1</v>
      </c>
      <c r="AN22" s="320" t="n">
        <v>0.1</v>
      </c>
      <c r="AO22" s="328" t="n">
        <v>-0.1</v>
      </c>
      <c r="AR22" s="286" t="n">
        <v>2</v>
      </c>
      <c r="AS22" s="287" t="inlineStr">
        <is>
          <t>Canine CRP</t>
        </is>
      </c>
      <c r="AT22" s="287" t="inlineStr">
        <is>
          <t>cCRP</t>
        </is>
      </c>
      <c r="AU22" s="555" t="inlineStr">
        <is>
          <t>SHIMA Canine CRP Control-L_C028S</t>
        </is>
      </c>
      <c r="AV22" s="555" t="inlineStr">
        <is>
          <t>SHIMA Canine CRP Control-H_C028S</t>
        </is>
      </c>
      <c r="AW22" s="555" t="n"/>
      <c r="AX22" s="555" t="n"/>
    </row>
    <row r="23" ht="47.25" customHeight="1">
      <c r="A23" s="290" t="inlineStr">
        <is>
          <t>TBIL</t>
        </is>
      </c>
      <c r="B23" s="297" t="n">
        <v>2</v>
      </c>
      <c r="C23" s="292" t="n">
        <v>0.4</v>
      </c>
      <c r="D23" s="302" t="n">
        <v>0.2</v>
      </c>
      <c r="E23" s="292" t="n">
        <v>1</v>
      </c>
      <c r="F23" s="292" t="n">
        <v>0</v>
      </c>
      <c r="G23" s="292" t="n">
        <v>1</v>
      </c>
      <c r="H23" s="292" t="n">
        <v>1</v>
      </c>
      <c r="I23" s="292" t="n">
        <v>1</v>
      </c>
      <c r="K23" s="303" t="inlineStr">
        <is>
          <t>TP</t>
        </is>
      </c>
      <c r="L23" s="667" t="n">
        <v>0.05</v>
      </c>
      <c r="M23" s="666" t="n">
        <v>0.018</v>
      </c>
      <c r="N23" s="667" t="n">
        <v>0.05</v>
      </c>
      <c r="O23" s="666" t="n">
        <v>0.017</v>
      </c>
      <c r="P23" s="667" t="n">
        <v>0.05</v>
      </c>
      <c r="Q23" s="666" t="n"/>
      <c r="R23" s="667" t="n">
        <v>0.05</v>
      </c>
      <c r="S23" s="317" t="n"/>
      <c r="U23" s="318" t="inlineStr">
        <is>
          <t>TBIL</t>
        </is>
      </c>
      <c r="V23" s="343" t="n">
        <v>0.4</v>
      </c>
      <c r="W23" s="320" t="n">
        <v>0.2</v>
      </c>
      <c r="X23" s="344" t="n">
        <v>0.4</v>
      </c>
      <c r="Y23" s="321" t="n">
        <v>0.2</v>
      </c>
      <c r="Z23" s="345">
        <f>V23/3</f>
        <v/>
      </c>
      <c r="AA23" s="346">
        <f>-V23/3</f>
        <v/>
      </c>
      <c r="AB23" s="324">
        <f>W23/3</f>
        <v/>
      </c>
      <c r="AC23" s="324">
        <f>-W23/3</f>
        <v/>
      </c>
      <c r="AD23" s="346">
        <f>X23/3</f>
        <v/>
      </c>
      <c r="AE23" s="346">
        <f>-X23/3</f>
        <v/>
      </c>
      <c r="AF23" s="324">
        <f>Y23/3</f>
        <v/>
      </c>
      <c r="AG23" s="328">
        <f>-Y23/3</f>
        <v/>
      </c>
      <c r="AH23" s="347" t="n">
        <v>0.2</v>
      </c>
      <c r="AI23" s="344" t="n">
        <v>-0.2</v>
      </c>
      <c r="AJ23" s="324" t="n">
        <v>0.15</v>
      </c>
      <c r="AK23" s="324" t="n">
        <v>-0.1</v>
      </c>
      <c r="AL23" s="344" t="n">
        <v>0.2</v>
      </c>
      <c r="AM23" s="344" t="n">
        <v>-0.3</v>
      </c>
      <c r="AN23" s="324" t="n">
        <v>0.1</v>
      </c>
      <c r="AO23" s="328" t="n">
        <v>-0.1</v>
      </c>
      <c r="AR23" s="286" t="n">
        <v>3</v>
      </c>
      <c r="AS23" s="287" t="inlineStr">
        <is>
          <t>Serum Amyloid A</t>
        </is>
      </c>
      <c r="AT23" s="287" t="inlineStr">
        <is>
          <t>SAA</t>
        </is>
      </c>
      <c r="AU23" s="555" t="inlineStr">
        <is>
          <t>RUO QC-SAA L EIKEN (V-SZ13)_57003</t>
        </is>
      </c>
      <c r="AV23" s="555" t="inlineStr">
        <is>
          <t>RUO QC-SAA H EIKEN (V-SZ14)_57003</t>
        </is>
      </c>
      <c r="AW23" s="555" t="n"/>
      <c r="AX23" s="555" t="n"/>
    </row>
    <row r="24" ht="19.5" customHeight="1">
      <c r="A24" s="290" t="inlineStr">
        <is>
          <t>CHOL</t>
        </is>
      </c>
      <c r="B24" s="297" t="n">
        <v>0</v>
      </c>
      <c r="C24" s="302" t="n">
        <v>0.1</v>
      </c>
      <c r="D24" s="302" t="n">
        <v>0.1</v>
      </c>
      <c r="E24" s="292" t="n">
        <v>0</v>
      </c>
      <c r="F24" s="292" t="n">
        <v>1</v>
      </c>
      <c r="G24" s="292" t="n">
        <v>1</v>
      </c>
      <c r="H24" s="292" t="n">
        <v>1</v>
      </c>
      <c r="I24" s="292" t="n">
        <v>1</v>
      </c>
      <c r="K24" s="303" t="inlineStr">
        <is>
          <t>FRU</t>
        </is>
      </c>
      <c r="L24" s="667" t="n">
        <v>0.05</v>
      </c>
      <c r="M24" s="666" t="n">
        <v>0.008</v>
      </c>
      <c r="N24" s="667" t="n">
        <v>0.05</v>
      </c>
      <c r="O24" s="666" t="n">
        <v>0.007</v>
      </c>
      <c r="P24" s="667" t="n">
        <v>0.05</v>
      </c>
      <c r="Q24" s="666" t="n"/>
      <c r="R24" s="667" t="n">
        <v>0.05</v>
      </c>
      <c r="S24" s="317" t="n"/>
      <c r="U24" s="318" t="inlineStr">
        <is>
          <t>CHOL</t>
        </is>
      </c>
      <c r="V24" s="319" t="n">
        <v>0.1</v>
      </c>
      <c r="W24" s="320" t="n">
        <v>0.1</v>
      </c>
      <c r="X24" s="320" t="n">
        <v>0.1</v>
      </c>
      <c r="Y24" s="321" t="n">
        <v>0.1</v>
      </c>
      <c r="Z24" s="682">
        <f>V24/3</f>
        <v/>
      </c>
      <c r="AA24" s="671">
        <f>-V24/3</f>
        <v/>
      </c>
      <c r="AB24" s="671">
        <f>W24/3</f>
        <v/>
      </c>
      <c r="AC24" s="671">
        <f>-W24/3</f>
        <v/>
      </c>
      <c r="AD24" s="671">
        <f>X24/3</f>
        <v/>
      </c>
      <c r="AE24" s="671">
        <f>-X24/3</f>
        <v/>
      </c>
      <c r="AF24" s="671">
        <f>Y24/3</f>
        <v/>
      </c>
      <c r="AG24" s="676">
        <f>-Y24/3</f>
        <v/>
      </c>
      <c r="AH24" s="326" t="n">
        <v>0.05</v>
      </c>
      <c r="AI24" s="324" t="n">
        <v>-0.05</v>
      </c>
      <c r="AJ24" s="324" t="n">
        <v>0.05</v>
      </c>
      <c r="AK24" s="324" t="n">
        <v>-0.05</v>
      </c>
      <c r="AL24" s="324" t="n">
        <v>0.05</v>
      </c>
      <c r="AM24" s="324" t="n">
        <v>-0.05</v>
      </c>
      <c r="AN24" s="324" t="n">
        <v>0.05</v>
      </c>
      <c r="AO24" s="328" t="n">
        <v>-0.05</v>
      </c>
      <c r="AR24" s="286" t="n">
        <v>4</v>
      </c>
      <c r="AS24" s="287" t="inlineStr">
        <is>
          <t>Phenobarbital</t>
        </is>
      </c>
      <c r="AT24" s="287" t="inlineStr">
        <is>
          <t>PHBR</t>
        </is>
      </c>
      <c r="AU24" s="555" t="inlineStr">
        <is>
          <t>371.5_40450</t>
        </is>
      </c>
      <c r="AV24" s="555" t="inlineStr">
        <is>
          <t>372.5_40450</t>
        </is>
      </c>
      <c r="AW24" s="555" t="n"/>
      <c r="AX24" s="555" t="n"/>
    </row>
    <row r="25" ht="47.25" customHeight="1">
      <c r="A25" s="290" t="inlineStr">
        <is>
          <t>TP</t>
        </is>
      </c>
      <c r="B25" s="297" t="n">
        <v>0</v>
      </c>
      <c r="C25" s="302" t="n">
        <v>0.08</v>
      </c>
      <c r="D25" s="302" t="n">
        <v>0.08</v>
      </c>
      <c r="E25" s="292" t="n">
        <v>1</v>
      </c>
      <c r="F25" s="292" t="n">
        <v>1</v>
      </c>
      <c r="G25" s="292" t="n">
        <v>1</v>
      </c>
      <c r="H25" s="292" t="n">
        <v>1</v>
      </c>
      <c r="I25" s="292" t="n">
        <v>1</v>
      </c>
      <c r="K25" s="303" t="inlineStr">
        <is>
          <t>UCRE</t>
        </is>
      </c>
      <c r="L25" s="667" t="n">
        <v>0.05</v>
      </c>
      <c r="M25" s="666" t="n">
        <v>0.032</v>
      </c>
      <c r="N25" s="667" t="n">
        <v>0.05</v>
      </c>
      <c r="O25" s="666" t="n">
        <v>0.004</v>
      </c>
      <c r="P25" s="667" t="n">
        <v>0.05</v>
      </c>
      <c r="Q25" s="666" t="n"/>
      <c r="R25" s="667" t="n">
        <v>0.05</v>
      </c>
      <c r="S25" s="317" t="n"/>
      <c r="U25" s="318" t="inlineStr">
        <is>
          <t>TP</t>
        </is>
      </c>
      <c r="V25" s="319" t="n">
        <v>0.08</v>
      </c>
      <c r="W25" s="320" t="n">
        <v>0.08</v>
      </c>
      <c r="X25" s="320" t="n">
        <v>0.08</v>
      </c>
      <c r="Y25" s="321" t="n">
        <v>0.08</v>
      </c>
      <c r="Z25" s="327">
        <f>V25/3</f>
        <v/>
      </c>
      <c r="AA25" s="324">
        <f>-V25/3</f>
        <v/>
      </c>
      <c r="AB25" s="323">
        <f>W25/2</f>
        <v/>
      </c>
      <c r="AC25" s="323">
        <f>-W25/2</f>
        <v/>
      </c>
      <c r="AD25" s="323">
        <f>X25/2</f>
        <v/>
      </c>
      <c r="AE25" s="323">
        <f>-X25/2</f>
        <v/>
      </c>
      <c r="AF25" s="324">
        <f>Y25/3</f>
        <v/>
      </c>
      <c r="AG25" s="328">
        <f>-Y25/3</f>
        <v/>
      </c>
      <c r="AH25" s="326" t="n">
        <v>0.04</v>
      </c>
      <c r="AI25" s="324" t="n">
        <v>-0.04</v>
      </c>
      <c r="AJ25" s="324" t="n">
        <v>0.04</v>
      </c>
      <c r="AK25" s="324" t="n">
        <v>-0.04</v>
      </c>
      <c r="AL25" s="324" t="n">
        <v>0.04</v>
      </c>
      <c r="AM25" s="324" t="n">
        <v>-0.04</v>
      </c>
      <c r="AN25" s="324" t="n">
        <v>0.04</v>
      </c>
      <c r="AO25" s="328" t="n">
        <v>-0.04</v>
      </c>
      <c r="AR25" s="286" t="n">
        <v>5</v>
      </c>
      <c r="AS25" s="287" t="inlineStr">
        <is>
          <t>S-DMA</t>
        </is>
      </c>
      <c r="AT25" s="287" t="inlineStr">
        <is>
          <t>S-DMA</t>
        </is>
      </c>
      <c r="AU25" s="555" t="inlineStr">
        <is>
          <t>Eurolyser SDMA Control Kit-L (VBR0203)_2509-1</t>
        </is>
      </c>
      <c r="AV25" s="555" t="inlineStr">
        <is>
          <t>Eurolyser SDMA Control Kit-H (VBR0203)_2509-1</t>
        </is>
      </c>
      <c r="AW25" s="555" t="n"/>
      <c r="AX25" s="555" t="n"/>
    </row>
    <row r="26" ht="63" customHeight="1">
      <c r="A26" s="290" t="inlineStr">
        <is>
          <t>Mg</t>
        </is>
      </c>
      <c r="B26" s="297" t="n">
        <v>0</v>
      </c>
      <c r="C26" s="302" t="n">
        <v>0.25</v>
      </c>
      <c r="D26" s="302" t="n">
        <v>0.25</v>
      </c>
      <c r="E26" s="292" t="n">
        <v>1</v>
      </c>
      <c r="F26" s="292" t="n">
        <v>1</v>
      </c>
      <c r="G26" s="292" t="n">
        <v>1</v>
      </c>
      <c r="H26" s="292" t="n">
        <v>1</v>
      </c>
      <c r="I26" s="292" t="n">
        <v>1</v>
      </c>
      <c r="K26" s="367" t="inlineStr">
        <is>
          <t>UPRO</t>
        </is>
      </c>
      <c r="L26" s="688" t="n">
        <v>0.1</v>
      </c>
      <c r="M26" s="689" t="n">
        <v>0.027</v>
      </c>
      <c r="N26" s="688" t="n">
        <v>0.1</v>
      </c>
      <c r="O26" s="689" t="n">
        <v>0</v>
      </c>
      <c r="P26" s="688" t="n">
        <v>0.1</v>
      </c>
      <c r="Q26" s="689" t="n"/>
      <c r="R26" s="688" t="n">
        <v>0.1</v>
      </c>
      <c r="S26" s="370" t="n"/>
      <c r="U26" s="318" t="inlineStr">
        <is>
          <t>Mg</t>
        </is>
      </c>
      <c r="V26" s="319" t="n">
        <v>0.25</v>
      </c>
      <c r="W26" s="320" t="n">
        <v>0.25</v>
      </c>
      <c r="X26" s="320" t="n">
        <v>0.25</v>
      </c>
      <c r="Y26" s="321" t="n">
        <v>0.25</v>
      </c>
      <c r="Z26" s="371">
        <f>V26/3</f>
        <v/>
      </c>
      <c r="AA26" s="361">
        <f>-V26/3</f>
        <v/>
      </c>
      <c r="AB26" s="361">
        <f>W26/3</f>
        <v/>
      </c>
      <c r="AC26" s="361">
        <f>-W26/3</f>
        <v/>
      </c>
      <c r="AD26" s="361">
        <f>X26/3</f>
        <v/>
      </c>
      <c r="AE26" s="361">
        <f>-X26/3</f>
        <v/>
      </c>
      <c r="AF26" s="361">
        <f>Y26/3</f>
        <v/>
      </c>
      <c r="AG26" s="362">
        <f>-Y26/3</f>
        <v/>
      </c>
      <c r="AH26" s="690" t="n">
        <v>0.125</v>
      </c>
      <c r="AI26" s="671" t="n">
        <v>-0.125</v>
      </c>
      <c r="AJ26" s="671" t="n">
        <v>0.125</v>
      </c>
      <c r="AK26" s="671" t="n">
        <v>-0.125</v>
      </c>
      <c r="AL26" s="671" t="n">
        <v>0.125</v>
      </c>
      <c r="AM26" s="671" t="n">
        <v>-0.125</v>
      </c>
      <c r="AN26" s="671" t="n">
        <v>0.125</v>
      </c>
      <c r="AO26" s="676" t="n">
        <v>-0.125</v>
      </c>
      <c r="AR26" s="286" t="n">
        <v>6</v>
      </c>
      <c r="AS26" s="287" t="inlineStr">
        <is>
          <t>Total T4</t>
        </is>
      </c>
      <c r="AT26" s="287" t="inlineStr">
        <is>
          <t>TT4</t>
        </is>
      </c>
      <c r="AU26" s="555" t="inlineStr">
        <is>
          <t>Control L (1/2 Bioworld Canine Serum Lot#24082801 + 1/2 D.D.Water)</t>
        </is>
      </c>
      <c r="AV26" s="555" t="inlineStr">
        <is>
          <t>Control M (1/4 L1_89751 + 3/4 Bioworld Canine Serum Lot#24082801 )</t>
        </is>
      </c>
      <c r="AW26" s="555" t="n"/>
      <c r="AX26" s="555" t="n"/>
    </row>
    <row r="27" ht="19.5" customHeight="1">
      <c r="A27" s="290" t="inlineStr">
        <is>
          <t>URIC</t>
        </is>
      </c>
      <c r="B27" s="297" t="n">
        <v>0</v>
      </c>
      <c r="C27" s="302" t="n">
        <v>0.1</v>
      </c>
      <c r="D27" s="302" t="n">
        <v>0.1</v>
      </c>
      <c r="E27" s="292" t="n">
        <v>1</v>
      </c>
      <c r="F27" s="292" t="n">
        <v>1</v>
      </c>
      <c r="G27" s="292" t="n">
        <v>1</v>
      </c>
      <c r="H27" s="292" t="n">
        <v>1</v>
      </c>
      <c r="I27" s="292" t="n">
        <v>1</v>
      </c>
      <c r="K27" s="300" t="inlineStr">
        <is>
          <t>TBA</t>
        </is>
      </c>
      <c r="L27" s="691" t="n">
        <v>0.05</v>
      </c>
      <c r="M27" s="692" t="n"/>
      <c r="N27" s="691" t="n">
        <v>0.05</v>
      </c>
      <c r="O27" s="692" t="n"/>
      <c r="P27" s="693" t="n"/>
      <c r="Q27" s="692" t="n"/>
      <c r="R27" s="693" t="n"/>
      <c r="S27" s="376" t="n"/>
      <c r="U27" s="318" t="inlineStr">
        <is>
          <t>URIC</t>
        </is>
      </c>
      <c r="V27" s="319" t="n">
        <v>0.1</v>
      </c>
      <c r="W27" s="320" t="n">
        <v>0.1</v>
      </c>
      <c r="X27" s="320" t="n">
        <v>0.1</v>
      </c>
      <c r="Y27" s="321" t="n">
        <v>0.1</v>
      </c>
      <c r="Z27" s="682">
        <f>V27/3</f>
        <v/>
      </c>
      <c r="AA27" s="671">
        <f>-V27/3</f>
        <v/>
      </c>
      <c r="AB27" s="671">
        <f>W27/3</f>
        <v/>
      </c>
      <c r="AC27" s="671">
        <f>-W27/3</f>
        <v/>
      </c>
      <c r="AD27" s="671">
        <f>X27/3</f>
        <v/>
      </c>
      <c r="AE27" s="671">
        <f>-X27/3</f>
        <v/>
      </c>
      <c r="AF27" s="671">
        <f>Y27/3</f>
        <v/>
      </c>
      <c r="AG27" s="676">
        <f>-Y27/3</f>
        <v/>
      </c>
      <c r="AH27" s="326" t="n">
        <v>0.05</v>
      </c>
      <c r="AI27" s="324" t="n">
        <v>-0.05</v>
      </c>
      <c r="AJ27" s="324" t="n">
        <v>0.05</v>
      </c>
      <c r="AK27" s="324" t="n">
        <v>-0.05</v>
      </c>
      <c r="AL27" s="324" t="n">
        <v>0.05</v>
      </c>
      <c r="AM27" s="324" t="n">
        <v>-0.05</v>
      </c>
      <c r="AN27" s="324" t="n">
        <v>0.05</v>
      </c>
      <c r="AO27" s="328" t="n">
        <v>-0.05</v>
      </c>
      <c r="AR27" s="286" t="n">
        <v>7</v>
      </c>
      <c r="AS27" s="287" t="inlineStr">
        <is>
          <t>Canine TSH</t>
        </is>
      </c>
      <c r="AT27" s="287" t="inlineStr">
        <is>
          <t>cTSH</t>
        </is>
      </c>
      <c r="AU27" s="555" t="inlineStr">
        <is>
          <t>L1_89751</t>
        </is>
      </c>
      <c r="AV27" s="555" t="inlineStr">
        <is>
          <t>L2_89752</t>
        </is>
      </c>
      <c r="AW27" s="555" t="inlineStr">
        <is>
          <t>372_40452</t>
        </is>
      </c>
      <c r="AX27" s="555" t="n"/>
    </row>
    <row r="28" ht="19.5" customHeight="1">
      <c r="A28" s="290" t="inlineStr">
        <is>
          <t>TRIG</t>
        </is>
      </c>
      <c r="B28" s="297" t="n">
        <v>0</v>
      </c>
      <c r="C28" s="302" t="n">
        <v>0.15</v>
      </c>
      <c r="D28" s="302" t="n">
        <v>0.15</v>
      </c>
      <c r="E28" s="292" t="n">
        <v>0</v>
      </c>
      <c r="F28" s="292" t="n">
        <v>1</v>
      </c>
      <c r="G28" s="292" t="n">
        <v>1</v>
      </c>
      <c r="H28" s="292" t="n">
        <v>1</v>
      </c>
      <c r="I28" s="292" t="n">
        <v>1</v>
      </c>
      <c r="K28" s="300" t="inlineStr">
        <is>
          <t>tCO2</t>
        </is>
      </c>
      <c r="L28" s="691" t="n">
        <v>0.08</v>
      </c>
      <c r="M28" s="692" t="n"/>
      <c r="N28" s="691" t="n">
        <v>0.08</v>
      </c>
      <c r="O28" s="692" t="n"/>
      <c r="P28" s="693" t="n">
        <v>0.08</v>
      </c>
      <c r="Q28" s="692" t="n"/>
      <c r="R28" s="693" t="n">
        <v>0.08</v>
      </c>
      <c r="S28" s="376" t="n"/>
      <c r="U28" s="318" t="inlineStr">
        <is>
          <t>TRIG</t>
        </is>
      </c>
      <c r="V28" s="319" t="n">
        <v>0.15</v>
      </c>
      <c r="W28" s="320" t="n">
        <v>0.15</v>
      </c>
      <c r="X28" s="320" t="n">
        <v>0.15</v>
      </c>
      <c r="Y28" s="321" t="n">
        <v>0.15</v>
      </c>
      <c r="Z28" s="669">
        <f>V28/3</f>
        <v/>
      </c>
      <c r="AA28" s="670">
        <f>-V28/3</f>
        <v/>
      </c>
      <c r="AB28" s="670">
        <f>W28/3</f>
        <v/>
      </c>
      <c r="AC28" s="670">
        <f>-W28/3</f>
        <v/>
      </c>
      <c r="AD28" s="670">
        <f>X28/3</f>
        <v/>
      </c>
      <c r="AE28" s="670">
        <f>-X28/3</f>
        <v/>
      </c>
      <c r="AF28" s="670">
        <f>Y28/3</f>
        <v/>
      </c>
      <c r="AG28" s="672">
        <f>-Y28/3</f>
        <v/>
      </c>
      <c r="AH28" s="690" t="n">
        <v>0.075</v>
      </c>
      <c r="AI28" s="671" t="n">
        <v>-0.075</v>
      </c>
      <c r="AJ28" s="671" t="n">
        <v>0.075</v>
      </c>
      <c r="AK28" s="671" t="n">
        <v>-0.075</v>
      </c>
      <c r="AL28" s="671" t="n">
        <v>0.075</v>
      </c>
      <c r="AM28" s="671" t="n">
        <v>-0.075</v>
      </c>
      <c r="AN28" s="671" t="n">
        <v>0.075</v>
      </c>
      <c r="AO28" s="676" t="n">
        <v>-0.075</v>
      </c>
      <c r="AR28" s="286" t="n">
        <v>8</v>
      </c>
      <c r="AS28" s="287" t="inlineStr">
        <is>
          <t>Canine Progesterone</t>
        </is>
      </c>
      <c r="AT28" s="287" t="inlineStr">
        <is>
          <t>cPROG</t>
        </is>
      </c>
      <c r="AU28" s="555" t="inlineStr">
        <is>
          <t>371_40451</t>
        </is>
      </c>
      <c r="AV28" s="555" t="inlineStr">
        <is>
          <t>371.25_40451+40452</t>
        </is>
      </c>
      <c r="AW28" s="555" t="inlineStr">
        <is>
          <t>372_40452</t>
        </is>
      </c>
      <c r="AX28" s="555" t="n"/>
    </row>
    <row r="29" ht="19.5" customHeight="1">
      <c r="A29" s="290" t="inlineStr">
        <is>
          <t>DBIL</t>
        </is>
      </c>
      <c r="B29" s="297" t="n">
        <v>0</v>
      </c>
      <c r="C29" s="292" t="n">
        <v>0.4</v>
      </c>
      <c r="D29" s="292" t="n">
        <v>0.4</v>
      </c>
      <c r="E29" s="292" t="n">
        <v>1</v>
      </c>
      <c r="F29" s="292" t="n">
        <v>0</v>
      </c>
      <c r="G29" s="292" t="n">
        <v>0</v>
      </c>
      <c r="H29" s="292" t="n">
        <v>1</v>
      </c>
      <c r="I29" s="292" t="n">
        <v>1</v>
      </c>
      <c r="K29" s="300" t="inlineStr">
        <is>
          <t>URIC</t>
        </is>
      </c>
      <c r="L29" s="691" t="n">
        <v>0.05</v>
      </c>
      <c r="M29" s="692" t="n"/>
      <c r="N29" s="691" t="n">
        <v>0.05</v>
      </c>
      <c r="O29" s="692" t="n"/>
      <c r="P29" s="693" t="n">
        <v>0.05</v>
      </c>
      <c r="Q29" s="692" t="n"/>
      <c r="R29" s="693" t="n">
        <v>0.05</v>
      </c>
      <c r="S29" s="376" t="n"/>
      <c r="U29" s="318" t="inlineStr">
        <is>
          <t>DBIL</t>
        </is>
      </c>
      <c r="V29" s="343" t="n">
        <v>0.4</v>
      </c>
      <c r="W29" s="344" t="n">
        <v>0.4</v>
      </c>
      <c r="X29" s="344" t="n">
        <v>0.4</v>
      </c>
      <c r="Y29" s="348" t="n">
        <v>0.4</v>
      </c>
      <c r="Z29" s="694">
        <f>V29/3</f>
        <v/>
      </c>
      <c r="AA29" s="683">
        <f>-V29/3</f>
        <v/>
      </c>
      <c r="AB29" s="695">
        <f>W29/3</f>
        <v/>
      </c>
      <c r="AC29" s="683">
        <f>-W29/3</f>
        <v/>
      </c>
      <c r="AD29" s="695">
        <f>X29/3</f>
        <v/>
      </c>
      <c r="AE29" s="683">
        <f>-X29/3</f>
        <v/>
      </c>
      <c r="AF29" s="695">
        <f>Y29/3</f>
        <v/>
      </c>
      <c r="AG29" s="696">
        <f>-Y29/3</f>
        <v/>
      </c>
      <c r="AH29" s="697" t="n">
        <v>0.2</v>
      </c>
      <c r="AI29" s="683" t="n">
        <v>-0.2</v>
      </c>
      <c r="AJ29" s="695" t="n">
        <v>0.2</v>
      </c>
      <c r="AK29" s="683" t="n">
        <v>-0.2</v>
      </c>
      <c r="AL29" s="695" t="n">
        <v>0.2</v>
      </c>
      <c r="AM29" s="683" t="n">
        <v>-0.2</v>
      </c>
      <c r="AN29" s="695" t="n">
        <v>0.2</v>
      </c>
      <c r="AO29" s="696" t="n">
        <v>-0.2</v>
      </c>
      <c r="AR29" s="286" t="n">
        <v>9</v>
      </c>
      <c r="AS29" s="287" t="inlineStr">
        <is>
          <t>Canine Cortisol</t>
        </is>
      </c>
      <c r="AT29" s="287" t="inlineStr">
        <is>
          <t>cCORT</t>
        </is>
      </c>
      <c r="AU29" s="555" t="inlineStr">
        <is>
          <t>L1_89751</t>
        </is>
      </c>
      <c r="AV29" s="555" t="inlineStr">
        <is>
          <t>372_40452</t>
        </is>
      </c>
      <c r="AW29" s="555" t="inlineStr">
        <is>
          <t>L2_89752</t>
        </is>
      </c>
      <c r="AX29" s="555" t="n"/>
    </row>
    <row r="30" ht="19.5" customHeight="1">
      <c r="A30" s="290" t="inlineStr">
        <is>
          <t>FRU</t>
        </is>
      </c>
      <c r="B30" s="297" t="n">
        <v>300</v>
      </c>
      <c r="C30" s="381" t="n">
        <v>30</v>
      </c>
      <c r="D30" s="382" t="n">
        <v>0.1</v>
      </c>
      <c r="E30" s="292" t="n">
        <v>0</v>
      </c>
      <c r="F30" s="292" t="n">
        <v>0</v>
      </c>
      <c r="G30" s="292" t="n">
        <v>1</v>
      </c>
      <c r="H30" s="292" t="n">
        <v>1</v>
      </c>
      <c r="I30" s="292" t="n">
        <v>1</v>
      </c>
      <c r="K30" s="300" t="inlineStr">
        <is>
          <t>TG</t>
        </is>
      </c>
      <c r="L30" s="691" t="n">
        <v>0.05</v>
      </c>
      <c r="M30" s="692" t="n"/>
      <c r="N30" s="691" t="n">
        <v>0.05</v>
      </c>
      <c r="O30" s="692" t="n"/>
      <c r="P30" s="693" t="n">
        <v>0.05</v>
      </c>
      <c r="Q30" s="692" t="n"/>
      <c r="R30" s="693" t="n">
        <v>0.05</v>
      </c>
      <c r="S30" s="376" t="n"/>
      <c r="U30" s="318" t="inlineStr">
        <is>
          <t>FRU</t>
        </is>
      </c>
      <c r="V30" s="383" t="n">
        <v>30</v>
      </c>
      <c r="W30" s="384" t="n">
        <v>30</v>
      </c>
      <c r="X30" s="344" t="n">
        <v>30</v>
      </c>
      <c r="Y30" s="348" t="n">
        <v>30</v>
      </c>
      <c r="Z30" s="343">
        <f>V30/3</f>
        <v/>
      </c>
      <c r="AA30" s="344">
        <f>-V30/3</f>
        <v/>
      </c>
      <c r="AB30" s="344">
        <f>W30/3</f>
        <v/>
      </c>
      <c r="AC30" s="344">
        <f>-W30/3</f>
        <v/>
      </c>
      <c r="AD30" s="344">
        <f>X30/3</f>
        <v/>
      </c>
      <c r="AE30" s="344">
        <f>-X30/3</f>
        <v/>
      </c>
      <c r="AF30" s="344">
        <f>Y30/3</f>
        <v/>
      </c>
      <c r="AG30" s="348">
        <f>-Y30/3</f>
        <v/>
      </c>
      <c r="AH30" s="347" t="n">
        <v>15</v>
      </c>
      <c r="AI30" s="344" t="n">
        <v>-15</v>
      </c>
      <c r="AJ30" s="344" t="n">
        <v>15</v>
      </c>
      <c r="AK30" s="344" t="n">
        <v>-15</v>
      </c>
      <c r="AL30" s="344" t="inlineStr">
        <is>
          <t>-</t>
        </is>
      </c>
      <c r="AM30" s="344" t="inlineStr">
        <is>
          <t>-</t>
        </is>
      </c>
      <c r="AN30" s="344" t="inlineStr">
        <is>
          <t>-</t>
        </is>
      </c>
      <c r="AO30" s="348" t="inlineStr">
        <is>
          <t>-</t>
        </is>
      </c>
      <c r="AR30" s="286" t="n">
        <v>1</v>
      </c>
      <c r="AS30" s="287" t="inlineStr">
        <is>
          <t>Canine Pancreas-specific Lipase</t>
        </is>
      </c>
      <c r="AT30" s="287" t="inlineStr">
        <is>
          <t>cPL</t>
        </is>
      </c>
      <c r="AU30" s="555" t="inlineStr">
        <is>
          <t>L1_89751</t>
        </is>
      </c>
      <c r="AV30" s="555" t="inlineStr">
        <is>
          <t>L2_89752</t>
        </is>
      </c>
      <c r="AW30" s="555" t="inlineStr">
        <is>
          <t>N1_45981</t>
        </is>
      </c>
      <c r="AX30" s="555" t="inlineStr">
        <is>
          <t>N3_45983</t>
        </is>
      </c>
    </row>
    <row r="31" ht="19.5" customHeight="1">
      <c r="A31" s="290" t="inlineStr">
        <is>
          <t>CHOL_T4</t>
        </is>
      </c>
      <c r="B31" s="297" t="n">
        <v>0</v>
      </c>
      <c r="C31" s="302" t="n">
        <v>0.1</v>
      </c>
      <c r="D31" s="302" t="n">
        <v>0.1</v>
      </c>
      <c r="E31" s="292" t="n">
        <v>0</v>
      </c>
      <c r="F31" s="292" t="n">
        <v>1</v>
      </c>
      <c r="G31" s="292" t="n">
        <v>1</v>
      </c>
      <c r="H31" s="292" t="n">
        <v>1</v>
      </c>
      <c r="I31" s="292" t="n">
        <v>1</v>
      </c>
      <c r="K31" s="300" t="inlineStr">
        <is>
          <t>LAC</t>
        </is>
      </c>
      <c r="L31" s="691" t="n">
        <v>0.05</v>
      </c>
      <c r="M31" s="692" t="n"/>
      <c r="N31" s="691" t="n">
        <v>0.05</v>
      </c>
      <c r="O31" s="692" t="n"/>
      <c r="P31" s="693" t="n">
        <v>0.05</v>
      </c>
      <c r="Q31" s="692" t="n"/>
      <c r="R31" s="693" t="n">
        <v>0.05</v>
      </c>
      <c r="S31" s="376" t="n"/>
      <c r="U31" s="318" t="inlineStr">
        <is>
          <t>T4</t>
        </is>
      </c>
      <c r="V31" s="344" t="n">
        <v>1</v>
      </c>
      <c r="W31" s="344" t="n">
        <v>1</v>
      </c>
      <c r="X31" s="344" t="n">
        <v>1</v>
      </c>
      <c r="Y31" s="385" t="inlineStr">
        <is>
          <t>-</t>
        </is>
      </c>
      <c r="Z31" s="345">
        <f>V31/3</f>
        <v/>
      </c>
      <c r="AA31" s="346">
        <f>-V31/3</f>
        <v/>
      </c>
      <c r="AB31" s="346">
        <f>W31/3</f>
        <v/>
      </c>
      <c r="AC31" s="346">
        <f>-W31/3</f>
        <v/>
      </c>
      <c r="AD31" s="346">
        <f>X31/3</f>
        <v/>
      </c>
      <c r="AE31" s="346">
        <f>-X31/3</f>
        <v/>
      </c>
      <c r="AF31" s="344" t="n"/>
      <c r="AG31" s="348" t="n"/>
      <c r="AH31" s="347" t="n">
        <v>0.5</v>
      </c>
      <c r="AI31" s="344" t="n">
        <v>-0.5</v>
      </c>
      <c r="AJ31" s="344" t="inlineStr">
        <is>
          <t>-</t>
        </is>
      </c>
      <c r="AK31" s="344" t="inlineStr">
        <is>
          <t>-</t>
        </is>
      </c>
      <c r="AL31" s="344" t="n">
        <v>1</v>
      </c>
      <c r="AM31" s="344" t="n">
        <v>-1</v>
      </c>
      <c r="AN31" s="344" t="inlineStr">
        <is>
          <t>-</t>
        </is>
      </c>
      <c r="AO31" s="348" t="inlineStr">
        <is>
          <t>-</t>
        </is>
      </c>
      <c r="AR31" s="286" t="n">
        <v>1</v>
      </c>
      <c r="AS31" s="287" t="inlineStr">
        <is>
          <t>Feline Pancreas-specific Lipase</t>
        </is>
      </c>
      <c r="AT31" s="287" t="inlineStr">
        <is>
          <t>fPL</t>
        </is>
      </c>
      <c r="AU31" s="555" t="inlineStr">
        <is>
          <t>L1_89751</t>
        </is>
      </c>
      <c r="AV31" s="555" t="inlineStr">
        <is>
          <t>L2_89752</t>
        </is>
      </c>
      <c r="AW31" s="555" t="inlineStr">
        <is>
          <t>N1_45981</t>
        </is>
      </c>
      <c r="AX31" s="555" t="inlineStr">
        <is>
          <t>N3_45983</t>
        </is>
      </c>
    </row>
    <row r="32" ht="31.5" customHeight="1">
      <c r="A32" s="386" t="inlineStr">
        <is>
          <t>T4</t>
        </is>
      </c>
      <c r="B32" s="387" t="n">
        <v>5</v>
      </c>
      <c r="C32" s="388" t="n">
        <v>1</v>
      </c>
      <c r="D32" s="388" t="n">
        <v>0.2</v>
      </c>
      <c r="E32" s="389" t="n">
        <v>1</v>
      </c>
      <c r="F32" s="389" t="n">
        <v>0</v>
      </c>
      <c r="G32" s="389" t="n">
        <v>1</v>
      </c>
      <c r="H32" s="389" t="n">
        <v>1</v>
      </c>
      <c r="I32" s="389" t="n">
        <v>1</v>
      </c>
      <c r="K32" s="300" t="inlineStr">
        <is>
          <t>Mg</t>
        </is>
      </c>
      <c r="L32" s="691" t="n">
        <v>0.05</v>
      </c>
      <c r="M32" s="692" t="n"/>
      <c r="N32" s="691" t="n">
        <v>0.05</v>
      </c>
      <c r="O32" s="692" t="n"/>
      <c r="P32" s="693" t="n">
        <v>0.05</v>
      </c>
      <c r="Q32" s="692" t="n"/>
      <c r="R32" s="693" t="n">
        <v>0.05</v>
      </c>
      <c r="S32" s="376" t="n"/>
      <c r="U32" s="390" t="inlineStr">
        <is>
          <t>LDH</t>
        </is>
      </c>
      <c r="V32" s="391" t="n">
        <v>0.2</v>
      </c>
      <c r="W32" s="391" t="n">
        <v>0.2</v>
      </c>
      <c r="X32" s="391" t="n">
        <v>0.2</v>
      </c>
      <c r="Y32" s="391" t="n">
        <v>0.2</v>
      </c>
      <c r="Z32" s="327">
        <f>V32/3</f>
        <v/>
      </c>
      <c r="AA32" s="324">
        <f>-V32/3</f>
        <v/>
      </c>
      <c r="AB32" s="324">
        <f>W32/3</f>
        <v/>
      </c>
      <c r="AC32" s="324">
        <f>-W32/3</f>
        <v/>
      </c>
      <c r="AD32" s="324">
        <f>X32/3</f>
        <v/>
      </c>
      <c r="AE32" s="324">
        <f>-X32/3</f>
        <v/>
      </c>
      <c r="AF32" s="324">
        <f>Y32/3</f>
        <v/>
      </c>
      <c r="AG32" s="328">
        <f>-Y32/3</f>
        <v/>
      </c>
      <c r="AH32" s="392" t="n"/>
      <c r="AI32" s="393" t="n"/>
      <c r="AJ32" s="393" t="n"/>
      <c r="AK32" s="393" t="n"/>
      <c r="AL32" s="393" t="n"/>
      <c r="AM32" s="393" t="n"/>
      <c r="AN32" s="393" t="n"/>
      <c r="AO32" s="394" t="n"/>
      <c r="AR32" s="286" t="n">
        <v>10</v>
      </c>
      <c r="AS32" s="287" t="inlineStr">
        <is>
          <t>Coagulation</t>
        </is>
      </c>
      <c r="AT32" s="287" t="inlineStr">
        <is>
          <t>Canine: PT, APTT, FIB
Feline: PT, APTT
Equine: PT, FIB</t>
        </is>
      </c>
      <c r="AU32" s="555" t="inlineStr">
        <is>
          <t>Dade Ci-Trol 1
564904A</t>
        </is>
      </c>
      <c r="AV32" s="555" t="inlineStr">
        <is>
          <t>Dade Ci-Trol 2
548551A</t>
        </is>
      </c>
      <c r="AW32" s="555" t="inlineStr">
        <is>
          <t>Control P
556758E</t>
        </is>
      </c>
      <c r="AX32" s="555" t="n"/>
    </row>
    <row r="33" ht="20.25" customHeight="1" thickBot="1">
      <c r="A33" s="395" t="inlineStr">
        <is>
          <t>LDH</t>
        </is>
      </c>
      <c r="B33" s="396" t="n">
        <v>0</v>
      </c>
      <c r="C33" s="398" t="n">
        <v>0.2</v>
      </c>
      <c r="D33" s="398" t="n">
        <v>0.2</v>
      </c>
      <c r="E33" s="399" t="n">
        <v>0</v>
      </c>
      <c r="F33" s="399" t="n">
        <v>1</v>
      </c>
      <c r="G33" s="399" t="n">
        <v>1</v>
      </c>
      <c r="H33" s="399" t="n">
        <v>1</v>
      </c>
      <c r="I33" s="399" t="n">
        <v>1</v>
      </c>
      <c r="K33" s="400" t="n"/>
      <c r="L33" s="400" t="n"/>
      <c r="M33" s="400" t="n"/>
      <c r="N33" s="400" t="n"/>
      <c r="O33" s="400" t="n"/>
      <c r="P33" s="400" t="n"/>
      <c r="Q33" s="400" t="n"/>
      <c r="R33" s="400" t="n"/>
      <c r="S33" s="400" t="n"/>
      <c r="U33" s="401" t="inlineStr">
        <is>
          <t>BA</t>
        </is>
      </c>
      <c r="V33" s="402" t="n">
        <v>0.2</v>
      </c>
      <c r="W33" s="403" t="n">
        <v>0.2</v>
      </c>
      <c r="X33" s="404" t="n"/>
      <c r="Y33" s="405" t="n"/>
      <c r="Z33" s="406">
        <f>V33/3</f>
        <v/>
      </c>
      <c r="AA33" s="407">
        <f>-V33/3</f>
        <v/>
      </c>
      <c r="AB33" s="407">
        <f>W33/3</f>
        <v/>
      </c>
      <c r="AC33" s="407">
        <f>-W33/3</f>
        <v/>
      </c>
      <c r="AD33" s="393" t="n"/>
      <c r="AE33" s="393" t="n"/>
      <c r="AF33" s="393" t="n"/>
      <c r="AG33" s="394" t="n"/>
      <c r="AH33" s="408" t="n">
        <v>0.1</v>
      </c>
      <c r="AI33" s="403" t="n">
        <v>-0.1</v>
      </c>
      <c r="AJ33" s="403" t="n">
        <v>0.1</v>
      </c>
      <c r="AK33" s="403" t="n">
        <v>-0.1</v>
      </c>
      <c r="AL33" s="404" t="inlineStr">
        <is>
          <t>-</t>
        </is>
      </c>
      <c r="AM33" s="404" t="inlineStr">
        <is>
          <t>-</t>
        </is>
      </c>
      <c r="AN33" s="404" t="inlineStr">
        <is>
          <t>-</t>
        </is>
      </c>
      <c r="AO33" s="405" t="inlineStr">
        <is>
          <t>-</t>
        </is>
      </c>
      <c r="AR33" s="409" t="n">
        <v>11</v>
      </c>
      <c r="AS33" s="287" t="inlineStr">
        <is>
          <t>Urine Protein CREA ratio</t>
        </is>
      </c>
      <c r="AT33" s="287" t="inlineStr">
        <is>
          <t>UPC</t>
        </is>
      </c>
      <c r="AU33" s="555" t="inlineStr">
        <is>
          <t>U1_97491</t>
        </is>
      </c>
      <c r="AV33" s="555" t="inlineStr">
        <is>
          <t>U2_97492</t>
        </is>
      </c>
      <c r="AW33" s="555" t="inlineStr">
        <is>
          <t>U3_97491+97492</t>
        </is>
      </c>
      <c r="AX33" s="555" t="n"/>
    </row>
    <row r="34" ht="16.5" customHeight="1">
      <c r="A34" s="282" t="inlineStr">
        <is>
          <t>BA</t>
        </is>
      </c>
      <c r="B34" s="283" t="n">
        <v>0.2</v>
      </c>
      <c r="C34" s="698" t="n">
        <v>0.2</v>
      </c>
      <c r="D34" s="411" t="n">
        <v>0.2</v>
      </c>
      <c r="E34" s="284" t="n">
        <v>1</v>
      </c>
      <c r="F34" s="284" t="n">
        <v>1</v>
      </c>
      <c r="G34" s="284" t="n">
        <v>1</v>
      </c>
      <c r="H34" s="284" t="n">
        <v>1</v>
      </c>
      <c r="I34" s="284" t="n">
        <v>1</v>
      </c>
      <c r="K34" s="412" t="n"/>
      <c r="L34" s="300" t="inlineStr">
        <is>
          <t>L1</t>
        </is>
      </c>
      <c r="M34" s="656" t="n"/>
      <c r="N34" s="300" t="inlineStr">
        <is>
          <t>L2</t>
        </is>
      </c>
      <c r="O34" s="656" t="n"/>
      <c r="P34" s="400" t="n"/>
      <c r="Q34" s="400" t="n"/>
      <c r="R34" s="400" t="n"/>
      <c r="S34" s="400" t="n"/>
      <c r="U34" s="413" t="inlineStr">
        <is>
          <t>CHOL_T4</t>
        </is>
      </c>
      <c r="V34" s="414">
        <f>V24</f>
        <v/>
      </c>
      <c r="W34" s="415">
        <f>W24</f>
        <v/>
      </c>
      <c r="X34" s="415">
        <f>X24</f>
        <v/>
      </c>
      <c r="Y34" s="416">
        <f>Y24</f>
        <v/>
      </c>
      <c r="Z34" s="417">
        <f>V34/3</f>
        <v/>
      </c>
      <c r="AA34" s="418">
        <f>-V34/3</f>
        <v/>
      </c>
      <c r="AB34" s="418">
        <f>W34/3</f>
        <v/>
      </c>
      <c r="AC34" s="418">
        <f>-W34/3</f>
        <v/>
      </c>
      <c r="AD34" s="418">
        <f>AD24</f>
        <v/>
      </c>
      <c r="AE34" s="418">
        <f>AE24</f>
        <v/>
      </c>
      <c r="AF34" s="418">
        <f>AF24</f>
        <v/>
      </c>
      <c r="AG34" s="419">
        <f>AG24</f>
        <v/>
      </c>
      <c r="AH34" s="420">
        <f>AH24</f>
        <v/>
      </c>
      <c r="AI34" s="418">
        <f>AI24</f>
        <v/>
      </c>
      <c r="AJ34" s="418">
        <f>AJ24</f>
        <v/>
      </c>
      <c r="AK34" s="418">
        <f>AK24</f>
        <v/>
      </c>
      <c r="AL34" s="418">
        <f>AL24</f>
        <v/>
      </c>
      <c r="AM34" s="418">
        <f>AM24</f>
        <v/>
      </c>
      <c r="AN34" s="418">
        <f>AN24</f>
        <v/>
      </c>
      <c r="AO34" s="419">
        <f>AO24</f>
        <v/>
      </c>
      <c r="AR34" s="409" t="n">
        <v>13</v>
      </c>
      <c r="AS34" s="287" t="inlineStr">
        <is>
          <t>Canine NT-proBNP</t>
        </is>
      </c>
      <c r="AT34" s="287" t="inlineStr">
        <is>
          <t>cNTpBNP</t>
        </is>
      </c>
      <c r="AU34" s="555" t="inlineStr">
        <is>
          <t>L</t>
        </is>
      </c>
      <c r="AV34" s="555" t="inlineStr">
        <is>
          <t>H</t>
        </is>
      </c>
      <c r="AW34" s="555" t="n"/>
      <c r="AX34" s="555" t="n"/>
    </row>
    <row r="35" ht="31.5" customHeight="1">
      <c r="A35" s="421" t="inlineStr">
        <is>
          <t>UCRE</t>
        </is>
      </c>
      <c r="B35" s="297" t="n">
        <v>100</v>
      </c>
      <c r="C35" s="668" t="n">
        <v>10</v>
      </c>
      <c r="D35" s="302" t="n">
        <v>0.1</v>
      </c>
      <c r="E35" s="292" t="n">
        <v>1</v>
      </c>
      <c r="F35" s="292" t="n">
        <v>0</v>
      </c>
      <c r="G35" s="292" t="n">
        <v>1</v>
      </c>
      <c r="H35" s="292" t="n">
        <v>1</v>
      </c>
      <c r="I35" s="292" t="n">
        <v>1</v>
      </c>
      <c r="K35" s="300" t="inlineStr">
        <is>
          <t>Marker</t>
        </is>
      </c>
      <c r="L35" s="299" t="inlineStr">
        <is>
          <t>Our target</t>
        </is>
      </c>
      <c r="M35" s="300" t="inlineStr">
        <is>
          <t>Tutti</t>
        </is>
      </c>
      <c r="N35" s="299" t="inlineStr">
        <is>
          <t>Our target</t>
        </is>
      </c>
      <c r="O35" s="300" t="inlineStr">
        <is>
          <t>Tutti</t>
        </is>
      </c>
      <c r="P35" s="299" t="inlineStr">
        <is>
          <t>Our target</t>
        </is>
      </c>
      <c r="Q35" s="300" t="n"/>
      <c r="R35" s="299" t="inlineStr">
        <is>
          <t>Our target</t>
        </is>
      </c>
      <c r="S35" s="300" t="n"/>
      <c r="U35" s="422" t="inlineStr">
        <is>
          <t>SDMA</t>
        </is>
      </c>
      <c r="V35" s="423" t="n">
        <v>0.3</v>
      </c>
      <c r="W35" s="358" t="n">
        <v>0.3</v>
      </c>
      <c r="X35" s="358" t="n">
        <v>0.3</v>
      </c>
      <c r="Y35" s="360" t="n">
        <v>0.3</v>
      </c>
      <c r="Z35" s="682">
        <f>V35/3</f>
        <v/>
      </c>
      <c r="AA35" s="324">
        <f>-V35/3</f>
        <v/>
      </c>
      <c r="AB35" s="324">
        <f>W35/3</f>
        <v/>
      </c>
      <c r="AC35" s="324">
        <f>-W35/3</f>
        <v/>
      </c>
      <c r="AD35" s="324" t="n">
        <v>0.09999999999999999</v>
      </c>
      <c r="AE35" s="324" t="n">
        <v>-0.09999999999999999</v>
      </c>
      <c r="AF35" s="324" t="n">
        <v>0.09999999999999999</v>
      </c>
      <c r="AG35" s="328" t="n">
        <v>-0.09999999999999999</v>
      </c>
      <c r="AH35" s="424" t="n"/>
      <c r="AI35" s="425" t="n"/>
      <c r="AJ35" s="425" t="n"/>
      <c r="AK35" s="425" t="n"/>
      <c r="AL35" s="425" t="n"/>
      <c r="AM35" s="425" t="n"/>
      <c r="AN35" s="425" t="n"/>
      <c r="AO35" s="426" t="n"/>
    </row>
    <row r="36" ht="16.5" customHeight="1">
      <c r="A36" s="421" t="inlineStr">
        <is>
          <t>UPRO</t>
        </is>
      </c>
      <c r="B36" s="297" t="n">
        <v>0</v>
      </c>
      <c r="C36" s="302" t="n">
        <v>0.15</v>
      </c>
      <c r="D36" s="302" t="n">
        <v>0.15</v>
      </c>
      <c r="E36" s="292" t="n">
        <v>1</v>
      </c>
      <c r="F36" s="292" t="n">
        <v>1</v>
      </c>
      <c r="G36" s="292" t="n">
        <v>1</v>
      </c>
      <c r="H36" s="292" t="n">
        <v>1</v>
      </c>
      <c r="I36" s="292" t="n">
        <v>1</v>
      </c>
      <c r="K36" s="300" t="inlineStr">
        <is>
          <t>cCRP</t>
        </is>
      </c>
      <c r="L36" s="428" t="n">
        <v>0.1</v>
      </c>
      <c r="M36" s="692" t="n">
        <v>0.092</v>
      </c>
      <c r="N36" s="428" t="n">
        <v>0.1</v>
      </c>
      <c r="O36" s="692" t="n">
        <v>0.093</v>
      </c>
      <c r="P36" s="428" t="n">
        <v>0.1</v>
      </c>
      <c r="Q36" s="692" t="n"/>
      <c r="R36" s="428" t="n">
        <v>0.1</v>
      </c>
      <c r="S36" s="692" t="n"/>
      <c r="U36" s="422" t="inlineStr">
        <is>
          <t>cCRP</t>
        </is>
      </c>
      <c r="V36" s="423" t="n">
        <v>0.24</v>
      </c>
      <c r="W36" s="358" t="n">
        <v>0.24</v>
      </c>
      <c r="X36" s="358" t="n">
        <v>0.24</v>
      </c>
      <c r="Y36" s="360" t="n">
        <v>0.24</v>
      </c>
      <c r="Z36" s="327">
        <f>V36/3</f>
        <v/>
      </c>
      <c r="AA36" s="324">
        <f>-V36/3</f>
        <v/>
      </c>
      <c r="AB36" s="324">
        <f>W36/3</f>
        <v/>
      </c>
      <c r="AC36" s="324">
        <f>-W36/3</f>
        <v/>
      </c>
      <c r="AD36" s="324" t="n">
        <v>0.08</v>
      </c>
      <c r="AE36" s="324" t="n">
        <v>-0.08</v>
      </c>
      <c r="AF36" s="324" t="n">
        <v>0.08</v>
      </c>
      <c r="AG36" s="328" t="n">
        <v>-0.08</v>
      </c>
      <c r="AH36" s="424" t="n"/>
      <c r="AI36" s="425" t="n"/>
      <c r="AJ36" s="425" t="n"/>
      <c r="AK36" s="425" t="n"/>
      <c r="AL36" s="425" t="n"/>
      <c r="AM36" s="425" t="n"/>
      <c r="AN36" s="425" t="n"/>
      <c r="AO36" s="426" t="n"/>
    </row>
    <row r="37" ht="16.5" customHeight="1">
      <c r="A37" s="290" t="inlineStr">
        <is>
          <t>cTSH</t>
        </is>
      </c>
      <c r="B37" s="297" t="n">
        <v>0.5</v>
      </c>
      <c r="C37" s="429" t="n">
        <v>0.1</v>
      </c>
      <c r="D37" s="430" t="n">
        <v>0.2</v>
      </c>
      <c r="E37" s="292" t="n">
        <v>1</v>
      </c>
      <c r="F37" s="292" t="n">
        <v>0</v>
      </c>
      <c r="G37" s="292" t="n">
        <v>1</v>
      </c>
      <c r="H37" s="292" t="n">
        <v>0</v>
      </c>
      <c r="I37" s="292" t="n">
        <v>1</v>
      </c>
      <c r="K37" s="300" t="inlineStr">
        <is>
          <t>SAA</t>
        </is>
      </c>
      <c r="L37" s="428" t="n">
        <v>0.1</v>
      </c>
      <c r="M37" s="692" t="n">
        <v>0.07000000000000001</v>
      </c>
      <c r="N37" s="428" t="n">
        <v>0.1</v>
      </c>
      <c r="O37" s="692" t="n">
        <v>0.051</v>
      </c>
      <c r="P37" s="428" t="n">
        <v>0.1</v>
      </c>
      <c r="Q37" s="692" t="n"/>
      <c r="R37" s="428" t="n">
        <v>0.1</v>
      </c>
      <c r="S37" s="692" t="n"/>
      <c r="U37" s="422" t="inlineStr">
        <is>
          <t>SAA</t>
        </is>
      </c>
      <c r="V37" s="423" t="n">
        <v>0.24</v>
      </c>
      <c r="W37" s="358" t="n">
        <v>0.24</v>
      </c>
      <c r="X37" s="358" t="n">
        <v>0.24</v>
      </c>
      <c r="Y37" s="360" t="n">
        <v>0.24</v>
      </c>
      <c r="Z37" s="327">
        <f>V37/3</f>
        <v/>
      </c>
      <c r="AA37" s="324">
        <f>-V37/3</f>
        <v/>
      </c>
      <c r="AB37" s="324">
        <f>W37/3</f>
        <v/>
      </c>
      <c r="AC37" s="324">
        <f>-W37/3</f>
        <v/>
      </c>
      <c r="AD37" s="324" t="n">
        <v>0.08</v>
      </c>
      <c r="AE37" s="324" t="n">
        <v>-0.08</v>
      </c>
      <c r="AF37" s="324" t="n">
        <v>0.08</v>
      </c>
      <c r="AG37" s="328" t="n">
        <v>-0.08</v>
      </c>
      <c r="AH37" s="424" t="n"/>
      <c r="AI37" s="425" t="n"/>
      <c r="AJ37" s="425" t="n"/>
      <c r="AK37" s="425" t="n"/>
      <c r="AL37" s="425" t="n"/>
      <c r="AM37" s="425" t="n"/>
      <c r="AN37" s="425" t="n"/>
      <c r="AO37" s="426" t="n"/>
    </row>
    <row r="38" ht="19.5" customHeight="1">
      <c r="A38" s="290" t="inlineStr">
        <is>
          <t>cPROG</t>
        </is>
      </c>
      <c r="B38" s="297" t="n">
        <v>2</v>
      </c>
      <c r="C38" s="429" t="n">
        <v>0.4</v>
      </c>
      <c r="D38" s="430" t="n">
        <v>0.2</v>
      </c>
      <c r="E38" s="292" t="n">
        <v>1</v>
      </c>
      <c r="F38" s="292" t="n">
        <v>0</v>
      </c>
      <c r="G38" s="292" t="n">
        <v>1</v>
      </c>
      <c r="H38" s="292" t="n">
        <v>0</v>
      </c>
      <c r="I38" s="292" t="n">
        <v>1</v>
      </c>
      <c r="K38" s="300" t="inlineStr">
        <is>
          <t>PHBR</t>
        </is>
      </c>
      <c r="L38" s="428" t="n">
        <v>0.1</v>
      </c>
      <c r="M38" s="692" t="n">
        <v>0.06</v>
      </c>
      <c r="N38" s="428" t="n">
        <v>0.1</v>
      </c>
      <c r="O38" s="692" t="n">
        <v>0.037</v>
      </c>
      <c r="P38" s="428" t="n">
        <v>0.1</v>
      </c>
      <c r="Q38" s="692" t="n"/>
      <c r="R38" s="428" t="n">
        <v>0.1</v>
      </c>
      <c r="S38" s="692" t="n"/>
      <c r="U38" s="318" t="inlineStr">
        <is>
          <t>PHBR</t>
        </is>
      </c>
      <c r="V38" s="319" t="n">
        <v>0.2</v>
      </c>
      <c r="W38" s="320" t="n">
        <v>0.2</v>
      </c>
      <c r="X38" s="320" t="n">
        <v>0.2</v>
      </c>
      <c r="Y38" s="321" t="n">
        <v>0.2</v>
      </c>
      <c r="Z38" s="319">
        <f>V38/3</f>
        <v/>
      </c>
      <c r="AA38" s="320">
        <f>-V38/3</f>
        <v/>
      </c>
      <c r="AB38" s="320">
        <f>W38/3</f>
        <v/>
      </c>
      <c r="AC38" s="320">
        <f>-W38/3</f>
        <v/>
      </c>
      <c r="AD38" s="320" t="n">
        <v>0.06666666666666667</v>
      </c>
      <c r="AE38" s="320" t="n">
        <v>-0.06666666666666667</v>
      </c>
      <c r="AF38" s="320" t="n">
        <v>0.06666666666666667</v>
      </c>
      <c r="AG38" s="321" t="n">
        <v>-0.06666666666666667</v>
      </c>
      <c r="AH38" s="334" t="n"/>
      <c r="AI38" s="320" t="n"/>
      <c r="AJ38" s="320" t="n"/>
      <c r="AK38" s="320" t="n"/>
      <c r="AL38" s="684" t="n"/>
      <c r="AM38" s="684" t="n"/>
      <c r="AN38" s="320" t="n"/>
      <c r="AO38" s="321" t="n"/>
    </row>
    <row r="39" ht="19.5" customHeight="1">
      <c r="A39" s="290" t="inlineStr">
        <is>
          <t>cCORT</t>
        </is>
      </c>
      <c r="B39" s="297" t="n">
        <v>6</v>
      </c>
      <c r="C39" s="429" t="n">
        <v>1.2</v>
      </c>
      <c r="D39" s="430" t="n">
        <v>0.2</v>
      </c>
      <c r="E39" s="292" t="n">
        <v>1</v>
      </c>
      <c r="F39" s="292" t="n">
        <v>0</v>
      </c>
      <c r="G39" s="292" t="n">
        <v>1</v>
      </c>
      <c r="H39" s="292" t="n">
        <v>0</v>
      </c>
      <c r="I39" s="292" t="n">
        <v>1</v>
      </c>
      <c r="K39" s="300" t="inlineStr">
        <is>
          <t>TT4</t>
        </is>
      </c>
      <c r="L39" s="428" t="n">
        <v>0.1</v>
      </c>
      <c r="M39" s="692" t="n">
        <v>0.117</v>
      </c>
      <c r="N39" s="428" t="n">
        <v>0.1</v>
      </c>
      <c r="O39" s="692" t="n">
        <v>0.054</v>
      </c>
      <c r="P39" s="428" t="n">
        <v>0.1</v>
      </c>
      <c r="Q39" s="692" t="n"/>
      <c r="R39" s="428" t="n">
        <v>0.1</v>
      </c>
      <c r="S39" s="692" t="n"/>
      <c r="U39" s="318" t="inlineStr">
        <is>
          <t>TT4</t>
        </is>
      </c>
      <c r="V39" s="699" t="n">
        <v>1</v>
      </c>
      <c r="W39" s="699" t="n">
        <v>1</v>
      </c>
      <c r="X39" s="320" t="n">
        <v>0.2</v>
      </c>
      <c r="Y39" s="321" t="n">
        <v>0.2</v>
      </c>
      <c r="Z39" s="345">
        <f>V39/3</f>
        <v/>
      </c>
      <c r="AA39" s="432">
        <f>-V39/3</f>
        <v/>
      </c>
      <c r="AB39" s="346">
        <f>W39/3</f>
        <v/>
      </c>
      <c r="AC39" s="320">
        <f>-W39/3</f>
        <v/>
      </c>
      <c r="AD39" s="324">
        <f>X39/3</f>
        <v/>
      </c>
      <c r="AE39" s="324">
        <f>-X39/3</f>
        <v/>
      </c>
      <c r="AF39" s="324">
        <f>Y39/3</f>
        <v/>
      </c>
      <c r="AG39" s="328">
        <f>-Y39/3</f>
        <v/>
      </c>
      <c r="AH39" s="347" t="n"/>
      <c r="AI39" s="344" t="n"/>
      <c r="AJ39" s="344" t="n"/>
      <c r="AK39" s="344" t="n"/>
      <c r="AL39" s="671" t="n"/>
      <c r="AM39" s="671" t="n"/>
      <c r="AN39" s="671" t="n"/>
      <c r="AO39" s="676" t="n"/>
    </row>
    <row r="40" ht="19.5" customHeight="1">
      <c r="A40" s="290" t="inlineStr">
        <is>
          <t>cPL</t>
        </is>
      </c>
      <c r="B40" s="297" t="n">
        <v>0</v>
      </c>
      <c r="C40" s="430" t="n">
        <v>0.3</v>
      </c>
      <c r="D40" s="430" t="n">
        <v>0.3</v>
      </c>
      <c r="E40" s="292" t="n">
        <v>0</v>
      </c>
      <c r="F40" s="292" t="n">
        <v>1</v>
      </c>
      <c r="G40" s="292" t="n">
        <v>1</v>
      </c>
      <c r="H40" s="292" t="n">
        <v>1</v>
      </c>
      <c r="I40" s="292" t="n">
        <v>1</v>
      </c>
      <c r="K40" s="300" t="inlineStr">
        <is>
          <t>S-DMA</t>
        </is>
      </c>
      <c r="L40" s="433" t="n">
        <v>0.15</v>
      </c>
      <c r="M40" s="692" t="n">
        <v>0.08500000000000001</v>
      </c>
      <c r="N40" s="428" t="n">
        <v>0.15</v>
      </c>
      <c r="O40" s="692" t="n">
        <v>0.083</v>
      </c>
      <c r="P40" s="433" t="n">
        <v>0.15</v>
      </c>
      <c r="Q40" s="692" t="n"/>
      <c r="R40" s="428" t="n">
        <v>0.15</v>
      </c>
      <c r="S40" s="692" t="n"/>
      <c r="U40" s="318" t="inlineStr">
        <is>
          <t>UCRE</t>
        </is>
      </c>
      <c r="V40" s="699" t="n">
        <v>10</v>
      </c>
      <c r="W40" s="320" t="n">
        <v>0.15</v>
      </c>
      <c r="X40" s="320" t="n">
        <v>0.15</v>
      </c>
      <c r="Y40" s="321" t="n">
        <v>0.15</v>
      </c>
      <c r="Z40" s="700">
        <f>V40/3</f>
        <v/>
      </c>
      <c r="AA40" s="701">
        <f>-V40/3</f>
        <v/>
      </c>
      <c r="AB40" s="324">
        <f>W40/3</f>
        <v/>
      </c>
      <c r="AC40" s="324">
        <f>-W40/3</f>
        <v/>
      </c>
      <c r="AD40" s="324">
        <f>X40/3</f>
        <v/>
      </c>
      <c r="AE40" s="324">
        <f>-X40/3</f>
        <v/>
      </c>
      <c r="AF40" s="324" t="n"/>
      <c r="AG40" s="328" t="n"/>
      <c r="AH40" s="347" t="n"/>
      <c r="AI40" s="344" t="n"/>
      <c r="AJ40" s="344" t="n"/>
      <c r="AK40" s="344" t="n"/>
      <c r="AL40" s="671" t="n"/>
      <c r="AM40" s="671" t="n"/>
      <c r="AN40" s="671" t="n"/>
      <c r="AO40" s="676" t="n"/>
    </row>
    <row r="41" ht="17.25" customHeight="1">
      <c r="A41" s="290" t="inlineStr">
        <is>
          <t>fPL</t>
        </is>
      </c>
      <c r="B41" s="297" t="n">
        <v>0</v>
      </c>
      <c r="C41" s="430" t="n">
        <v>0.3</v>
      </c>
      <c r="D41" s="430" t="n">
        <v>0.3</v>
      </c>
      <c r="E41" s="292" t="n">
        <v>1</v>
      </c>
      <c r="F41" s="292" t="n">
        <v>1</v>
      </c>
      <c r="G41" s="292" t="n">
        <v>1</v>
      </c>
      <c r="H41" s="292" t="n">
        <v>1</v>
      </c>
      <c r="I41" s="292" t="n">
        <v>1</v>
      </c>
      <c r="K41" s="300" t="inlineStr">
        <is>
          <t>cPL</t>
        </is>
      </c>
      <c r="L41" s="428" t="n">
        <v>0.1</v>
      </c>
      <c r="M41" s="692" t="n">
        <v>0.07000000000000001</v>
      </c>
      <c r="N41" s="428" t="n">
        <v>0.1</v>
      </c>
      <c r="O41" s="692" t="n">
        <v>0.083</v>
      </c>
      <c r="P41" s="428" t="n">
        <v>0.1</v>
      </c>
      <c r="Q41" s="692" t="n"/>
      <c r="R41" s="428" t="n">
        <v>0.1</v>
      </c>
      <c r="S41" s="692" t="n"/>
      <c r="U41" s="318" t="inlineStr">
        <is>
          <t>UPRO</t>
        </is>
      </c>
      <c r="V41" s="699" t="n">
        <v>10</v>
      </c>
      <c r="W41" s="699" t="n">
        <v>10</v>
      </c>
      <c r="X41" s="699" t="n">
        <v>10</v>
      </c>
      <c r="Y41" s="321" t="n"/>
      <c r="Z41" s="700">
        <f>V41/3</f>
        <v/>
      </c>
      <c r="AA41" s="701">
        <f>-V41/3</f>
        <v/>
      </c>
      <c r="AB41" s="701">
        <f>W41/3</f>
        <v/>
      </c>
      <c r="AC41" s="701">
        <f>-W41/3</f>
        <v/>
      </c>
      <c r="AD41" s="701">
        <f>X41/3</f>
        <v/>
      </c>
      <c r="AE41" s="701">
        <f>-X41/3</f>
        <v/>
      </c>
      <c r="AF41" s="324" t="n"/>
      <c r="AG41" s="328" t="n"/>
      <c r="AH41" s="347" t="n"/>
      <c r="AI41" s="344" t="n"/>
      <c r="AJ41" s="344" t="n"/>
      <c r="AK41" s="344" t="n"/>
      <c r="AL41" s="671" t="n"/>
      <c r="AM41" s="671" t="n"/>
      <c r="AN41" s="671" t="n"/>
      <c r="AO41" s="676" t="n"/>
    </row>
    <row r="42" ht="19.5" customHeight="1">
      <c r="A42" s="290" t="inlineStr">
        <is>
          <t>cNT-pBNP</t>
        </is>
      </c>
      <c r="B42" s="297" t="n">
        <v>0</v>
      </c>
      <c r="C42" s="430" t="n">
        <v>0.3</v>
      </c>
      <c r="D42" s="430" t="n">
        <v>0.3</v>
      </c>
      <c r="E42" s="292" t="n">
        <v>0</v>
      </c>
      <c r="F42" s="292" t="n">
        <v>1</v>
      </c>
      <c r="G42" s="292" t="n">
        <v>1</v>
      </c>
      <c r="H42" s="292" t="n">
        <v>1</v>
      </c>
      <c r="I42" s="292" t="n">
        <v>1</v>
      </c>
      <c r="K42" s="300" t="inlineStr">
        <is>
          <t>fPL</t>
        </is>
      </c>
      <c r="L42" s="428" t="n">
        <v>0.1</v>
      </c>
      <c r="M42" s="692" t="n">
        <v>0.045</v>
      </c>
      <c r="N42" s="428" t="n">
        <v>0.1</v>
      </c>
      <c r="O42" s="692" t="n">
        <v>0.09</v>
      </c>
      <c r="P42" s="428" t="n">
        <v>0.1</v>
      </c>
      <c r="Q42" s="692" t="n"/>
      <c r="R42" s="428" t="n">
        <v>0.1</v>
      </c>
      <c r="S42" s="692" t="n"/>
      <c r="U42" s="318" t="inlineStr">
        <is>
          <t>PT</t>
        </is>
      </c>
      <c r="V42" s="423" t="n">
        <v>0.15</v>
      </c>
      <c r="W42" s="320" t="n">
        <v>0.15</v>
      </c>
      <c r="X42" s="320" t="n">
        <v>0.15</v>
      </c>
      <c r="Y42" s="321" t="n">
        <v>0.15</v>
      </c>
      <c r="Z42" s="327">
        <f>V42/3</f>
        <v/>
      </c>
      <c r="AA42" s="324">
        <f>-V42/3</f>
        <v/>
      </c>
      <c r="AB42" s="324">
        <f>W42/3</f>
        <v/>
      </c>
      <c r="AC42" s="324">
        <f>-W42/3</f>
        <v/>
      </c>
      <c r="AD42" s="324" t="n">
        <v>0.05</v>
      </c>
      <c r="AE42" s="324" t="n">
        <v>-0.05</v>
      </c>
      <c r="AF42" s="324" t="n">
        <v>0.05</v>
      </c>
      <c r="AG42" s="328" t="n">
        <v>-0.05</v>
      </c>
      <c r="AH42" s="347" t="n"/>
      <c r="AI42" s="344" t="n"/>
      <c r="AJ42" s="344" t="n"/>
      <c r="AK42" s="344" t="n"/>
      <c r="AL42" s="671" t="n"/>
      <c r="AM42" s="671" t="n"/>
      <c r="AN42" s="671" t="n"/>
      <c r="AO42" s="676" t="n"/>
    </row>
    <row r="43" ht="31.5" customHeight="1">
      <c r="A43" s="290" t="inlineStr">
        <is>
          <t>SDMA</t>
        </is>
      </c>
      <c r="B43" s="297" t="n">
        <v>0</v>
      </c>
      <c r="C43" s="430" t="n">
        <v>0.3</v>
      </c>
      <c r="D43" s="430" t="n">
        <v>0.3</v>
      </c>
      <c r="E43" s="292" t="n">
        <v>1</v>
      </c>
      <c r="F43" s="292" t="n">
        <v>1</v>
      </c>
      <c r="G43" s="292" t="n">
        <v>1</v>
      </c>
      <c r="H43" s="292" t="n">
        <v>1</v>
      </c>
      <c r="I43" s="292" t="n">
        <v>1</v>
      </c>
      <c r="K43" s="300" t="inlineStr">
        <is>
          <t>cNT-pBNP</t>
        </is>
      </c>
      <c r="L43" s="428" t="n">
        <v>0.1</v>
      </c>
      <c r="M43" s="692" t="n">
        <v>0.068</v>
      </c>
      <c r="N43" s="428" t="n">
        <v>0.1</v>
      </c>
      <c r="O43" s="692" t="n">
        <v>0.112</v>
      </c>
      <c r="P43" s="428" t="n">
        <v>0.1</v>
      </c>
      <c r="Q43" s="692" t="n"/>
      <c r="R43" s="428" t="n">
        <v>0.1</v>
      </c>
      <c r="S43" s="692" t="n"/>
      <c r="U43" s="318" t="inlineStr">
        <is>
          <t>APTT</t>
        </is>
      </c>
      <c r="V43" s="423" t="n">
        <v>0.15</v>
      </c>
      <c r="W43" s="320" t="n">
        <v>0.15</v>
      </c>
      <c r="X43" s="320" t="n">
        <v>0.15</v>
      </c>
      <c r="Y43" s="321" t="n">
        <v>0.15</v>
      </c>
      <c r="Z43" s="327">
        <f>V43/3</f>
        <v/>
      </c>
      <c r="AA43" s="324">
        <f>-V43/3</f>
        <v/>
      </c>
      <c r="AB43" s="324">
        <f>W43/3</f>
        <v/>
      </c>
      <c r="AC43" s="324">
        <f>-W43/3</f>
        <v/>
      </c>
      <c r="AD43" s="324" t="n">
        <v>0.05</v>
      </c>
      <c r="AE43" s="324" t="n">
        <v>-0.05</v>
      </c>
      <c r="AF43" s="324" t="n">
        <v>0.05</v>
      </c>
      <c r="AG43" s="328" t="n">
        <v>-0.05</v>
      </c>
      <c r="AH43" s="347" t="n"/>
      <c r="AI43" s="344" t="n"/>
      <c r="AJ43" s="344" t="n"/>
      <c r="AK43" s="344" t="n"/>
      <c r="AL43" s="671" t="n"/>
      <c r="AM43" s="671" t="n"/>
      <c r="AN43" s="671" t="n"/>
      <c r="AO43" s="676" t="n"/>
    </row>
    <row r="44" ht="15.75" customHeight="1">
      <c r="A44" s="290" t="inlineStr">
        <is>
          <t>cCRP</t>
        </is>
      </c>
      <c r="B44" s="297" t="n">
        <v>0</v>
      </c>
      <c r="C44" s="436" t="n">
        <v>0.24</v>
      </c>
      <c r="D44" s="437" t="n">
        <v>0.24</v>
      </c>
      <c r="E44" s="292" t="n">
        <v>0</v>
      </c>
      <c r="F44" s="292" t="n">
        <v>1</v>
      </c>
      <c r="G44" s="292" t="n">
        <v>1</v>
      </c>
      <c r="H44" s="292" t="n">
        <v>1</v>
      </c>
      <c r="I44" s="292" t="n">
        <v>1</v>
      </c>
      <c r="K44" s="300" t="inlineStr">
        <is>
          <t>cTSH</t>
        </is>
      </c>
      <c r="L44" s="702" t="n">
        <v>0.1</v>
      </c>
      <c r="M44" s="692" t="n"/>
      <c r="N44" s="428" t="n">
        <v>0.1</v>
      </c>
      <c r="O44" s="692" t="n"/>
      <c r="P44" s="428" t="n">
        <v>0.1</v>
      </c>
      <c r="Q44" s="692" t="n"/>
      <c r="R44" s="299" t="n"/>
      <c r="S44" s="692" t="n"/>
      <c r="U44" s="318" t="inlineStr">
        <is>
          <t>FIB</t>
        </is>
      </c>
      <c r="V44" s="423" t="n">
        <v>0.15</v>
      </c>
      <c r="W44" s="320" t="n">
        <v>0.15</v>
      </c>
      <c r="X44" s="320" t="n">
        <v>0.15</v>
      </c>
      <c r="Y44" s="321" t="n">
        <v>0.15</v>
      </c>
      <c r="Z44" s="327">
        <f>V44/3</f>
        <v/>
      </c>
      <c r="AA44" s="324">
        <f>-V44/3</f>
        <v/>
      </c>
      <c r="AB44" s="324">
        <f>W44/3</f>
        <v/>
      </c>
      <c r="AC44" s="324">
        <f>-W44/3</f>
        <v/>
      </c>
      <c r="AD44" s="324" t="n">
        <v>0.05</v>
      </c>
      <c r="AE44" s="324" t="n">
        <v>-0.05</v>
      </c>
      <c r="AF44" s="324" t="n">
        <v>0.05</v>
      </c>
      <c r="AG44" s="328" t="n">
        <v>-0.05</v>
      </c>
      <c r="AH44" s="347" t="n"/>
      <c r="AI44" s="344" t="n"/>
      <c r="AJ44" s="344" t="n"/>
      <c r="AK44" s="344" t="n"/>
      <c r="AL44" s="671" t="n"/>
      <c r="AM44" s="671" t="n"/>
      <c r="AN44" s="671" t="n"/>
      <c r="AO44" s="676" t="n"/>
    </row>
    <row r="45" ht="19.5" customHeight="1">
      <c r="A45" s="290" t="inlineStr">
        <is>
          <t>SAA</t>
        </is>
      </c>
      <c r="B45" s="297" t="n">
        <v>0</v>
      </c>
      <c r="C45" s="436" t="n">
        <v>0.24</v>
      </c>
      <c r="D45" s="437" t="n">
        <v>0.24</v>
      </c>
      <c r="E45" s="292" t="n">
        <v>0</v>
      </c>
      <c r="F45" s="292" t="n">
        <v>1</v>
      </c>
      <c r="G45" s="292" t="n">
        <v>1</v>
      </c>
      <c r="H45" s="292" t="n">
        <v>1</v>
      </c>
      <c r="I45" s="292" t="n">
        <v>1</v>
      </c>
      <c r="K45" s="300" t="inlineStr">
        <is>
          <t>cPROG</t>
        </is>
      </c>
      <c r="L45" s="702" t="n">
        <v>0.3</v>
      </c>
      <c r="M45" s="692" t="n"/>
      <c r="N45" s="428" t="n">
        <v>0.1</v>
      </c>
      <c r="O45" s="692" t="n"/>
      <c r="P45" s="428" t="n">
        <v>0.1</v>
      </c>
      <c r="Q45" s="692" t="n"/>
      <c r="R45" s="299" t="n"/>
      <c r="S45" s="692" t="n"/>
      <c r="U45" s="318" t="inlineStr">
        <is>
          <t>cPL</t>
        </is>
      </c>
      <c r="V45" s="423" t="n">
        <v>0.3</v>
      </c>
      <c r="W45" s="358" t="n">
        <v>0.3</v>
      </c>
      <c r="X45" s="320" t="n">
        <v>0.3</v>
      </c>
      <c r="Y45" s="321" t="n">
        <v>0.3</v>
      </c>
      <c r="Z45" s="327">
        <f>V45/3</f>
        <v/>
      </c>
      <c r="AA45" s="324">
        <f>-V45/3</f>
        <v/>
      </c>
      <c r="AB45" s="324">
        <f>W45/3</f>
        <v/>
      </c>
      <c r="AC45" s="324">
        <f>-W45/3</f>
        <v/>
      </c>
      <c r="AD45" s="324" t="n">
        <v>0.09999999999999999</v>
      </c>
      <c r="AE45" s="324" t="n">
        <v>-0.09999999999999999</v>
      </c>
      <c r="AF45" s="324" t="n">
        <v>0.09999999999999999</v>
      </c>
      <c r="AG45" s="328" t="n">
        <v>-0.09999999999999999</v>
      </c>
      <c r="AH45" s="347" t="n"/>
      <c r="AI45" s="344" t="n"/>
      <c r="AJ45" s="344" t="n"/>
      <c r="AK45" s="344" t="n"/>
      <c r="AL45" s="671" t="n"/>
      <c r="AM45" s="671" t="n"/>
      <c r="AN45" s="671" t="n"/>
      <c r="AO45" s="676" t="n"/>
    </row>
    <row r="46" ht="19.5" customHeight="1">
      <c r="A46" s="386" t="inlineStr">
        <is>
          <t>PHBR</t>
        </is>
      </c>
      <c r="B46" s="297" t="n">
        <v>0</v>
      </c>
      <c r="C46" s="436" t="n">
        <v>0.2</v>
      </c>
      <c r="D46" s="437" t="n">
        <v>0.2</v>
      </c>
      <c r="E46" s="292" t="n">
        <v>0</v>
      </c>
      <c r="F46" s="292" t="n">
        <v>1</v>
      </c>
      <c r="G46" s="292" t="n">
        <v>1</v>
      </c>
      <c r="H46" s="292" t="n">
        <v>1</v>
      </c>
      <c r="I46" s="292" t="n">
        <v>1</v>
      </c>
      <c r="K46" s="300" t="inlineStr">
        <is>
          <t>cCORT</t>
        </is>
      </c>
      <c r="L46" s="702" t="n">
        <v>0.6</v>
      </c>
      <c r="M46" s="692" t="n">
        <v>0.051</v>
      </c>
      <c r="N46" s="428" t="n">
        <v>0.1</v>
      </c>
      <c r="O46" s="692" t="n">
        <v>0.038</v>
      </c>
      <c r="P46" s="428" t="n">
        <v>0.1</v>
      </c>
      <c r="Q46" s="692" t="n"/>
      <c r="R46" s="299" t="n">
        <v>0.1</v>
      </c>
      <c r="S46" s="692" t="n"/>
      <c r="U46" s="318" t="inlineStr">
        <is>
          <t>fPL</t>
        </is>
      </c>
      <c r="V46" s="423" t="n">
        <v>0.3</v>
      </c>
      <c r="W46" s="358" t="n">
        <v>0.3</v>
      </c>
      <c r="X46" s="320" t="n">
        <v>0.3</v>
      </c>
      <c r="Y46" s="321" t="n">
        <v>0.3</v>
      </c>
      <c r="Z46" s="327">
        <f>V46/3</f>
        <v/>
      </c>
      <c r="AA46" s="324">
        <f>-V46/3</f>
        <v/>
      </c>
      <c r="AB46" s="324">
        <f>W46/3</f>
        <v/>
      </c>
      <c r="AC46" s="324">
        <f>-W46/3</f>
        <v/>
      </c>
      <c r="AD46" s="324" t="n">
        <v>0.09999999999999999</v>
      </c>
      <c r="AE46" s="324" t="n">
        <v>-0.09999999999999999</v>
      </c>
      <c r="AF46" s="324" t="n">
        <v>0.09999999999999999</v>
      </c>
      <c r="AG46" s="328" t="n">
        <v>-0.09999999999999999</v>
      </c>
      <c r="AH46" s="347" t="n"/>
      <c r="AI46" s="344" t="n"/>
      <c r="AJ46" s="344" t="n"/>
      <c r="AK46" s="344" t="n"/>
      <c r="AL46" s="671" t="n"/>
      <c r="AM46" s="671" t="n"/>
      <c r="AN46" s="671" t="n"/>
      <c r="AO46" s="676" t="n"/>
    </row>
    <row r="47" ht="19.5" customHeight="1">
      <c r="A47" s="386" t="inlineStr">
        <is>
          <t>TT4</t>
        </is>
      </c>
      <c r="B47" s="387" t="n">
        <v>5</v>
      </c>
      <c r="C47" s="429" t="n">
        <v>1</v>
      </c>
      <c r="D47" s="439" t="n">
        <v>0.2</v>
      </c>
      <c r="E47" s="389" t="n">
        <v>1</v>
      </c>
      <c r="F47" s="389" t="n">
        <v>0</v>
      </c>
      <c r="G47" s="389" t="n">
        <v>1</v>
      </c>
      <c r="H47" s="389" t="n">
        <v>1</v>
      </c>
      <c r="I47" s="389" t="n">
        <v>1</v>
      </c>
      <c r="K47" s="440" t="n"/>
      <c r="L47" s="441" t="n"/>
      <c r="M47" s="703" t="n"/>
      <c r="N47" s="441" t="n"/>
      <c r="O47" s="703" t="n"/>
      <c r="P47" s="400" t="n"/>
      <c r="Q47" s="400" t="n"/>
      <c r="R47" s="400" t="n"/>
      <c r="S47" s="400" t="n"/>
      <c r="U47" s="318" t="inlineStr">
        <is>
          <t>cNT-pBNP</t>
        </is>
      </c>
      <c r="V47" s="423" t="n">
        <v>0.3</v>
      </c>
      <c r="W47" s="358" t="n">
        <v>0.3</v>
      </c>
      <c r="X47" s="320" t="n">
        <v>0.3</v>
      </c>
      <c r="Y47" s="321" t="n">
        <v>0.3</v>
      </c>
      <c r="Z47" s="327">
        <f>V47/3</f>
        <v/>
      </c>
      <c r="AA47" s="324">
        <f>-V47/3</f>
        <v/>
      </c>
      <c r="AB47" s="324">
        <f>W47/3</f>
        <v/>
      </c>
      <c r="AC47" s="324">
        <f>-W47/3</f>
        <v/>
      </c>
      <c r="AD47" s="324">
        <f>X47/3</f>
        <v/>
      </c>
      <c r="AE47" s="324">
        <f>-X47/3</f>
        <v/>
      </c>
      <c r="AF47" s="324">
        <f>Y47/3</f>
        <v/>
      </c>
      <c r="AG47" s="328">
        <f>-Y47/3</f>
        <v/>
      </c>
      <c r="AH47" s="334" t="n"/>
      <c r="AI47" s="320" t="n"/>
      <c r="AJ47" s="320" t="n"/>
      <c r="AK47" s="320" t="n"/>
      <c r="AL47" s="335" t="n"/>
      <c r="AM47" s="335" t="n"/>
      <c r="AN47" s="320" t="n"/>
      <c r="AO47" s="321" t="n"/>
    </row>
    <row r="48" ht="19.5" customHeight="1">
      <c r="A48" s="386" t="inlineStr">
        <is>
          <t>PT</t>
        </is>
      </c>
      <c r="B48" s="387" t="n">
        <v>0</v>
      </c>
      <c r="C48" s="443" t="n">
        <v>0.15</v>
      </c>
      <c r="D48" s="443" t="n">
        <v>0.15</v>
      </c>
      <c r="E48" s="389" t="n">
        <v>1</v>
      </c>
      <c r="F48" s="389" t="n">
        <v>1</v>
      </c>
      <c r="G48" s="389" t="n">
        <v>1</v>
      </c>
      <c r="H48" s="389" t="n">
        <v>1</v>
      </c>
      <c r="I48" s="389" t="n">
        <v>1</v>
      </c>
      <c r="K48" s="412" t="n"/>
      <c r="L48" s="542" t="inlineStr">
        <is>
          <t>L1</t>
        </is>
      </c>
      <c r="M48" s="543" t="n"/>
      <c r="N48" s="542" t="inlineStr">
        <is>
          <t>L2</t>
        </is>
      </c>
      <c r="O48" s="543" t="n"/>
      <c r="P48" s="400" t="n"/>
      <c r="Q48" s="400" t="n"/>
      <c r="R48" s="400" t="n"/>
      <c r="S48" s="400" t="n"/>
      <c r="U48" s="390" t="inlineStr">
        <is>
          <t>cTSH</t>
        </is>
      </c>
      <c r="V48" s="704" t="n">
        <v>0.1</v>
      </c>
      <c r="W48" s="320" t="n">
        <v>0.2</v>
      </c>
      <c r="X48" s="320" t="n">
        <v>0.2</v>
      </c>
      <c r="Y48" s="445" t="n"/>
      <c r="Z48" s="705">
        <f>V48/3</f>
        <v/>
      </c>
      <c r="AA48" s="706">
        <f>-V48/3</f>
        <v/>
      </c>
      <c r="AB48" s="407">
        <f>W48/3</f>
        <v/>
      </c>
      <c r="AC48" s="407">
        <f>-W48/3</f>
        <v/>
      </c>
      <c r="AD48" s="407">
        <f>X48/3</f>
        <v/>
      </c>
      <c r="AE48" s="407">
        <f>-X48/3</f>
        <v/>
      </c>
      <c r="AF48" s="407">
        <f>Y48/3</f>
        <v/>
      </c>
      <c r="AG48" s="448">
        <f>-Y48/3</f>
        <v/>
      </c>
      <c r="AH48" s="449" t="n"/>
      <c r="AI48" s="450" t="n"/>
      <c r="AJ48" s="450" t="n"/>
      <c r="AK48" s="450" t="n"/>
      <c r="AL48" s="451" t="n"/>
      <c r="AM48" s="451" t="n"/>
      <c r="AN48" s="450" t="n"/>
      <c r="AO48" s="445" t="n"/>
    </row>
    <row r="49" ht="31.5" customHeight="1">
      <c r="A49" s="386" t="inlineStr">
        <is>
          <t>APTT</t>
        </is>
      </c>
      <c r="B49" s="387" t="n">
        <v>0</v>
      </c>
      <c r="C49" s="443" t="n">
        <v>0.15</v>
      </c>
      <c r="D49" s="443" t="n">
        <v>0.15</v>
      </c>
      <c r="E49" s="389" t="n">
        <v>1</v>
      </c>
      <c r="F49" s="389" t="n">
        <v>1</v>
      </c>
      <c r="G49" s="389" t="n">
        <v>1</v>
      </c>
      <c r="H49" s="389" t="n">
        <v>1</v>
      </c>
      <c r="I49" s="389" t="n">
        <v>1</v>
      </c>
      <c r="K49" s="300" t="inlineStr">
        <is>
          <t>Marker</t>
        </is>
      </c>
      <c r="L49" s="299" t="inlineStr">
        <is>
          <t>Our target</t>
        </is>
      </c>
      <c r="M49" s="300" t="inlineStr">
        <is>
          <t>Tutti</t>
        </is>
      </c>
      <c r="N49" s="299" t="inlineStr">
        <is>
          <t>Our target</t>
        </is>
      </c>
      <c r="O49" s="300" t="inlineStr">
        <is>
          <t>Tutti</t>
        </is>
      </c>
      <c r="P49" s="299" t="inlineStr">
        <is>
          <t>Our target</t>
        </is>
      </c>
      <c r="Q49" s="300" t="n"/>
      <c r="R49" s="299" t="inlineStr">
        <is>
          <t>Our target</t>
        </is>
      </c>
      <c r="S49" s="300" t="n"/>
      <c r="U49" s="390" t="inlineStr">
        <is>
          <t>cPROG</t>
        </is>
      </c>
      <c r="V49" s="704" t="n">
        <v>0.4</v>
      </c>
      <c r="W49" s="320" t="n">
        <v>0.2</v>
      </c>
      <c r="X49" s="320" t="n">
        <v>0.2</v>
      </c>
      <c r="Y49" s="445" t="n"/>
      <c r="Z49" s="705">
        <f>V49/3</f>
        <v/>
      </c>
      <c r="AA49" s="706">
        <f>-V49/3</f>
        <v/>
      </c>
      <c r="AB49" s="407">
        <f>W49/3</f>
        <v/>
      </c>
      <c r="AC49" s="407">
        <f>-W49/3</f>
        <v/>
      </c>
      <c r="AD49" s="407">
        <f>X49/3</f>
        <v/>
      </c>
      <c r="AE49" s="407">
        <f>-X49/3</f>
        <v/>
      </c>
      <c r="AF49" s="407">
        <f>Y49/3</f>
        <v/>
      </c>
      <c r="AG49" s="448">
        <f>-Y49/3</f>
        <v/>
      </c>
      <c r="AH49" s="449" t="n"/>
      <c r="AI49" s="450" t="n"/>
      <c r="AJ49" s="450" t="n"/>
      <c r="AK49" s="450" t="n"/>
      <c r="AL49" s="451" t="n"/>
      <c r="AM49" s="451" t="n"/>
      <c r="AN49" s="450" t="n"/>
      <c r="AO49" s="445" t="n"/>
    </row>
    <row r="50" ht="19.5" customHeight="1">
      <c r="A50" s="386" t="inlineStr">
        <is>
          <t>FIB</t>
        </is>
      </c>
      <c r="B50" s="387" t="n">
        <v>0</v>
      </c>
      <c r="C50" s="443" t="n">
        <v>0.15</v>
      </c>
      <c r="D50" s="443" t="n">
        <v>0.15</v>
      </c>
      <c r="E50" s="389" t="n">
        <v>1</v>
      </c>
      <c r="F50" s="389" t="n">
        <v>1</v>
      </c>
      <c r="G50" s="389" t="n">
        <v>1</v>
      </c>
      <c r="H50" s="389" t="n">
        <v>1</v>
      </c>
      <c r="I50" s="389" t="n">
        <v>1</v>
      </c>
      <c r="K50" s="300" t="inlineStr">
        <is>
          <t>PT</t>
        </is>
      </c>
      <c r="L50" s="428" t="n">
        <v>0.1</v>
      </c>
      <c r="M50" s="692" t="n">
        <v>0.06</v>
      </c>
      <c r="N50" s="428" t="n">
        <v>0.1</v>
      </c>
      <c r="O50" s="692" t="n">
        <v>0.048</v>
      </c>
      <c r="P50" s="428" t="n">
        <v>0.1</v>
      </c>
      <c r="Q50" s="692" t="n"/>
      <c r="R50" s="428" t="n">
        <v>0.1</v>
      </c>
      <c r="S50" s="692" t="n"/>
      <c r="U50" s="390" t="inlineStr">
        <is>
          <t>cCORT</t>
        </is>
      </c>
      <c r="V50" s="704" t="n">
        <v>1.2</v>
      </c>
      <c r="W50" s="320" t="n">
        <v>0.2</v>
      </c>
      <c r="X50" s="320" t="n">
        <v>0.2</v>
      </c>
      <c r="Y50" s="445" t="n"/>
      <c r="Z50" s="705">
        <f>V50/3</f>
        <v/>
      </c>
      <c r="AA50" s="706">
        <f>-V50/3</f>
        <v/>
      </c>
      <c r="AB50" s="407">
        <f>W50/3</f>
        <v/>
      </c>
      <c r="AC50" s="407">
        <f>-W50/3</f>
        <v/>
      </c>
      <c r="AD50" s="407">
        <f>X50/3</f>
        <v/>
      </c>
      <c r="AE50" s="407">
        <f>-X50/3</f>
        <v/>
      </c>
      <c r="AF50" s="407">
        <f>Y50/3</f>
        <v/>
      </c>
      <c r="AG50" s="448">
        <f>-Y50/3</f>
        <v/>
      </c>
      <c r="AH50" s="449" t="n"/>
      <c r="AI50" s="450" t="n"/>
      <c r="AJ50" s="450" t="n"/>
      <c r="AK50" s="450" t="n"/>
      <c r="AL50" s="451" t="n"/>
      <c r="AM50" s="451" t="n"/>
      <c r="AN50" s="450" t="n"/>
      <c r="AO50" s="445" t="n"/>
    </row>
    <row r="51" ht="16.5" customHeight="1" thickBot="1">
      <c r="A51" s="386" t="inlineStr">
        <is>
          <t>NH3</t>
        </is>
      </c>
      <c r="B51" s="387" t="n">
        <v>0</v>
      </c>
      <c r="C51" s="443" t="n">
        <v>0.1</v>
      </c>
      <c r="D51" s="443" t="n">
        <v>0.1</v>
      </c>
      <c r="E51" s="389" t="n">
        <v>0</v>
      </c>
      <c r="F51" s="389" t="n">
        <v>1</v>
      </c>
      <c r="G51" s="389" t="n">
        <v>1</v>
      </c>
      <c r="H51" s="389" t="n">
        <v>1</v>
      </c>
      <c r="I51" s="389" t="n">
        <v>1</v>
      </c>
      <c r="K51" s="300" t="inlineStr">
        <is>
          <t>APTT</t>
        </is>
      </c>
      <c r="L51" s="428" t="n">
        <v>0.1</v>
      </c>
      <c r="M51" s="692" t="n">
        <v>0.041</v>
      </c>
      <c r="N51" s="428" t="n">
        <v>0.1</v>
      </c>
      <c r="O51" s="692" t="n">
        <v>0.038</v>
      </c>
      <c r="P51" s="428" t="n">
        <v>0.1</v>
      </c>
      <c r="Q51" s="692" t="n"/>
      <c r="R51" s="428" t="n">
        <v>0.1</v>
      </c>
      <c r="S51" s="692" t="n"/>
      <c r="U51" s="452" t="n"/>
      <c r="V51" s="453" t="n"/>
      <c r="W51" s="454" t="n"/>
      <c r="X51" s="454" t="n"/>
      <c r="Y51" s="455" t="n"/>
      <c r="Z51" s="707" t="n"/>
      <c r="AA51" s="708" t="n"/>
      <c r="AB51" s="458" t="n"/>
      <c r="AC51" s="458" t="n"/>
      <c r="AD51" s="458" t="n"/>
      <c r="AE51" s="458" t="n"/>
      <c r="AF51" s="458" t="n"/>
      <c r="AG51" s="459" t="n"/>
      <c r="AH51" s="460" t="n"/>
      <c r="AI51" s="461" t="n"/>
      <c r="AJ51" s="458" t="n"/>
      <c r="AK51" s="458" t="n"/>
      <c r="AL51" s="458" t="n"/>
      <c r="AM51" s="458" t="n"/>
      <c r="AN51" s="458" t="n"/>
      <c r="AO51" s="459" t="n"/>
    </row>
    <row r="52" ht="16.5" customHeight="1" thickBot="1">
      <c r="A52" s="395" t="n"/>
      <c r="B52" s="396" t="n"/>
      <c r="C52" s="399" t="n"/>
      <c r="D52" s="399" t="n"/>
      <c r="E52" s="399" t="n"/>
      <c r="F52" s="399" t="n"/>
      <c r="G52" s="399" t="n"/>
      <c r="H52" s="399" t="n"/>
      <c r="I52" s="399" t="n"/>
      <c r="K52" s="462" t="inlineStr">
        <is>
          <t>FIB</t>
        </is>
      </c>
      <c r="L52" s="463" t="n">
        <v>0.1</v>
      </c>
      <c r="M52" s="709" t="n">
        <v>0.048</v>
      </c>
      <c r="N52" s="463" t="n">
        <v>0.1</v>
      </c>
      <c r="O52" s="709" t="n">
        <v>0.043</v>
      </c>
      <c r="P52" s="463" t="n">
        <v>0.1</v>
      </c>
      <c r="Q52" s="709" t="n"/>
      <c r="R52" s="463" t="n">
        <v>0.1</v>
      </c>
      <c r="S52" s="709" t="n"/>
      <c r="U52" s="400" t="n"/>
      <c r="V52" s="400" t="n">
        <v>2</v>
      </c>
      <c r="W52" s="400" t="n">
        <v>3</v>
      </c>
      <c r="X52" s="400" t="n">
        <v>4</v>
      </c>
      <c r="Y52" s="400" t="n">
        <v>5</v>
      </c>
      <c r="Z52" s="400" t="n">
        <v>6</v>
      </c>
      <c r="AA52" s="400" t="n">
        <v>7</v>
      </c>
      <c r="AB52" s="400" t="n">
        <v>8</v>
      </c>
      <c r="AC52" s="400" t="n">
        <v>9</v>
      </c>
      <c r="AD52" s="400" t="n">
        <v>10</v>
      </c>
      <c r="AE52" s="400" t="n">
        <v>11</v>
      </c>
      <c r="AF52" s="400" t="n">
        <v>12</v>
      </c>
      <c r="AG52" s="400" t="n">
        <v>13</v>
      </c>
      <c r="AH52" s="400" t="n">
        <v>14</v>
      </c>
      <c r="AI52" s="400" t="n">
        <v>15</v>
      </c>
      <c r="AJ52" s="400" t="n">
        <v>16</v>
      </c>
      <c r="AK52" s="400" t="n">
        <v>17</v>
      </c>
      <c r="AL52" s="400" t="n">
        <v>18</v>
      </c>
      <c r="AM52" s="400" t="n">
        <v>19</v>
      </c>
      <c r="AN52" s="400" t="n">
        <v>20</v>
      </c>
      <c r="AO52" s="400" t="n">
        <v>21</v>
      </c>
    </row>
    <row r="53">
      <c r="K53" s="466" t="n"/>
      <c r="L53" s="467" t="n"/>
      <c r="M53" s="710" t="n"/>
      <c r="N53" s="467" t="n"/>
      <c r="O53" s="710" t="n"/>
    </row>
  </sheetData>
  <mergeCells count="23">
    <mergeCell ref="L2:M2"/>
    <mergeCell ref="AD3:AE3"/>
    <mergeCell ref="AF3:AG3"/>
    <mergeCell ref="AH3:AI3"/>
    <mergeCell ref="K1:S1"/>
    <mergeCell ref="AN3:AO3"/>
    <mergeCell ref="V3:Y3"/>
    <mergeCell ref="N2:O2"/>
    <mergeCell ref="P2:Q2"/>
    <mergeCell ref="V2:Y2"/>
    <mergeCell ref="Z3:AA3"/>
    <mergeCell ref="AU1:AX1"/>
    <mergeCell ref="F2:G2"/>
    <mergeCell ref="H2:I2"/>
    <mergeCell ref="AJ3:AK3"/>
    <mergeCell ref="C2:D2"/>
    <mergeCell ref="AL3:AM3"/>
    <mergeCell ref="Z2:AG2"/>
    <mergeCell ref="L34:M34"/>
    <mergeCell ref="N34:O34"/>
    <mergeCell ref="AH2:AO2"/>
    <mergeCell ref="R2:S2"/>
    <mergeCell ref="AB3:AC3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="80" zoomScaleNormal="80" workbookViewId="0">
      <selection activeCell="M8" sqref="M8"/>
    </sheetView>
  </sheetViews>
  <sheetFormatPr baseColWidth="8" defaultRowHeight="15.75"/>
  <cols>
    <col width="9" customWidth="1" style="285" min="1" max="1"/>
    <col width="8" customWidth="1" style="285" min="2" max="2"/>
    <col width="9" customWidth="1" style="285" min="3" max="3"/>
    <col width="16.375" customWidth="1" style="285" min="4" max="4"/>
    <col width="17.25" customWidth="1" style="285" min="5" max="5"/>
    <col width="9" customWidth="1" style="285" min="6" max="16384"/>
  </cols>
  <sheetData>
    <row r="1">
      <c r="A1" s="287" t="n"/>
      <c r="B1" s="561" t="inlineStr">
        <is>
          <t>control</t>
        </is>
      </c>
      <c r="C1" s="606" t="n"/>
      <c r="D1" s="606" t="n"/>
      <c r="E1" s="656" t="n"/>
      <c r="F1" s="563" t="inlineStr">
        <is>
          <t>NEW Conrtol Eq</t>
        </is>
      </c>
      <c r="G1" s="711" t="n"/>
      <c r="H1" s="711" t="n"/>
      <c r="I1" s="712" t="n"/>
    </row>
    <row r="2">
      <c r="A2" s="287" t="inlineStr">
        <is>
          <t>Marker</t>
        </is>
      </c>
      <c r="B2" s="287" t="inlineStr">
        <is>
          <t>Equation</t>
        </is>
      </c>
      <c r="C2" s="287" t="inlineStr">
        <is>
          <t>a</t>
        </is>
      </c>
      <c r="D2" s="287" t="inlineStr">
        <is>
          <t>b</t>
        </is>
      </c>
      <c r="E2" s="470" t="inlineStr">
        <is>
          <t>c</t>
        </is>
      </c>
      <c r="F2" s="469" t="inlineStr">
        <is>
          <t>Equation</t>
        </is>
      </c>
      <c r="G2" s="287" t="inlineStr">
        <is>
          <t>a</t>
        </is>
      </c>
      <c r="H2" s="287" t="inlineStr">
        <is>
          <t>b</t>
        </is>
      </c>
      <c r="I2" s="471" t="inlineStr">
        <is>
          <t>c</t>
        </is>
      </c>
    </row>
    <row r="3">
      <c r="A3" s="287" t="n"/>
      <c r="B3" s="287" t="n"/>
      <c r="C3" s="287" t="n"/>
      <c r="D3" s="287" t="n"/>
      <c r="E3" s="470" t="n"/>
      <c r="F3" s="469" t="n"/>
      <c r="G3" s="472" t="n"/>
      <c r="H3" s="472" t="n"/>
      <c r="I3" s="473" t="n"/>
    </row>
    <row r="4">
      <c r="A4" s="287" t="n"/>
      <c r="B4" s="287" t="n"/>
      <c r="C4" s="287" t="n"/>
      <c r="D4" s="287" t="n"/>
      <c r="E4" s="470" t="n"/>
      <c r="F4" s="469" t="n"/>
      <c r="G4" s="472" t="n"/>
      <c r="H4" s="472" t="n"/>
      <c r="I4" s="473" t="n"/>
    </row>
    <row r="5">
      <c r="A5" s="287" t="n"/>
      <c r="B5" s="287" t="n"/>
      <c r="C5" s="287" t="n"/>
      <c r="D5" s="287" t="n"/>
      <c r="E5" s="470" t="n"/>
      <c r="F5" s="469" t="n"/>
      <c r="G5" s="472" t="n"/>
      <c r="H5" s="472" t="n"/>
      <c r="I5" s="473" t="n"/>
    </row>
    <row r="6">
      <c r="A6" s="287" t="n"/>
      <c r="B6" s="287" t="n"/>
      <c r="C6" s="287" t="n"/>
      <c r="D6" s="287" t="n"/>
      <c r="E6" s="470" t="n"/>
      <c r="F6" s="469" t="n"/>
      <c r="G6" s="472" t="n"/>
      <c r="H6" s="472" t="n"/>
      <c r="I6" s="473" t="n"/>
    </row>
    <row r="7">
      <c r="A7" s="287" t="n"/>
      <c r="B7" s="287" t="n"/>
      <c r="C7" s="287" t="n"/>
      <c r="D7" s="287" t="n"/>
      <c r="E7" s="470" t="n"/>
      <c r="F7" s="469" t="n"/>
      <c r="G7" s="472" t="n"/>
      <c r="H7" s="472" t="n"/>
      <c r="I7" s="473" t="n"/>
    </row>
    <row r="8">
      <c r="A8" s="287" t="n"/>
      <c r="B8" s="287" t="n"/>
      <c r="C8" s="287" t="n"/>
      <c r="D8" s="287" t="n"/>
      <c r="E8" s="470" t="n"/>
      <c r="F8" s="469" t="n"/>
      <c r="G8" s="472" t="n"/>
      <c r="H8" s="472" t="n"/>
      <c r="I8" s="473" t="n"/>
    </row>
    <row r="9">
      <c r="A9" s="287" t="n"/>
      <c r="B9" s="287" t="n"/>
      <c r="C9" s="287" t="n"/>
      <c r="D9" s="287" t="n"/>
      <c r="E9" s="470" t="n"/>
      <c r="F9" s="469" t="n"/>
      <c r="G9" s="472" t="n"/>
      <c r="H9" s="472" t="n"/>
      <c r="I9" s="473" t="n"/>
    </row>
    <row r="10">
      <c r="A10" s="287" t="n"/>
      <c r="B10" s="287" t="n"/>
      <c r="C10" s="287" t="n"/>
      <c r="D10" s="287" t="n"/>
      <c r="E10" s="470" t="n"/>
      <c r="F10" s="469" t="n"/>
      <c r="G10" s="472" t="n"/>
      <c r="H10" s="472" t="n"/>
      <c r="I10" s="473" t="n"/>
    </row>
    <row r="11">
      <c r="A11" s="287" t="n"/>
      <c r="B11" s="287" t="n"/>
      <c r="C11" s="287" t="n"/>
      <c r="D11" s="287" t="n"/>
      <c r="E11" s="470" t="n"/>
      <c r="F11" s="469" t="n"/>
      <c r="G11" s="472" t="n"/>
      <c r="H11" s="472" t="n"/>
      <c r="I11" s="473" t="n"/>
    </row>
    <row r="12">
      <c r="A12" s="287" t="n"/>
      <c r="B12" s="287" t="n"/>
      <c r="C12" s="287" t="n"/>
      <c r="D12" s="287" t="n"/>
      <c r="E12" s="470" t="n"/>
      <c r="F12" s="469" t="n"/>
      <c r="G12" s="472" t="n"/>
      <c r="H12" s="472" t="n"/>
      <c r="I12" s="473" t="n"/>
    </row>
    <row r="13">
      <c r="A13" s="287" t="n"/>
      <c r="B13" s="287" t="n"/>
      <c r="C13" s="287" t="n"/>
      <c r="D13" s="287" t="n"/>
      <c r="E13" s="470" t="n"/>
      <c r="F13" s="469" t="n"/>
      <c r="G13" s="472" t="n"/>
      <c r="H13" s="472" t="n"/>
      <c r="I13" s="473" t="n"/>
    </row>
    <row r="14">
      <c r="A14" s="287" t="n"/>
      <c r="B14" s="287" t="n"/>
      <c r="C14" s="287" t="n"/>
      <c r="D14" s="287" t="n"/>
      <c r="E14" s="470" t="n"/>
      <c r="F14" s="469" t="n"/>
      <c r="G14" s="472" t="n"/>
      <c r="H14" s="472" t="n"/>
      <c r="I14" s="473" t="n"/>
    </row>
    <row r="15">
      <c r="A15" s="287" t="n"/>
      <c r="B15" s="287" t="n"/>
      <c r="C15" s="287" t="n"/>
      <c r="D15" s="287" t="n"/>
      <c r="E15" s="470" t="n"/>
      <c r="F15" s="469" t="n"/>
      <c r="G15" s="472" t="n"/>
      <c r="H15" s="472" t="n"/>
      <c r="I15" s="473" t="n"/>
    </row>
    <row r="16">
      <c r="A16" s="287" t="n"/>
      <c r="B16" s="287" t="n"/>
      <c r="C16" s="287" t="n"/>
      <c r="D16" s="287" t="n"/>
      <c r="E16" s="470" t="n"/>
      <c r="F16" s="469" t="n"/>
      <c r="G16" s="472" t="n"/>
      <c r="H16" s="472" t="n"/>
      <c r="I16" s="473" t="n"/>
    </row>
    <row r="17">
      <c r="A17" s="287" t="n"/>
      <c r="B17" s="287" t="n"/>
      <c r="C17" s="287" t="n"/>
      <c r="D17" s="287" t="n"/>
      <c r="E17" s="470" t="n"/>
      <c r="F17" s="469" t="n"/>
      <c r="G17" s="472" t="n"/>
      <c r="H17" s="472" t="n"/>
      <c r="I17" s="473" t="n"/>
    </row>
    <row r="18">
      <c r="A18" s="287" t="n"/>
      <c r="B18" s="287" t="n"/>
      <c r="C18" s="287" t="n"/>
      <c r="D18" s="287" t="n"/>
      <c r="E18" s="470" t="n"/>
      <c r="F18" s="469" t="n"/>
      <c r="G18" s="472" t="n"/>
      <c r="H18" s="472" t="n"/>
      <c r="I18" s="473" t="n"/>
    </row>
    <row r="19">
      <c r="A19" s="287" t="n"/>
      <c r="B19" s="287" t="n"/>
      <c r="C19" s="287" t="n"/>
      <c r="D19" s="287" t="n"/>
      <c r="E19" s="470" t="n"/>
      <c r="F19" s="469" t="n"/>
      <c r="G19" s="472" t="n"/>
      <c r="H19" s="472" t="n"/>
      <c r="I19" s="473" t="n"/>
    </row>
    <row r="20">
      <c r="A20" s="287" t="n"/>
      <c r="B20" s="287" t="n"/>
      <c r="C20" s="287" t="n"/>
      <c r="D20" s="287" t="n"/>
      <c r="E20" s="470" t="n"/>
      <c r="F20" s="469" t="n"/>
      <c r="G20" s="472" t="n"/>
      <c r="H20" s="472" t="n"/>
      <c r="I20" s="473" t="n"/>
    </row>
    <row r="21">
      <c r="A21" s="287" t="n"/>
      <c r="B21" s="287" t="n"/>
      <c r="C21" s="287" t="n"/>
      <c r="D21" s="287" t="n"/>
      <c r="E21" s="470" t="n"/>
      <c r="F21" s="469" t="n"/>
      <c r="G21" s="472" t="n"/>
      <c r="H21" s="472" t="n"/>
      <c r="I21" s="473" t="n"/>
    </row>
    <row r="22" ht="16.5" customHeight="1" thickBot="1">
      <c r="A22" s="287" t="n"/>
      <c r="B22" s="287" t="n"/>
      <c r="C22" s="287" t="n"/>
      <c r="D22" s="287" t="n"/>
      <c r="E22" s="470" t="n"/>
      <c r="F22" s="474" t="n"/>
      <c r="G22" s="475" t="n"/>
      <c r="H22" s="475" t="n"/>
      <c r="I22" s="476" t="n"/>
    </row>
  </sheetData>
  <mergeCells count="2"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2026-05-24T02:35:35Z</dcterms:created>
  <dcterms:modified xsi:type="dcterms:W3CDTF">2026-06-18T08:48:47Z</dcterms:modified>
  <cp:lastModifiedBy>Harry HR Guo (郭鴻儒)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87c5db-6928-42dd-9ad2-c1af6f81a1c0_Enabled" fmtid="{D5CDD505-2E9C-101B-9397-08002B2CF9AE}" pid="2">
    <vt:lpwstr>true</vt:lpwstr>
  </property>
  <property name="MSIP_Label_9c87c5db-6928-42dd-9ad2-c1af6f81a1c0_SetDate" fmtid="{D5CDD505-2E9C-101B-9397-08002B2CF9AE}" pid="3">
    <vt:lpwstr>2026-05-25T00:42:09Z</vt:lpwstr>
  </property>
  <property name="MSIP_Label_9c87c5db-6928-42dd-9ad2-c1af6f81a1c0_Method" fmtid="{D5CDD505-2E9C-101B-9397-08002B2CF9AE}" pid="4">
    <vt:lpwstr>Privileged</vt:lpwstr>
  </property>
  <property name="MSIP_Label_9c87c5db-6928-42dd-9ad2-c1af6f81a1c0_Name" fmtid="{D5CDD505-2E9C-101B-9397-08002B2CF9AE}" pid="5">
    <vt:lpwstr>Public</vt:lpwstr>
  </property>
  <property name="MSIP_Label_9c87c5db-6928-42dd-9ad2-c1af6f81a1c0_SiteId" fmtid="{D5CDD505-2E9C-101B-9397-08002B2CF9AE}" pid="6">
    <vt:lpwstr>15d82f97-4f15-4ead-9ab6-18aa0cd45388</vt:lpwstr>
  </property>
  <property name="MSIP_Label_9c87c5db-6928-42dd-9ad2-c1af6f81a1c0_ActionId" fmtid="{D5CDD505-2E9C-101B-9397-08002B2CF9AE}" pid="7">
    <vt:lpwstr>60b38bde-943a-4570-88a4-3e2ac1c1e06c</vt:lpwstr>
  </property>
  <property name="MSIP_Label_9c87c5db-6928-42dd-9ad2-c1af6f81a1c0_ContentBits" fmtid="{D5CDD505-2E9C-101B-9397-08002B2CF9AE}" pid="8">
    <vt:lpwstr>0</vt:lpwstr>
  </property>
  <property name="MSIP_Label_9c87c5db-6928-42dd-9ad2-c1af6f81a1c0_Tag" fmtid="{D5CDD505-2E9C-101B-9397-08002B2CF9AE}" pid="9">
    <vt:lpwstr>10, 0, 1, 1</vt:lpwstr>
  </property>
</Properties>
</file>